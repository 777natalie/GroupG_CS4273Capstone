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6.xml" ContentType="application/vnd.ms-excel.controlproperties+xml"/>
  <Override PartName="/xl/drawings/drawing4.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5.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drawings/drawing6.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1"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natalie/Downloads/GroupG_CS4273Capstone/CallAnalysisTool/backend/data/"/>
    </mc:Choice>
  </mc:AlternateContent>
  <xr:revisionPtr revIDLastSave="0" documentId="13_ncr:1_{E6DE7568-397A-5449-B8B2-87049AF1F784}" xr6:coauthVersionLast="47" xr6:coauthVersionMax="47" xr10:uidLastSave="{00000000-0000-0000-0000-000000000000}"/>
  <bookViews>
    <workbookView xWindow="520" yWindow="500" windowWidth="14940" windowHeight="14940" tabRatio="675" activeTab="1" xr2:uid="{00000000-000D-0000-FFFF-FFFF00000000}"/>
  </bookViews>
  <sheets>
    <sheet name="PATROL QA" sheetId="7" r:id="rId1"/>
    <sheet name="EMD QA" sheetId="6" r:id="rId2"/>
    <sheet name="FIRE QA" sheetId="9" r:id="rId3"/>
    <sheet name="OLD EMD" sheetId="2" state="hidden" r:id="rId4"/>
    <sheet name="OLD PATROL" sheetId="1" state="hidden" r:id="rId5"/>
    <sheet name="OLD FIRE" sheetId="4" state="hidden" r:id="rId6"/>
    <sheet name="Data" sheetId="10" r:id="rId7"/>
  </sheets>
  <definedNames>
    <definedName name="DataEMDCaller">Data!$A$14:$A$18</definedName>
    <definedName name="DataEMDNatureCode">OFFSET(Data!$D$49,,,COUNTA(Data!$D$49:$D$88),1)</definedName>
    <definedName name="DataEmployeeList">OFFSET(Data!$A$20,,,COUNTA(Data!$A$20:$A$995),1)</definedName>
    <definedName name="DataFireCaller">Data!$B$14:$B$19</definedName>
    <definedName name="DataFireNature">OFFSET(Data!$J$49,,,COUNTA(Data!$J$49:$J$88),1)</definedName>
    <definedName name="DataPatrolNature">OFFSET(Data!$G$49,,,COUNTA(Data!$G$49:$G$90),1)</definedName>
    <definedName name="DataPDCaller">Data!$C$14:$C$19</definedName>
    <definedName name="DataPhoneType">Data!$A$9:$A$12</definedName>
    <definedName name="DataTimeType">Data!$C$9:$C$11</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17" i="7" l="1"/>
  <c r="N133" i="7"/>
  <c r="N116" i="7"/>
  <c r="L116" i="7"/>
  <c r="J116" i="7"/>
  <c r="N132" i="7"/>
  <c r="L132" i="7"/>
  <c r="J132" i="7"/>
  <c r="L120" i="7"/>
  <c r="L136" i="7"/>
  <c r="N47" i="6"/>
  <c r="O3377" i="6"/>
  <c r="N3377" i="6"/>
  <c r="M3377" i="6"/>
  <c r="L3377" i="6"/>
  <c r="K3377" i="6"/>
  <c r="J3377" i="6"/>
  <c r="I3377" i="6"/>
  <c r="I3084" i="6"/>
  <c r="J3084" i="6"/>
  <c r="K3084" i="6"/>
  <c r="L3084" i="6"/>
  <c r="M3084" i="6"/>
  <c r="N3084" i="6"/>
  <c r="O3084" i="6"/>
  <c r="O3076" i="6"/>
  <c r="N3076" i="6"/>
  <c r="M3076" i="6"/>
  <c r="L3076" i="6"/>
  <c r="K3076" i="6"/>
  <c r="J3076" i="6"/>
  <c r="I3076" i="6"/>
  <c r="O2900" i="6"/>
  <c r="N2900" i="6"/>
  <c r="M2900" i="6"/>
  <c r="L2900" i="6"/>
  <c r="K2900" i="6"/>
  <c r="J2900" i="6"/>
  <c r="I2900" i="6"/>
  <c r="O2893" i="6"/>
  <c r="N2893" i="6"/>
  <c r="M2893" i="6"/>
  <c r="L2893" i="6"/>
  <c r="K2893" i="6"/>
  <c r="J2893" i="6"/>
  <c r="I2893" i="6"/>
  <c r="O2748" i="6"/>
  <c r="N2748" i="6"/>
  <c r="M2748" i="6"/>
  <c r="L2748" i="6"/>
  <c r="K2748" i="6"/>
  <c r="J2748" i="6"/>
  <c r="I2748" i="6"/>
  <c r="I2741" i="6"/>
  <c r="J2741" i="6"/>
  <c r="K2741" i="6"/>
  <c r="L2741" i="6"/>
  <c r="M2741" i="6"/>
  <c r="N2741" i="6"/>
  <c r="O2741" i="6"/>
  <c r="O2162" i="6"/>
  <c r="N2162" i="6"/>
  <c r="M2162" i="6"/>
  <c r="L2162" i="6"/>
  <c r="K2162" i="6"/>
  <c r="J2162" i="6"/>
  <c r="I2162" i="6"/>
  <c r="N2154" i="6"/>
  <c r="O2154" i="6"/>
  <c r="M2154" i="6"/>
  <c r="L2154" i="6"/>
  <c r="K2154" i="6"/>
  <c r="J2154" i="6"/>
  <c r="I2154" i="6"/>
  <c r="P2900" i="6"/>
  <c r="P2748" i="6"/>
  <c r="P2162" i="6"/>
  <c r="L3431" i="6"/>
  <c r="J3431" i="6"/>
  <c r="N3085" i="6"/>
  <c r="M3085" i="6"/>
  <c r="K3085" i="6"/>
  <c r="I3085" i="6"/>
  <c r="N3077" i="6"/>
  <c r="M3077" i="6"/>
  <c r="K3077" i="6"/>
  <c r="I3077" i="6"/>
  <c r="N2901" i="6"/>
  <c r="M2901" i="6"/>
  <c r="K2901" i="6"/>
  <c r="I2901" i="6"/>
  <c r="N2894" i="6"/>
  <c r="M2894" i="6"/>
  <c r="K2894" i="6"/>
  <c r="N2749" i="6"/>
  <c r="M2749" i="6"/>
  <c r="K2749" i="6"/>
  <c r="N2742" i="6"/>
  <c r="M2742" i="6"/>
  <c r="K2742" i="6"/>
  <c r="I2742" i="6"/>
  <c r="N2163" i="6"/>
  <c r="M2163" i="6"/>
  <c r="K2163" i="6"/>
  <c r="I2163" i="6"/>
  <c r="N2155" i="6"/>
  <c r="M2155" i="6"/>
  <c r="K2155" i="6"/>
  <c r="I2155" i="6"/>
  <c r="O582" i="6"/>
  <c r="N582" i="6"/>
  <c r="M582" i="6"/>
  <c r="L582" i="6"/>
  <c r="K582" i="6"/>
  <c r="J582" i="6"/>
  <c r="I582" i="6"/>
  <c r="O561" i="6"/>
  <c r="N561" i="6"/>
  <c r="M561" i="6"/>
  <c r="K561" i="6"/>
  <c r="L561" i="6"/>
  <c r="J561" i="6"/>
  <c r="I561" i="6"/>
  <c r="O549" i="6"/>
  <c r="N549" i="6"/>
  <c r="M549" i="6"/>
  <c r="L549" i="6"/>
  <c r="K549" i="6"/>
  <c r="J549" i="6"/>
  <c r="I549" i="6"/>
  <c r="O538" i="6"/>
  <c r="N538" i="6"/>
  <c r="M538" i="6"/>
  <c r="L538" i="6"/>
  <c r="K538" i="6"/>
  <c r="J538" i="6"/>
  <c r="I538" i="6"/>
  <c r="O527" i="6"/>
  <c r="N527" i="6"/>
  <c r="M527" i="6"/>
  <c r="L527" i="6"/>
  <c r="K527" i="6"/>
  <c r="J527" i="6"/>
  <c r="I527" i="6"/>
  <c r="O515" i="6"/>
  <c r="N515" i="6"/>
  <c r="M515" i="6"/>
  <c r="L515" i="6"/>
  <c r="K515" i="6"/>
  <c r="J515" i="6"/>
  <c r="I515" i="6"/>
  <c r="O502" i="6"/>
  <c r="N502" i="6"/>
  <c r="M502" i="6"/>
  <c r="L502" i="6"/>
  <c r="K502" i="6"/>
  <c r="J502" i="6"/>
  <c r="I502" i="6"/>
  <c r="O492" i="6"/>
  <c r="N492" i="6"/>
  <c r="M492" i="6"/>
  <c r="L492" i="6"/>
  <c r="K492" i="6"/>
  <c r="J492" i="6"/>
  <c r="I492" i="6"/>
  <c r="O479" i="6"/>
  <c r="N479" i="6"/>
  <c r="M479" i="6"/>
  <c r="L479" i="6"/>
  <c r="K479" i="6"/>
  <c r="J479" i="6"/>
  <c r="I479" i="6"/>
  <c r="O467" i="6"/>
  <c r="N467" i="6"/>
  <c r="M467" i="6"/>
  <c r="L467" i="6"/>
  <c r="O455" i="6"/>
  <c r="N455" i="6"/>
  <c r="M455" i="6"/>
  <c r="L455" i="6"/>
  <c r="K455" i="6"/>
  <c r="J455" i="6"/>
  <c r="I455" i="6"/>
  <c r="O444" i="6"/>
  <c r="N444" i="6"/>
  <c r="M444" i="6"/>
  <c r="L444" i="6"/>
  <c r="K444" i="6"/>
  <c r="J444" i="6"/>
  <c r="I444" i="6"/>
  <c r="O424" i="6"/>
  <c r="N424" i="6"/>
  <c r="M424" i="6"/>
  <c r="L424" i="6"/>
  <c r="K424" i="6"/>
  <c r="J424" i="6"/>
  <c r="I424" i="6"/>
  <c r="O415" i="6"/>
  <c r="N415" i="6"/>
  <c r="M415" i="6"/>
  <c r="L415" i="6"/>
  <c r="K415" i="6"/>
  <c r="J415" i="6"/>
  <c r="I415" i="6"/>
  <c r="O403" i="6"/>
  <c r="N403" i="6"/>
  <c r="M403" i="6"/>
  <c r="L403" i="6"/>
  <c r="K403" i="6"/>
  <c r="J403" i="6"/>
  <c r="I403" i="6"/>
  <c r="O392" i="6"/>
  <c r="N392" i="6"/>
  <c r="M392" i="6"/>
  <c r="L392" i="6"/>
  <c r="K392" i="6"/>
  <c r="J392" i="6"/>
  <c r="I392" i="6"/>
  <c r="O380" i="6"/>
  <c r="N380" i="6"/>
  <c r="M380" i="6"/>
  <c r="L380" i="6"/>
  <c r="K380" i="6"/>
  <c r="J380" i="6"/>
  <c r="I380" i="6"/>
  <c r="O369" i="6"/>
  <c r="N369" i="6"/>
  <c r="M369" i="6"/>
  <c r="L369" i="6"/>
  <c r="K369" i="6"/>
  <c r="J369" i="6"/>
  <c r="I369" i="6"/>
  <c r="O358" i="6"/>
  <c r="N358" i="6"/>
  <c r="M358" i="6"/>
  <c r="L358" i="6"/>
  <c r="K358" i="6"/>
  <c r="J358" i="6"/>
  <c r="I358" i="6"/>
  <c r="O350" i="6"/>
  <c r="N350" i="6"/>
  <c r="M350" i="6"/>
  <c r="L350" i="6"/>
  <c r="K350" i="6"/>
  <c r="J350" i="6"/>
  <c r="I350" i="6"/>
  <c r="O337" i="6"/>
  <c r="N337" i="6"/>
  <c r="M337" i="6"/>
  <c r="L337" i="6"/>
  <c r="K337" i="6"/>
  <c r="J337" i="6"/>
  <c r="I337" i="6"/>
  <c r="O325" i="6"/>
  <c r="N325" i="6"/>
  <c r="M325" i="6"/>
  <c r="L325" i="6"/>
  <c r="K325" i="6"/>
  <c r="J325" i="6"/>
  <c r="I325" i="6"/>
  <c r="O312" i="6"/>
  <c r="N312" i="6"/>
  <c r="M312" i="6"/>
  <c r="L312" i="6"/>
  <c r="K312" i="6"/>
  <c r="J312" i="6"/>
  <c r="I312" i="6"/>
  <c r="O298" i="6"/>
  <c r="N298" i="6"/>
  <c r="M298" i="6"/>
  <c r="L298" i="6"/>
  <c r="K298" i="6"/>
  <c r="J298" i="6"/>
  <c r="I298" i="6"/>
  <c r="O288" i="6"/>
  <c r="N288" i="6"/>
  <c r="M288" i="6"/>
  <c r="L288" i="6"/>
  <c r="K288" i="6"/>
  <c r="J288" i="6"/>
  <c r="I288" i="6"/>
  <c r="E280" i="6"/>
  <c r="F280" i="6"/>
  <c r="O280" i="6"/>
  <c r="N280" i="6"/>
  <c r="M280" i="6"/>
  <c r="L279" i="6"/>
  <c r="M279" i="6"/>
  <c r="N279" i="6"/>
  <c r="O279" i="6"/>
  <c r="O264" i="6"/>
  <c r="N264" i="6"/>
  <c r="M264" i="6"/>
  <c r="L264" i="6"/>
  <c r="K264" i="6"/>
  <c r="J264" i="6"/>
  <c r="I264" i="6"/>
  <c r="O251" i="6"/>
  <c r="N251" i="6"/>
  <c r="M251" i="6"/>
  <c r="L251" i="6"/>
  <c r="K251" i="6"/>
  <c r="J251" i="6"/>
  <c r="I251" i="6"/>
  <c r="I238" i="6"/>
  <c r="J238" i="6"/>
  <c r="K238" i="6"/>
  <c r="L238" i="6"/>
  <c r="M238" i="6"/>
  <c r="N238" i="6"/>
  <c r="O238" i="6"/>
  <c r="O231" i="6"/>
  <c r="N231" i="6"/>
  <c r="M231" i="6"/>
  <c r="L231" i="6"/>
  <c r="K231" i="6"/>
  <c r="J231" i="6"/>
  <c r="I231" i="6"/>
  <c r="O219" i="6"/>
  <c r="N219" i="6"/>
  <c r="M219" i="6"/>
  <c r="L219" i="6"/>
  <c r="J219" i="6"/>
  <c r="O211" i="6"/>
  <c r="N211" i="6"/>
  <c r="M211" i="6"/>
  <c r="L211" i="6"/>
  <c r="J211" i="6"/>
  <c r="O204" i="6"/>
  <c r="N204" i="6"/>
  <c r="M204" i="6"/>
  <c r="L204" i="6"/>
  <c r="J204" i="6"/>
  <c r="O188" i="6"/>
  <c r="N188" i="6"/>
  <c r="M188" i="6"/>
  <c r="L188" i="6"/>
  <c r="K188" i="6"/>
  <c r="J188" i="6"/>
  <c r="N181" i="6"/>
  <c r="L180" i="6"/>
  <c r="M180" i="6"/>
  <c r="N180" i="6"/>
  <c r="O180" i="6"/>
  <c r="O168" i="6"/>
  <c r="N168" i="6"/>
  <c r="M168" i="6"/>
  <c r="L168" i="6"/>
  <c r="K168" i="6"/>
  <c r="J168" i="6"/>
  <c r="I168" i="6"/>
  <c r="O161" i="6"/>
  <c r="N161" i="6"/>
  <c r="M161" i="6"/>
  <c r="L161" i="6"/>
  <c r="O150" i="6"/>
  <c r="N150" i="6"/>
  <c r="M150" i="6"/>
  <c r="L150" i="6"/>
  <c r="K150" i="6"/>
  <c r="J150" i="6"/>
  <c r="I150" i="6"/>
  <c r="O138" i="6"/>
  <c r="N138" i="6"/>
  <c r="M138" i="6"/>
  <c r="L138" i="6"/>
  <c r="K138" i="6"/>
  <c r="J138" i="6"/>
  <c r="I138" i="6"/>
  <c r="O124" i="6"/>
  <c r="N124" i="6"/>
  <c r="M124" i="6"/>
  <c r="L124" i="6"/>
  <c r="K124" i="6"/>
  <c r="J124" i="6"/>
  <c r="I124" i="6"/>
  <c r="O112" i="6"/>
  <c r="N112" i="6"/>
  <c r="M112" i="6"/>
  <c r="L112" i="6"/>
  <c r="K112" i="6"/>
  <c r="J112" i="6"/>
  <c r="I112" i="6"/>
  <c r="O99" i="6"/>
  <c r="N99" i="6"/>
  <c r="M99" i="6"/>
  <c r="L99" i="6"/>
  <c r="K99" i="6"/>
  <c r="J99" i="6"/>
  <c r="I99" i="6"/>
  <c r="O87" i="6"/>
  <c r="N87" i="6"/>
  <c r="M87" i="6"/>
  <c r="L87" i="6"/>
  <c r="K87" i="6"/>
  <c r="J87" i="6"/>
  <c r="I87" i="6"/>
  <c r="O75" i="6"/>
  <c r="N75" i="6"/>
  <c r="M75" i="6"/>
  <c r="L75" i="6"/>
  <c r="J75" i="6"/>
  <c r="J161" i="6"/>
  <c r="I161" i="6"/>
  <c r="K161" i="6"/>
  <c r="K3378" i="6"/>
  <c r="K3431" i="6"/>
  <c r="M3378" i="6"/>
  <c r="M3431" i="6"/>
  <c r="N3378" i="6"/>
  <c r="N3431" i="6"/>
  <c r="O3085" i="6"/>
  <c r="O2163" i="6"/>
  <c r="P2893" i="6"/>
  <c r="P2894" i="6"/>
  <c r="P2749" i="6"/>
  <c r="O3077" i="6"/>
  <c r="P3376" i="6"/>
  <c r="P3377" i="6"/>
  <c r="O2901" i="6"/>
  <c r="I3378" i="6"/>
  <c r="I3431" i="6"/>
  <c r="P3084" i="6"/>
  <c r="P3085" i="6"/>
  <c r="P3076" i="6"/>
  <c r="P3077" i="6"/>
  <c r="P2901" i="6"/>
  <c r="I2894" i="6"/>
  <c r="O2894" i="6"/>
  <c r="I2749" i="6"/>
  <c r="O2749" i="6"/>
  <c r="O2742" i="6"/>
  <c r="P2741" i="6"/>
  <c r="P2742" i="6"/>
  <c r="P2163" i="6"/>
  <c r="O2155" i="6"/>
  <c r="P2154" i="6"/>
  <c r="P2155" i="6"/>
  <c r="P3432" i="6"/>
  <c r="O3378" i="6"/>
  <c r="O3431" i="6"/>
  <c r="P581" i="6"/>
  <c r="M581" i="6"/>
  <c r="K586" i="6"/>
  <c r="O587" i="6"/>
  <c r="P587" i="6"/>
  <c r="P588" i="6"/>
  <c r="P589" i="6"/>
  <c r="P595" i="6"/>
  <c r="N596" i="6"/>
  <c r="P596" i="6"/>
  <c r="P597" i="6"/>
  <c r="N598" i="6"/>
  <c r="P598" i="6"/>
  <c r="P599" i="6"/>
  <c r="L600" i="6"/>
  <c r="O583" i="6"/>
  <c r="K583" i="6"/>
  <c r="P600" i="6"/>
  <c r="P582" i="6"/>
  <c r="P583" i="6"/>
  <c r="M3475" i="6"/>
  <c r="N583" i="6"/>
  <c r="N102" i="7"/>
  <c r="L102" i="7"/>
  <c r="J102" i="7"/>
  <c r="F16" i="7"/>
  <c r="N103" i="7"/>
  <c r="L106" i="7"/>
  <c r="N49" i="6"/>
  <c r="M55" i="6"/>
  <c r="L49" i="6"/>
  <c r="N3449" i="6"/>
  <c r="N3448" i="6"/>
  <c r="N3447" i="6"/>
  <c r="N3446" i="6"/>
  <c r="N3445" i="6"/>
  <c r="O181" i="6"/>
  <c r="D181" i="6"/>
  <c r="I188" i="6"/>
  <c r="K204" i="6"/>
  <c r="P203" i="6"/>
  <c r="I204" i="6"/>
  <c r="K211" i="6"/>
  <c r="I211" i="6"/>
  <c r="K219" i="6"/>
  <c r="I219" i="6"/>
  <c r="P263" i="6"/>
  <c r="P278" i="6"/>
  <c r="P297" i="6"/>
  <c r="P443" i="6"/>
  <c r="P501" i="6"/>
  <c r="B467" i="6"/>
  <c r="N468" i="6"/>
  <c r="J585" i="6"/>
  <c r="P514" i="6"/>
  <c r="P491" i="6"/>
  <c r="P357" i="6"/>
  <c r="P349" i="6"/>
  <c r="P324" i="6"/>
  <c r="P311" i="6"/>
  <c r="P250" i="6"/>
  <c r="M560" i="6"/>
  <c r="M548" i="6"/>
  <c r="M537" i="6"/>
  <c r="M526" i="6"/>
  <c r="M514" i="6"/>
  <c r="M501" i="6"/>
  <c r="M491" i="6"/>
  <c r="M478" i="6"/>
  <c r="M466" i="6"/>
  <c r="M454" i="6"/>
  <c r="M443" i="6"/>
  <c r="M423" i="6"/>
  <c r="M414" i="6"/>
  <c r="M402" i="6"/>
  <c r="M391" i="6"/>
  <c r="M379" i="6"/>
  <c r="M368" i="6"/>
  <c r="M357" i="6"/>
  <c r="M349" i="6"/>
  <c r="M336" i="6"/>
  <c r="M324" i="6"/>
  <c r="M311" i="6"/>
  <c r="M297" i="6"/>
  <c r="M287" i="6"/>
  <c r="M278" i="6"/>
  <c r="M263" i="6"/>
  <c r="M250" i="6"/>
  <c r="M237" i="6"/>
  <c r="M230" i="6"/>
  <c r="M218" i="6"/>
  <c r="M210" i="6"/>
  <c r="M203" i="6"/>
  <c r="M187" i="6"/>
  <c r="M179" i="6"/>
  <c r="M167" i="6"/>
  <c r="M160" i="6"/>
  <c r="M149" i="6"/>
  <c r="M137" i="6"/>
  <c r="M123" i="6"/>
  <c r="M111" i="6"/>
  <c r="P111" i="6"/>
  <c r="M98" i="6"/>
  <c r="M86" i="6"/>
  <c r="K75" i="6"/>
  <c r="P57" i="6"/>
  <c r="P58" i="6"/>
  <c r="P59" i="6"/>
  <c r="P60" i="6"/>
  <c r="P61" i="6"/>
  <c r="J35" i="6"/>
  <c r="K35" i="6"/>
  <c r="P74" i="6"/>
  <c r="L3450" i="6"/>
  <c r="M35" i="6"/>
  <c r="L35" i="6"/>
  <c r="P264" i="6"/>
  <c r="P265" i="6"/>
  <c r="O265" i="6"/>
  <c r="N265" i="6"/>
  <c r="O189" i="6"/>
  <c r="N189" i="6"/>
  <c r="O232" i="6"/>
  <c r="N232" i="6"/>
  <c r="O252" i="6"/>
  <c r="N252" i="6"/>
  <c r="O289" i="6"/>
  <c r="N289" i="6"/>
  <c r="O299" i="6"/>
  <c r="N299" i="6"/>
  <c r="O313" i="6"/>
  <c r="N313" i="6"/>
  <c r="O326" i="6"/>
  <c r="P325" i="6"/>
  <c r="P326" i="6"/>
  <c r="O338" i="6"/>
  <c r="N338" i="6"/>
  <c r="O351" i="6"/>
  <c r="N351" i="6"/>
  <c r="O359" i="6"/>
  <c r="N359" i="6"/>
  <c r="O393" i="6"/>
  <c r="O404" i="6"/>
  <c r="O416" i="6"/>
  <c r="N416" i="6"/>
  <c r="O212" i="6"/>
  <c r="N212" i="6"/>
  <c r="O220" i="6"/>
  <c r="N220" i="6"/>
  <c r="P251" i="6"/>
  <c r="P252" i="6"/>
  <c r="P312" i="6"/>
  <c r="P313" i="6"/>
  <c r="O205" i="6"/>
  <c r="N205" i="6"/>
  <c r="O239" i="6"/>
  <c r="N239" i="6"/>
  <c r="P298" i="6"/>
  <c r="P299" i="6"/>
  <c r="P358" i="6"/>
  <c r="P359" i="6"/>
  <c r="P204" i="6"/>
  <c r="P205" i="6"/>
  <c r="P350" i="6"/>
  <c r="P351" i="6"/>
  <c r="O425" i="6"/>
  <c r="N425" i="6"/>
  <c r="O445" i="6"/>
  <c r="N445" i="6"/>
  <c r="P444" i="6"/>
  <c r="P445" i="6"/>
  <c r="O456" i="6"/>
  <c r="N456" i="6"/>
  <c r="O480" i="6"/>
  <c r="N480" i="6"/>
  <c r="O493" i="6"/>
  <c r="N493" i="6"/>
  <c r="P492" i="6"/>
  <c r="P493" i="6"/>
  <c r="O503" i="6"/>
  <c r="N503" i="6"/>
  <c r="P502" i="6"/>
  <c r="P503" i="6"/>
  <c r="O516" i="6"/>
  <c r="N516" i="6"/>
  <c r="P515" i="6"/>
  <c r="P516" i="6"/>
  <c r="O528" i="6"/>
  <c r="N528" i="6"/>
  <c r="O539" i="6"/>
  <c r="N539" i="6"/>
  <c r="O562" i="6"/>
  <c r="N562" i="6"/>
  <c r="P466" i="6"/>
  <c r="O169" i="6"/>
  <c r="N169" i="6"/>
  <c r="O162" i="6"/>
  <c r="N162" i="6"/>
  <c r="O151" i="6"/>
  <c r="N151" i="6"/>
  <c r="O139" i="6"/>
  <c r="P138" i="6"/>
  <c r="P139" i="6"/>
  <c r="P137" i="6"/>
  <c r="O125" i="6"/>
  <c r="N125" i="6"/>
  <c r="O113" i="6"/>
  <c r="P112" i="6"/>
  <c r="P113" i="6"/>
  <c r="O100" i="6"/>
  <c r="N100" i="6"/>
  <c r="O88" i="6"/>
  <c r="J625" i="6"/>
  <c r="K625" i="6"/>
  <c r="K626" i="6"/>
  <c r="L625" i="6"/>
  <c r="M625" i="6"/>
  <c r="M626" i="6"/>
  <c r="N625" i="6"/>
  <c r="N626" i="6"/>
  <c r="O625" i="6"/>
  <c r="I625" i="6"/>
  <c r="I626" i="6"/>
  <c r="I934" i="6"/>
  <c r="O934" i="6"/>
  <c r="N934" i="6"/>
  <c r="M934" i="6"/>
  <c r="L934" i="6"/>
  <c r="K934" i="6"/>
  <c r="J934" i="6"/>
  <c r="N326" i="6"/>
  <c r="N393" i="6"/>
  <c r="N404" i="6"/>
  <c r="O381" i="6"/>
  <c r="O370" i="6"/>
  <c r="N370" i="6"/>
  <c r="N139" i="6"/>
  <c r="N88" i="6"/>
  <c r="N113" i="6"/>
  <c r="O550" i="6"/>
  <c r="N550" i="6"/>
  <c r="O626" i="6"/>
  <c r="P625" i="6"/>
  <c r="P626" i="6"/>
  <c r="M74" i="6"/>
  <c r="I75" i="6"/>
  <c r="I585" i="6"/>
  <c r="I586" i="6"/>
  <c r="N381" i="6"/>
  <c r="I3437" i="6"/>
  <c r="N3437" i="6"/>
  <c r="M3437" i="6"/>
  <c r="K3437" i="6"/>
  <c r="O1819" i="6"/>
  <c r="N1819" i="6"/>
  <c r="M1819" i="6"/>
  <c r="L1819" i="6"/>
  <c r="K1819" i="6"/>
  <c r="J1819" i="6"/>
  <c r="I1819" i="6"/>
  <c r="P1819" i="6"/>
  <c r="P62" i="6"/>
  <c r="N3450" i="6"/>
  <c r="O32" i="6"/>
  <c r="N32" i="6"/>
  <c r="M32" i="6"/>
  <c r="L32" i="6"/>
  <c r="K32" i="6"/>
  <c r="J32" i="6"/>
  <c r="I32" i="6"/>
  <c r="K49" i="6"/>
  <c r="J31" i="6"/>
  <c r="P32" i="6"/>
  <c r="P33" i="6"/>
  <c r="G33" i="6"/>
  <c r="G34" i="6"/>
  <c r="O33" i="6"/>
  <c r="P49" i="6"/>
  <c r="P3474" i="6"/>
  <c r="P3472" i="6"/>
  <c r="P3473" i="6"/>
  <c r="P50" i="6"/>
  <c r="L154" i="7"/>
  <c r="N154" i="7"/>
  <c r="J154" i="7"/>
  <c r="J78" i="7"/>
  <c r="N79" i="7"/>
  <c r="N65" i="7"/>
  <c r="L78" i="7"/>
  <c r="N78" i="7"/>
  <c r="L82" i="7"/>
  <c r="L155" i="7"/>
  <c r="K31" i="6"/>
  <c r="K936" i="6"/>
  <c r="K964" i="6"/>
  <c r="M936" i="6"/>
  <c r="M964" i="6"/>
  <c r="M965" i="6"/>
  <c r="N936" i="6"/>
  <c r="N964" i="6"/>
  <c r="N965" i="6"/>
  <c r="J964" i="6"/>
  <c r="J1184" i="6"/>
  <c r="J1189" i="6"/>
  <c r="J1223" i="6"/>
  <c r="J1234" i="6"/>
  <c r="J1386" i="6"/>
  <c r="J1407" i="6"/>
  <c r="J1658" i="6"/>
  <c r="J1665" i="6"/>
  <c r="J1812" i="6"/>
  <c r="J1967" i="6"/>
  <c r="J1974" i="6"/>
  <c r="J3432" i="6"/>
  <c r="L964" i="6"/>
  <c r="K1184" i="6"/>
  <c r="K1185" i="6"/>
  <c r="L1184" i="6"/>
  <c r="M1184" i="6"/>
  <c r="M1185" i="6"/>
  <c r="N1184" i="6"/>
  <c r="N1185" i="6"/>
  <c r="O1184" i="6"/>
  <c r="I1184" i="6"/>
  <c r="K1189" i="6"/>
  <c r="L1189" i="6"/>
  <c r="M1189" i="6"/>
  <c r="N1189" i="6"/>
  <c r="O1189" i="6"/>
  <c r="I1189" i="6"/>
  <c r="K1223" i="6"/>
  <c r="K1224" i="6"/>
  <c r="L1223" i="6"/>
  <c r="M1223" i="6"/>
  <c r="M1224" i="6"/>
  <c r="N1223" i="6"/>
  <c r="N1224" i="6"/>
  <c r="O1223" i="6"/>
  <c r="I1223" i="6"/>
  <c r="K1234" i="6"/>
  <c r="L1234" i="6"/>
  <c r="M1234" i="6"/>
  <c r="M1235" i="6"/>
  <c r="N1234" i="6"/>
  <c r="N1235" i="6"/>
  <c r="O1234" i="6"/>
  <c r="I1234" i="6"/>
  <c r="K1386" i="6"/>
  <c r="K1387" i="6"/>
  <c r="L1386" i="6"/>
  <c r="M1386" i="6"/>
  <c r="M1387" i="6"/>
  <c r="N1386" i="6"/>
  <c r="N1387" i="6"/>
  <c r="O1386" i="6"/>
  <c r="I1386" i="6"/>
  <c r="K1407" i="6"/>
  <c r="K1408" i="6"/>
  <c r="L1407" i="6"/>
  <c r="M1407" i="6"/>
  <c r="M1408" i="6"/>
  <c r="N1407" i="6"/>
  <c r="O1407" i="6"/>
  <c r="I1407" i="6"/>
  <c r="K1658" i="6"/>
  <c r="K1659" i="6"/>
  <c r="L1658" i="6"/>
  <c r="M1658" i="6"/>
  <c r="M1659" i="6"/>
  <c r="N1658" i="6"/>
  <c r="N1659" i="6"/>
  <c r="O1658" i="6"/>
  <c r="I1658" i="6"/>
  <c r="K1665" i="6"/>
  <c r="K1666" i="6"/>
  <c r="L1665" i="6"/>
  <c r="M1665" i="6"/>
  <c r="M1666" i="6"/>
  <c r="N1665" i="6"/>
  <c r="O1665" i="6"/>
  <c r="I1665" i="6"/>
  <c r="K1812" i="6"/>
  <c r="K1813" i="6"/>
  <c r="L1812" i="6"/>
  <c r="M1812" i="6"/>
  <c r="M1813" i="6"/>
  <c r="N1812" i="6"/>
  <c r="N1813" i="6"/>
  <c r="O1812" i="6"/>
  <c r="I1812" i="6"/>
  <c r="K1820" i="6"/>
  <c r="M1820" i="6"/>
  <c r="N1820" i="6"/>
  <c r="K1967" i="6"/>
  <c r="K1968" i="6"/>
  <c r="L1967" i="6"/>
  <c r="M1967" i="6"/>
  <c r="M1968" i="6"/>
  <c r="N1967" i="6"/>
  <c r="N1968" i="6"/>
  <c r="O1967" i="6"/>
  <c r="I1967" i="6"/>
  <c r="K1974" i="6"/>
  <c r="K1975" i="6"/>
  <c r="L1974" i="6"/>
  <c r="M1974" i="6"/>
  <c r="M1975" i="6"/>
  <c r="N1974" i="6"/>
  <c r="N1975" i="6"/>
  <c r="O1974" i="6"/>
  <c r="I1974" i="6"/>
  <c r="P1974" i="6"/>
  <c r="P1975" i="6"/>
  <c r="P1234" i="6"/>
  <c r="P1235" i="6"/>
  <c r="P1189" i="6"/>
  <c r="P1190" i="6"/>
  <c r="N1666" i="6"/>
  <c r="P1665" i="6"/>
  <c r="P1666" i="6"/>
  <c r="N1408" i="6"/>
  <c r="P1407" i="6"/>
  <c r="P1408" i="6"/>
  <c r="P1386" i="6"/>
  <c r="P1387" i="6"/>
  <c r="I1387" i="6"/>
  <c r="O1387" i="6"/>
  <c r="I1659" i="6"/>
  <c r="O1659" i="6"/>
  <c r="P1658" i="6"/>
  <c r="P1659" i="6"/>
  <c r="I1813" i="6"/>
  <c r="O1813" i="6"/>
  <c r="P1812" i="6"/>
  <c r="P1813" i="6"/>
  <c r="P1184" i="6"/>
  <c r="P1185" i="6"/>
  <c r="I1185" i="6"/>
  <c r="O1185" i="6"/>
  <c r="P1820" i="6"/>
  <c r="I1968" i="6"/>
  <c r="O1968" i="6"/>
  <c r="P1967" i="6"/>
  <c r="P1968" i="6"/>
  <c r="P1223" i="6"/>
  <c r="P1224" i="6"/>
  <c r="I1224" i="6"/>
  <c r="O1224" i="6"/>
  <c r="I936" i="6"/>
  <c r="P934" i="6"/>
  <c r="P936" i="6"/>
  <c r="O3437" i="6"/>
  <c r="P3437" i="6"/>
  <c r="K1235" i="6"/>
  <c r="K1190" i="6"/>
  <c r="K965" i="6"/>
  <c r="I1408" i="6"/>
  <c r="I1190" i="6"/>
  <c r="H1190" i="6"/>
  <c r="I1666" i="6"/>
  <c r="O1666" i="6"/>
  <c r="I1975" i="6"/>
  <c r="O1975" i="6"/>
  <c r="I1235" i="6"/>
  <c r="I1820" i="6"/>
  <c r="O1820" i="6"/>
  <c r="M3467" i="6"/>
  <c r="K3467" i="6"/>
  <c r="K3468" i="6"/>
  <c r="J3467" i="6"/>
  <c r="J3468" i="6"/>
  <c r="L3467" i="6"/>
  <c r="I3465" i="6"/>
  <c r="N3465" i="6"/>
  <c r="L3465" i="6"/>
  <c r="M3465" i="6"/>
  <c r="K3465" i="6"/>
  <c r="J3465" i="6"/>
  <c r="J3466" i="6"/>
  <c r="N3467" i="6"/>
  <c r="O3465" i="6"/>
  <c r="O76" i="6"/>
  <c r="L585" i="6"/>
  <c r="L3432" i="6"/>
  <c r="O3434" i="6"/>
  <c r="M468" i="6"/>
  <c r="M181" i="6"/>
  <c r="P179" i="6"/>
  <c r="N60" i="6"/>
  <c r="N58" i="6"/>
  <c r="N31" i="6"/>
  <c r="M31" i="6"/>
  <c r="L31" i="6"/>
  <c r="G31" i="6"/>
  <c r="H31" i="6"/>
  <c r="O1408" i="6"/>
  <c r="P180" i="6"/>
  <c r="P181" i="6"/>
  <c r="Q279" i="6"/>
  <c r="P280" i="6"/>
  <c r="K280" i="6"/>
  <c r="K289" i="6"/>
  <c r="P467" i="6"/>
  <c r="Q467" i="6"/>
  <c r="P468" i="6"/>
  <c r="O468" i="6"/>
  <c r="N76" i="6"/>
  <c r="O585" i="6"/>
  <c r="P75" i="6"/>
  <c r="P76" i="6"/>
  <c r="O936" i="6"/>
  <c r="O964" i="6"/>
  <c r="O3467" i="6"/>
  <c r="I964" i="6"/>
  <c r="P964" i="6"/>
  <c r="P1236" i="6"/>
  <c r="G1190" i="6"/>
  <c r="O31" i="6"/>
  <c r="L3436" i="6"/>
  <c r="L62" i="6"/>
  <c r="G32" i="6"/>
  <c r="K265" i="6"/>
  <c r="K313" i="6"/>
  <c r="K503" i="6"/>
  <c r="K299" i="6"/>
  <c r="K326" i="6"/>
  <c r="K338" i="6"/>
  <c r="K516" i="6"/>
  <c r="K139" i="6"/>
  <c r="K151" i="6"/>
  <c r="K252" i="6"/>
  <c r="K351" i="6"/>
  <c r="K359" i="6"/>
  <c r="K445" i="6"/>
  <c r="K456" i="6"/>
  <c r="K493" i="6"/>
  <c r="K113" i="6"/>
  <c r="K181" i="6"/>
  <c r="K189" i="6"/>
  <c r="K205" i="6"/>
  <c r="K212" i="6"/>
  <c r="M585" i="6"/>
  <c r="P187" i="6"/>
  <c r="P188" i="6"/>
  <c r="P189" i="6"/>
  <c r="P149" i="6"/>
  <c r="P150" i="6"/>
  <c r="P151" i="6"/>
  <c r="P123" i="6"/>
  <c r="P124" i="6"/>
  <c r="P125" i="6"/>
  <c r="P287" i="6"/>
  <c r="P288" i="6"/>
  <c r="P289" i="6"/>
  <c r="K125" i="6"/>
  <c r="K468" i="6"/>
  <c r="P478" i="6"/>
  <c r="P527" i="6"/>
  <c r="P528" i="6"/>
  <c r="P526" i="6"/>
  <c r="K528" i="6"/>
  <c r="P454" i="6"/>
  <c r="P455" i="6"/>
  <c r="P456" i="6"/>
  <c r="P368" i="6"/>
  <c r="P369" i="6"/>
  <c r="P370" i="6"/>
  <c r="K370" i="6"/>
  <c r="P336" i="6"/>
  <c r="P337" i="6"/>
  <c r="P338" i="6"/>
  <c r="P210" i="6"/>
  <c r="P211" i="6"/>
  <c r="P212" i="6"/>
  <c r="K76" i="6"/>
  <c r="N585" i="6"/>
  <c r="I965" i="6"/>
  <c r="I3432" i="6"/>
  <c r="P965" i="6"/>
  <c r="I3467" i="6"/>
  <c r="M33" i="6"/>
  <c r="N586" i="6"/>
  <c r="N3432" i="6"/>
  <c r="M586" i="6"/>
  <c r="M3432" i="6"/>
  <c r="O965" i="6"/>
  <c r="P585" i="6"/>
  <c r="P586" i="6"/>
  <c r="P160" i="6"/>
  <c r="P161" i="6"/>
  <c r="P162" i="6"/>
  <c r="K162" i="6"/>
  <c r="P479" i="6"/>
  <c r="P480" i="6"/>
  <c r="K480" i="6"/>
  <c r="P537" i="6"/>
  <c r="P538" i="6"/>
  <c r="P539" i="6"/>
  <c r="K539" i="6"/>
  <c r="P379" i="6"/>
  <c r="P380" i="6"/>
  <c r="P381" i="6"/>
  <c r="K381" i="6"/>
  <c r="P218" i="6"/>
  <c r="P219" i="6"/>
  <c r="P220" i="6"/>
  <c r="K220" i="6"/>
  <c r="P86" i="6"/>
  <c r="P87" i="6"/>
  <c r="P88" i="6"/>
  <c r="K88" i="6"/>
  <c r="N3434" i="6"/>
  <c r="N3435" i="6"/>
  <c r="O586" i="6"/>
  <c r="O3432" i="6"/>
  <c r="P167" i="6"/>
  <c r="P168" i="6"/>
  <c r="P169" i="6"/>
  <c r="K169" i="6"/>
  <c r="P548" i="6"/>
  <c r="P549" i="6"/>
  <c r="P550" i="6"/>
  <c r="K550" i="6"/>
  <c r="P391" i="6"/>
  <c r="P392" i="6"/>
  <c r="P393" i="6"/>
  <c r="K393" i="6"/>
  <c r="P230" i="6"/>
  <c r="P231" i="6"/>
  <c r="P232" i="6"/>
  <c r="K232" i="6"/>
  <c r="P98" i="6"/>
  <c r="P99" i="6"/>
  <c r="P100" i="6"/>
  <c r="K100" i="6"/>
  <c r="N171" i="7"/>
  <c r="L171" i="7"/>
  <c r="J171" i="7"/>
  <c r="N64" i="7"/>
  <c r="L64" i="7"/>
  <c r="J64" i="7"/>
  <c r="N37" i="7"/>
  <c r="L37" i="7"/>
  <c r="J37" i="7"/>
  <c r="N16" i="7"/>
  <c r="L16" i="7"/>
  <c r="J16" i="7"/>
  <c r="P560" i="6"/>
  <c r="P561" i="6"/>
  <c r="P562" i="6"/>
  <c r="K562" i="6"/>
  <c r="P402" i="6"/>
  <c r="P403" i="6"/>
  <c r="P404" i="6"/>
  <c r="K404" i="6"/>
  <c r="P237" i="6"/>
  <c r="P238" i="6"/>
  <c r="P239" i="6"/>
  <c r="P414" i="6"/>
  <c r="P415" i="6"/>
  <c r="P416" i="6"/>
  <c r="K416" i="6"/>
  <c r="F18" i="9"/>
  <c r="P423" i="6"/>
  <c r="P424" i="6"/>
  <c r="P425" i="6"/>
  <c r="I1" i="6"/>
  <c r="K425" i="6"/>
  <c r="L41" i="7"/>
  <c r="N169" i="7"/>
  <c r="N38" i="7"/>
  <c r="N80" i="9"/>
  <c r="J80" i="9"/>
  <c r="L80" i="9"/>
  <c r="N63" i="9"/>
  <c r="L63" i="9"/>
  <c r="J63" i="9"/>
  <c r="N38" i="9"/>
  <c r="L38" i="9"/>
  <c r="J38" i="9"/>
  <c r="J18" i="9"/>
  <c r="L18" i="9"/>
  <c r="N18" i="9"/>
  <c r="N78" i="9"/>
  <c r="H84" i="1"/>
  <c r="L42" i="9"/>
  <c r="L64" i="9"/>
  <c r="L81" i="9"/>
  <c r="M19" i="9"/>
  <c r="L172" i="7"/>
  <c r="L68" i="7"/>
  <c r="M17" i="7"/>
  <c r="G2" i="7"/>
  <c r="N2" i="7"/>
  <c r="G2" i="9"/>
  <c r="N2" i="9"/>
  <c r="G16" i="1"/>
  <c r="F16" i="1"/>
  <c r="G18" i="4"/>
  <c r="F18" i="4"/>
  <c r="H47" i="1"/>
  <c r="F65" i="4"/>
  <c r="G65" i="4"/>
  <c r="H41" i="4"/>
  <c r="G83" i="4"/>
  <c r="H81" i="4"/>
  <c r="H40" i="4"/>
  <c r="G40" i="4"/>
  <c r="F40" i="4"/>
  <c r="G19" i="4"/>
  <c r="G45" i="4"/>
  <c r="G66" i="4"/>
  <c r="G84" i="4"/>
  <c r="E1" i="4"/>
  <c r="H1" i="4"/>
  <c r="G46" i="1"/>
  <c r="G83" i="2"/>
  <c r="G86" i="1"/>
  <c r="G87" i="1"/>
  <c r="F24" i="2"/>
  <c r="G24" i="2"/>
  <c r="G26" i="2"/>
  <c r="H46" i="1"/>
  <c r="G68" i="1"/>
  <c r="F68" i="1"/>
  <c r="F46" i="1"/>
  <c r="G51" i="1"/>
  <c r="G17" i="1"/>
  <c r="G69" i="1"/>
  <c r="E1" i="2"/>
  <c r="H1" i="2"/>
  <c r="E1" i="1"/>
  <c r="H1" i="1"/>
  <c r="K239" i="6"/>
  <c r="K3432" i="6"/>
  <c r="G1" i="6"/>
  <c r="N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Grissam</author>
  </authors>
  <commentList>
    <comment ref="A127" authorId="0" shapeId="0" xr:uid="{00000000-0006-0000-0100-000001000000}">
      <text>
        <r>
          <rPr>
            <b/>
            <sz val="9"/>
            <color indexed="81"/>
            <rFont val="Tahoma"/>
            <family val="2"/>
          </rPr>
          <t>David Grissam:</t>
        </r>
        <r>
          <rPr>
            <sz val="9"/>
            <color indexed="81"/>
            <rFont val="Tahoma"/>
            <family val="2"/>
          </rPr>
          <t xml:space="preserve">
Use EIDS Pullout</t>
        </r>
      </text>
    </comment>
    <comment ref="A171" authorId="0" shapeId="0" xr:uid="{00000000-0006-0000-0100-000002000000}">
      <text>
        <r>
          <rPr>
            <b/>
            <sz val="9"/>
            <color indexed="81"/>
            <rFont val="Tahoma"/>
            <family val="2"/>
          </rPr>
          <t xml:space="preserve">David Grissam:
use EIDS Pullout </t>
        </r>
      </text>
    </comment>
    <comment ref="A207" authorId="0" shapeId="0" xr:uid="{00000000-0006-0000-0100-000003000000}">
      <text>
        <r>
          <rPr>
            <b/>
            <sz val="9"/>
            <color indexed="81"/>
            <rFont val="Tahoma"/>
            <family val="2"/>
          </rPr>
          <t>David Grissam:</t>
        </r>
        <r>
          <rPr>
            <sz val="9"/>
            <color indexed="81"/>
            <rFont val="Tahoma"/>
            <family val="2"/>
          </rPr>
          <t xml:space="preserve">
use EIDS Pullout </t>
        </r>
      </text>
    </comment>
    <comment ref="A254" authorId="0" shapeId="0" xr:uid="{00000000-0006-0000-0100-000004000000}">
      <text>
        <r>
          <rPr>
            <b/>
            <sz val="9"/>
            <color indexed="81"/>
            <rFont val="Tahoma"/>
            <family val="2"/>
          </rPr>
          <t>David Grissam:</t>
        </r>
        <r>
          <rPr>
            <sz val="9"/>
            <color indexed="81"/>
            <rFont val="Tahoma"/>
            <family val="2"/>
          </rPr>
          <t xml:space="preserve">
use EIDS Pullout </t>
        </r>
      </text>
    </comment>
    <comment ref="A353" authorId="0" shapeId="0" xr:uid="{00000000-0006-0000-0100-000005000000}">
      <text>
        <r>
          <rPr>
            <b/>
            <sz val="9"/>
            <color indexed="81"/>
            <rFont val="Tahoma"/>
            <family val="2"/>
          </rPr>
          <t>David Grissam:</t>
        </r>
        <r>
          <rPr>
            <sz val="9"/>
            <color indexed="81"/>
            <rFont val="Tahoma"/>
            <family val="2"/>
          </rPr>
          <t xml:space="preserve">
use EIDS Pullout </t>
        </r>
      </text>
    </comment>
    <comment ref="A458" authorId="0" shapeId="0" xr:uid="{00000000-0006-0000-0100-000006000000}">
      <text>
        <r>
          <rPr>
            <b/>
            <sz val="9"/>
            <color indexed="81"/>
            <rFont val="Tahoma"/>
            <family val="2"/>
          </rPr>
          <t>David Grissam:</t>
        </r>
        <r>
          <rPr>
            <sz val="9"/>
            <color indexed="81"/>
            <rFont val="Tahoma"/>
            <family val="2"/>
          </rPr>
          <t xml:space="preserve">
use EIDS Pullout </t>
        </r>
      </text>
    </comment>
    <comment ref="N3472" authorId="0" shapeId="0" xr:uid="{00000000-0006-0000-0100-000007000000}">
      <text>
        <r>
          <rPr>
            <b/>
            <sz val="9"/>
            <color indexed="81"/>
            <rFont val="Tahoma"/>
            <family val="2"/>
          </rPr>
          <t>David Grissam:</t>
        </r>
        <r>
          <rPr>
            <sz val="9"/>
            <color indexed="81"/>
            <rFont val="Tahoma"/>
            <family val="2"/>
          </rPr>
          <t xml:space="preserve">
Not an OHCA at time of call
UNKNOWN</t>
        </r>
      </text>
    </comment>
    <comment ref="N3473" authorId="0" shapeId="0" xr:uid="{00000000-0006-0000-0100-000008000000}">
      <text>
        <r>
          <rPr>
            <b/>
            <sz val="9"/>
            <color indexed="81"/>
            <rFont val="Tahoma"/>
            <family val="2"/>
          </rPr>
          <t>David Grissam:</t>
        </r>
        <r>
          <rPr>
            <sz val="9"/>
            <color indexed="81"/>
            <rFont val="Tahoma"/>
            <family val="2"/>
          </rPr>
          <t xml:space="preserve">
REFUSED
UNABLE TO
3RD PARTY
IN PROGRESS
UNKNOWN</t>
        </r>
      </text>
    </comment>
  </commentList>
</comments>
</file>

<file path=xl/sharedStrings.xml><?xml version="1.0" encoding="utf-8"?>
<sst xmlns="http://schemas.openxmlformats.org/spreadsheetml/2006/main" count="15550" uniqueCount="1977">
  <si>
    <t>Score:</t>
  </si>
  <si>
    <t>of</t>
  </si>
  <si>
    <t>Date</t>
  </si>
  <si>
    <t>Call Number:</t>
  </si>
  <si>
    <t>Phone Line:</t>
  </si>
  <si>
    <t>Call-Taker</t>
  </si>
  <si>
    <t>Call Duration:</t>
  </si>
  <si>
    <t xml:space="preserve">Caller is: </t>
  </si>
  <si>
    <t xml:space="preserve">          Call Entry</t>
  </si>
  <si>
    <t>1a.</t>
  </si>
  <si>
    <t>1a</t>
  </si>
  <si>
    <t>2a</t>
  </si>
  <si>
    <t>What is the address of the emergency?</t>
  </si>
  <si>
    <t>Was the address / location confirmed / verified?</t>
  </si>
  <si>
    <t>Was the phone number asked?</t>
  </si>
  <si>
    <t>Reviewer Notes:</t>
  </si>
  <si>
    <t xml:space="preserve">          Interview Questions</t>
  </si>
  <si>
    <t>3a</t>
  </si>
  <si>
    <t>3b</t>
  </si>
  <si>
    <t>6a</t>
  </si>
  <si>
    <t>6b</t>
  </si>
  <si>
    <t>(1 point will be subtracted if information was not obtained on initial call)</t>
  </si>
  <si>
    <t>Age</t>
  </si>
  <si>
    <t>Gender</t>
  </si>
  <si>
    <t>Race</t>
  </si>
  <si>
    <t>Height</t>
  </si>
  <si>
    <t>Weight</t>
  </si>
  <si>
    <t>Hair Color</t>
  </si>
  <si>
    <t>Clothing</t>
  </si>
  <si>
    <t>Vehicle</t>
  </si>
  <si>
    <t>Proper interview sequence for * items</t>
  </si>
  <si>
    <t>*Weapons?</t>
  </si>
  <si>
    <t>*Description (pistol, rifle, knife, etc)</t>
  </si>
  <si>
    <t>*Location of Weapons(s)</t>
  </si>
  <si>
    <t>*Suspect(s) Location</t>
  </si>
  <si>
    <t>*Suspect(s) Description</t>
  </si>
  <si>
    <t>Physical or Verbal</t>
  </si>
  <si>
    <t>Asked if EMS is needed</t>
  </si>
  <si>
    <t>Asked if caller wanted contact</t>
  </si>
  <si>
    <t>Complainants name / Address asked</t>
  </si>
  <si>
    <t>Did reporting party have to be called back?</t>
  </si>
  <si>
    <t>A total of 10 points are possible for this section. Use the following scale to grade.</t>
  </si>
  <si>
    <t>Unacceptable</t>
  </si>
  <si>
    <t>Acceptable needs work</t>
  </si>
  <si>
    <t>Acceptable</t>
  </si>
  <si>
    <t>Superior</t>
  </si>
  <si>
    <t>1-2</t>
  </si>
  <si>
    <t>3-4</t>
  </si>
  <si>
    <t>5-6-7</t>
  </si>
  <si>
    <t>8-9-10</t>
  </si>
  <si>
    <t>Total points:</t>
  </si>
  <si>
    <t xml:space="preserve">          CAD Skills</t>
  </si>
  <si>
    <t>Proper Nature Code</t>
  </si>
  <si>
    <t>Apartment / Building entered correctly</t>
  </si>
  <si>
    <t>Total points (5 possible)</t>
  </si>
  <si>
    <t xml:space="preserve">          Telephone Protocol / Skills</t>
  </si>
  <si>
    <t>Was proper greeting used</t>
  </si>
  <si>
    <t>Listens and comprehends</t>
  </si>
  <si>
    <t>Takes control of call using good judgment</t>
  </si>
  <si>
    <t>Call-taker was professional</t>
  </si>
  <si>
    <t>What was the call-taker's demeanor? (C,O,A,R)</t>
  </si>
  <si>
    <r>
      <rPr>
        <b/>
        <sz val="12"/>
        <color theme="1"/>
        <rFont val="Calibri"/>
        <family val="2"/>
        <scheme val="minor"/>
      </rPr>
      <t>C</t>
    </r>
    <r>
      <rPr>
        <sz val="11"/>
        <color theme="1"/>
        <rFont val="Calibri"/>
        <family val="2"/>
        <scheme val="minor"/>
      </rPr>
      <t>ourteous (10points) C</t>
    </r>
    <r>
      <rPr>
        <b/>
        <sz val="12"/>
        <color theme="1"/>
        <rFont val="Calibri"/>
        <family val="2"/>
        <scheme val="minor"/>
      </rPr>
      <t>o</t>
    </r>
    <r>
      <rPr>
        <sz val="11"/>
        <color theme="1"/>
        <rFont val="Calibri"/>
        <family val="2"/>
        <scheme val="minor"/>
      </rPr>
      <t xml:space="preserve">rdial (7points) </t>
    </r>
    <r>
      <rPr>
        <b/>
        <sz val="12"/>
        <color theme="1"/>
        <rFont val="Calibri"/>
        <family val="2"/>
        <scheme val="minor"/>
      </rPr>
      <t>A</t>
    </r>
    <r>
      <rPr>
        <sz val="11"/>
        <color theme="1"/>
        <rFont val="Calibri"/>
        <family val="2"/>
        <scheme val="minor"/>
      </rPr>
      <t xml:space="preserve">brasive (4points) </t>
    </r>
    <r>
      <rPr>
        <b/>
        <sz val="12"/>
        <color theme="1"/>
        <rFont val="Calibri"/>
        <family val="2"/>
        <scheme val="minor"/>
      </rPr>
      <t>R</t>
    </r>
    <r>
      <rPr>
        <sz val="11"/>
        <color theme="1"/>
        <rFont val="Calibri"/>
        <family val="2"/>
        <scheme val="minor"/>
      </rPr>
      <t>ude (0points)</t>
    </r>
  </si>
  <si>
    <t>Total points (14 possible)</t>
  </si>
  <si>
    <t>7-Digit</t>
  </si>
  <si>
    <t>Aguirre, Corina</t>
  </si>
  <si>
    <t>Bishop,Susannah</t>
  </si>
  <si>
    <t>Earl, Deborah</t>
  </si>
  <si>
    <t>Engles, Emily</t>
  </si>
  <si>
    <t>Ericksen, Tammy</t>
  </si>
  <si>
    <t>Fielder, Brandy</t>
  </si>
  <si>
    <t>Glover, Carolyn</t>
  </si>
  <si>
    <t>Grissam, David</t>
  </si>
  <si>
    <t>Jewell, Jorian</t>
  </si>
  <si>
    <t>Kindley, Sarah</t>
  </si>
  <si>
    <t>Lake, Stephanie</t>
  </si>
  <si>
    <t>Lewis, Andrea</t>
  </si>
  <si>
    <t>Long, Trace</t>
  </si>
  <si>
    <t>Meave, Tammie</t>
  </si>
  <si>
    <t>Reaves, Joshua</t>
  </si>
  <si>
    <t>Riley, Sarah</t>
  </si>
  <si>
    <t>Roller, Tami</t>
  </si>
  <si>
    <t>Stilwell, Kala</t>
  </si>
  <si>
    <t>Stober, Andrew</t>
  </si>
  <si>
    <t>VanHouten, Diana</t>
  </si>
  <si>
    <t>Wood, Lynzee</t>
  </si>
  <si>
    <t>Victim</t>
  </si>
  <si>
    <t>w / Victim</t>
  </si>
  <si>
    <t>Witness / Passerby</t>
  </si>
  <si>
    <t>Referring Agency</t>
  </si>
  <si>
    <t xml:space="preserve"> </t>
  </si>
  <si>
    <t>Richardson, Jeremy</t>
  </si>
  <si>
    <t>Choose Call-taker</t>
  </si>
  <si>
    <t>Choose Type</t>
  </si>
  <si>
    <t>Patient</t>
  </si>
  <si>
    <t>W/ Patient</t>
  </si>
  <si>
    <t>Remote From Patient</t>
  </si>
  <si>
    <t>Case Entry Questions:</t>
  </si>
  <si>
    <t>What's the location of the emergency?</t>
  </si>
  <si>
    <t>Was the location confirmation used?</t>
  </si>
  <si>
    <t>What’s the phone number you’re calling from?</t>
  </si>
  <si>
    <t>2a.</t>
  </si>
  <si>
    <t>Was the phone number documented in the entry?</t>
  </si>
  <si>
    <t xml:space="preserve">What is the problem tell me exactly what happened? </t>
  </si>
  <si>
    <t>Are you with the patient? (Not obvious)</t>
  </si>
  <si>
    <t>How many people are hurt? (Not obvious)</t>
  </si>
  <si>
    <t>3c</t>
  </si>
  <si>
    <t>Is s/he breathing or coughing at all? (CHOKING)</t>
  </si>
  <si>
    <t>How old is the patient?</t>
  </si>
  <si>
    <t>4a</t>
  </si>
  <si>
    <t>Was the age documented in the entry?</t>
  </si>
  <si>
    <t>Is s/he awake?</t>
  </si>
  <si>
    <t>Is s/he breathing?</t>
  </si>
  <si>
    <t>Awake and breathing asks separately?</t>
  </si>
  <si>
    <t>Were all questions asked in order?</t>
  </si>
  <si>
    <t>The Caller was placed on hold during case entry:</t>
  </si>
  <si>
    <t>Comments:</t>
  </si>
  <si>
    <t>Chief Complaint:</t>
  </si>
  <si>
    <t xml:space="preserve">What was the chief complaint determinant card that was chosen?   </t>
  </si>
  <si>
    <t>7a</t>
  </si>
  <si>
    <t>Do you feel this was the correct choice?</t>
  </si>
  <si>
    <t>Choose a Nature Code</t>
  </si>
  <si>
    <t>7b</t>
  </si>
  <si>
    <t>If you feel this was not the best choice then what was?</t>
  </si>
  <si>
    <t>01 Abdominal Pain / Problems</t>
  </si>
  <si>
    <t>02 Allergies / Envenomations</t>
  </si>
  <si>
    <t>03 Animal Bites/ Attacks</t>
  </si>
  <si>
    <t>04 Assault / Sexual Assault / Stun Gun</t>
  </si>
  <si>
    <t>05 Back Pain (Non-Traumatic or Non-Recent Trauma</t>
  </si>
  <si>
    <t>06 Breathing Problems</t>
  </si>
  <si>
    <t>07 Burns (Scalds) / Explosion (Blast)</t>
  </si>
  <si>
    <t>Were the key questions asked approprately?</t>
  </si>
  <si>
    <t>08 Carabon Monoxide / Inhalation / Hazmat / CBRN</t>
  </si>
  <si>
    <t>Were they asked in the correct order?</t>
  </si>
  <si>
    <t>09 Cardiac or Respiratory Arrest / Death</t>
  </si>
  <si>
    <t>10 Chest Pain / Chest Discomfort (Non-Traumatic)</t>
  </si>
  <si>
    <t>11 Choking</t>
  </si>
  <si>
    <t>12 Convulsions / Seizures</t>
  </si>
  <si>
    <t>1-2-3</t>
  </si>
  <si>
    <t>4-5-6</t>
  </si>
  <si>
    <t>7-8-9</t>
  </si>
  <si>
    <t>13 diabetic Problems</t>
  </si>
  <si>
    <t>14 Drowning / Near Drowning / Diving / SCUBA Accident</t>
  </si>
  <si>
    <t>The Caller was placed on hold during Key Questions:</t>
  </si>
  <si>
    <t>15 Electrocution / Lighting</t>
  </si>
  <si>
    <t>16 Eye Problems / Injuries</t>
  </si>
  <si>
    <t>17 Falls</t>
  </si>
  <si>
    <t>18 Headache</t>
  </si>
  <si>
    <t>19 Heart Problems / A.I.C.D.</t>
  </si>
  <si>
    <t>20 Heat / Cold Exposure</t>
  </si>
  <si>
    <t>21 Hemorrhage / Lacerations</t>
  </si>
  <si>
    <t>22 Inaccessible Incident / Other Entrapments (Non-Traffic)</t>
  </si>
  <si>
    <t>Post Dispatch Instructions:</t>
  </si>
  <si>
    <t>23 Overdose / Poisoning (Ingestion)</t>
  </si>
  <si>
    <t>Post dispatch instructions were given?</t>
  </si>
  <si>
    <t>24 Pregnancy / Childbirth / Miscarriage</t>
  </si>
  <si>
    <t>Were they given correctily? (C,M,D,J,A)</t>
  </si>
  <si>
    <t>25 Psychiatric / Abnormal behavior / Suicide Attempt</t>
  </si>
  <si>
    <r>
      <rPr>
        <b/>
        <sz val="11"/>
        <color theme="1"/>
        <rFont val="Calibri"/>
        <family val="2"/>
        <scheme val="minor"/>
      </rPr>
      <t>C</t>
    </r>
    <r>
      <rPr>
        <sz val="11"/>
        <color theme="1"/>
        <rFont val="Calibri"/>
        <family val="2"/>
        <scheme val="minor"/>
      </rPr>
      <t xml:space="preserve">orrect(10points) </t>
    </r>
    <r>
      <rPr>
        <b/>
        <sz val="11"/>
        <color theme="1"/>
        <rFont val="Calibri"/>
        <family val="2"/>
        <scheme val="minor"/>
      </rPr>
      <t>M</t>
    </r>
    <r>
      <rPr>
        <sz val="11"/>
        <color theme="1"/>
        <rFont val="Calibri"/>
        <family val="2"/>
        <scheme val="minor"/>
      </rPr>
      <t>inor(8points) Mo</t>
    </r>
    <r>
      <rPr>
        <b/>
        <sz val="11"/>
        <color theme="1"/>
        <rFont val="Calibri"/>
        <family val="2"/>
        <scheme val="minor"/>
      </rPr>
      <t>D</t>
    </r>
    <r>
      <rPr>
        <sz val="11"/>
        <color theme="1"/>
        <rFont val="Calibri"/>
        <family val="2"/>
        <scheme val="minor"/>
      </rPr>
      <t>erate(5points) Ma</t>
    </r>
    <r>
      <rPr>
        <b/>
        <sz val="11"/>
        <color theme="1"/>
        <rFont val="Calibri"/>
        <family val="2"/>
        <scheme val="minor"/>
      </rPr>
      <t>J</t>
    </r>
    <r>
      <rPr>
        <sz val="11"/>
        <color theme="1"/>
        <rFont val="Calibri"/>
        <family val="2"/>
        <scheme val="minor"/>
      </rPr>
      <t xml:space="preserve">or(2points) </t>
    </r>
    <r>
      <rPr>
        <b/>
        <sz val="11"/>
        <color theme="1"/>
        <rFont val="Calibri"/>
        <family val="2"/>
        <scheme val="minor"/>
      </rPr>
      <t>A</t>
    </r>
    <r>
      <rPr>
        <sz val="11"/>
        <color theme="1"/>
        <rFont val="Calibri"/>
        <family val="2"/>
        <scheme val="minor"/>
      </rPr>
      <t>bsolute(0points)</t>
    </r>
  </si>
  <si>
    <t>26 Sick Person (Specific Diagnosis)</t>
  </si>
  <si>
    <t>27 Stab / Gunshot / Penetrating Trauma</t>
  </si>
  <si>
    <t>The caller was placed on hold during PDI's and Case Exit:</t>
  </si>
  <si>
    <t>28 Stroke (CVA) / Transient Ischemic Attack (TIA)</t>
  </si>
  <si>
    <t>29 Traffic / Transportation Incidents</t>
  </si>
  <si>
    <t>PDI Comments:</t>
  </si>
  <si>
    <t>30 Traumatic Injuries (Specific)</t>
  </si>
  <si>
    <t>31 Unconscious / Fainting (Near)\</t>
  </si>
  <si>
    <t>32 Unknown Problem (Person Down)</t>
  </si>
  <si>
    <t>33 Tranfer / Interfacility / Palliative Care</t>
  </si>
  <si>
    <t>Was the phone number documented?</t>
  </si>
  <si>
    <t>*Number of subjects / suspects</t>
  </si>
  <si>
    <t>Was the address entered correctly?</t>
  </si>
  <si>
    <t>Additional Location information entered</t>
  </si>
  <si>
    <t>(Apt name, Business name, in appropriate field)</t>
  </si>
  <si>
    <t>Status / Priority upgraded or downgraded</t>
  </si>
  <si>
    <t>If questions 3a, 3b, 3c, 5, 6 are obvious then the answer will be “Yes”</t>
  </si>
  <si>
    <t>TDD/TTY</t>
  </si>
  <si>
    <t>Correct Code Chosen</t>
  </si>
  <si>
    <t>A total of 10 points are possible for this section. Use the following scale to grade</t>
  </si>
  <si>
    <t>Was the 911 CAD Dump used to build the call ?</t>
  </si>
  <si>
    <t>1b</t>
  </si>
  <si>
    <t>1b.</t>
  </si>
  <si>
    <t>Was the 911 CAD Dump used to build the call?</t>
  </si>
  <si>
    <t>Total Points (15 Possible)</t>
  </si>
  <si>
    <t>Explain the reasoning why this was or was not the correct choice:</t>
  </si>
  <si>
    <t>Was RP name asked?</t>
  </si>
  <si>
    <t>Was RP name documented?</t>
  </si>
  <si>
    <t>Location of fire (relative to location/address provided)?</t>
  </si>
  <si>
    <t>Do You see smoke/flames asked?</t>
  </si>
  <si>
    <t>If flames, How large of an area invovled asked?</t>
  </si>
  <si>
    <t>If smoke, What color of smoke asked?</t>
  </si>
  <si>
    <t>Any structures threatened asked?</t>
  </si>
  <si>
    <t>Any vehicles / equipment threatened asked?</t>
  </si>
  <si>
    <t>Any hazards (Propane/Fuel tanks, etc) threatened asked?</t>
  </si>
  <si>
    <t>Any landmarks/descriptions to locate access to fire?</t>
  </si>
  <si>
    <t>Weather information documented in call narative?</t>
  </si>
  <si>
    <t>Total points (6 possible)</t>
  </si>
  <si>
    <t>3rd Party</t>
  </si>
  <si>
    <t>How close to 6, 7, or 8 asked?</t>
  </si>
  <si>
    <t>What is the problem tell me exactly what happened?</t>
  </si>
  <si>
    <t>Total points (8 possible)</t>
  </si>
  <si>
    <t>4b</t>
  </si>
  <si>
    <t>7c</t>
  </si>
  <si>
    <t>7d</t>
  </si>
  <si>
    <t>7e</t>
  </si>
  <si>
    <t>7f</t>
  </si>
  <si>
    <t>7g</t>
  </si>
  <si>
    <t>7h</t>
  </si>
  <si>
    <t>Nature Code</t>
  </si>
  <si>
    <t>Disturbance</t>
  </si>
  <si>
    <t>Loud Party</t>
  </si>
  <si>
    <t>Noise Complaint</t>
  </si>
  <si>
    <t>£</t>
  </si>
  <si>
    <t>Ì</t>
  </si>
  <si>
    <t>No</t>
  </si>
  <si>
    <t>Yes</t>
  </si>
  <si>
    <t>N/A</t>
  </si>
  <si>
    <t>T</t>
  </si>
  <si>
    <t>Score</t>
  </si>
  <si>
    <t>Phone:</t>
  </si>
  <si>
    <t>Call Taker</t>
  </si>
  <si>
    <t>Min</t>
  </si>
  <si>
    <t>Caller is:</t>
  </si>
  <si>
    <t>Total Points (</t>
  </si>
  <si>
    <t>Possible)</t>
  </si>
  <si>
    <t>The Caller was placed on hold during Case Entry</t>
  </si>
  <si>
    <t>Comments</t>
  </si>
  <si>
    <t>What was the Chief Complaint Determinant Card that was chosen?</t>
  </si>
  <si>
    <t>If you feel this was not the best choice, then what was?</t>
  </si>
  <si>
    <t>Were they given correctly? (C,M,D,J,A)</t>
  </si>
  <si>
    <t>Type</t>
  </si>
  <si>
    <t>Sec</t>
  </si>
  <si>
    <t>12/05/2018 02.00.00</t>
  </si>
  <si>
    <t>C</t>
  </si>
  <si>
    <t>*Number of subjects / Suspects</t>
  </si>
  <si>
    <t>Complaints name / Address asked</t>
  </si>
  <si>
    <t>Total Points</t>
  </si>
  <si>
    <t>Apartment / Building entered correctly?</t>
  </si>
  <si>
    <t>Additional location information entered</t>
  </si>
  <si>
    <t>(Apt name / Buisness name in the approprite field)</t>
  </si>
  <si>
    <t>Total Points (5 possible)</t>
  </si>
  <si>
    <t>Was proper greeting used?</t>
  </si>
  <si>
    <t>What was the call-taker's demanor? (C,O,A,R)</t>
  </si>
  <si>
    <t>Total Points (14 possible)</t>
  </si>
  <si>
    <t>O</t>
  </si>
  <si>
    <t>A</t>
  </si>
  <si>
    <t>R</t>
  </si>
  <si>
    <t>4a.</t>
  </si>
  <si>
    <t>Total Points (6 possible)</t>
  </si>
  <si>
    <t>Grass Fire</t>
  </si>
  <si>
    <t>Control Burn</t>
  </si>
  <si>
    <t>A. Call Entry Questions:</t>
  </si>
  <si>
    <t>B. Interview Questions:</t>
  </si>
  <si>
    <t>C. CAD Skills:</t>
  </si>
  <si>
    <t>D. Telephone Protocol / Skills:</t>
  </si>
  <si>
    <t>Location of the Noise</t>
  </si>
  <si>
    <t>Location of the Noise in reference to caller?</t>
  </si>
  <si>
    <t>Time of occurrence</t>
  </si>
  <si>
    <t>Does the RP want Contact</t>
  </si>
  <si>
    <t>RP's name asked?</t>
  </si>
  <si>
    <t>RP advised of Noise Variance and that we will check level</t>
  </si>
  <si>
    <t>IF variance in place was location of variance in Location Field</t>
  </si>
  <si>
    <t>A. Case Entry Questions:</t>
  </si>
  <si>
    <t>B. Chief Complaint:</t>
  </si>
  <si>
    <t>C. Key Questions:</t>
  </si>
  <si>
    <t>Incorrect</t>
  </si>
  <si>
    <t>Were any Key Questions asked out of order?</t>
  </si>
  <si>
    <t>1</t>
  </si>
  <si>
    <t>2</t>
  </si>
  <si>
    <t>3</t>
  </si>
  <si>
    <t>4</t>
  </si>
  <si>
    <t>4ai</t>
  </si>
  <si>
    <t>4aii</t>
  </si>
  <si>
    <t>5</t>
  </si>
  <si>
    <t>5a</t>
  </si>
  <si>
    <t>6</t>
  </si>
  <si>
    <t>7</t>
  </si>
  <si>
    <t>8</t>
  </si>
  <si>
    <t>5b</t>
  </si>
  <si>
    <t>5c</t>
  </si>
  <si>
    <t>9a</t>
  </si>
  <si>
    <t>9b</t>
  </si>
  <si>
    <t>Does the incident involve the release of any hazmat?</t>
  </si>
  <si>
    <t>is s/he still trapped?</t>
  </si>
  <si>
    <t>2b</t>
  </si>
  <si>
    <t>Where exactly is s/he?</t>
  </si>
  <si>
    <t>Is the immeadiate area dangerous or hazardous?</t>
  </si>
  <si>
    <t>4c</t>
  </si>
  <si>
    <t>Stroke Diagnostic used.</t>
  </si>
  <si>
    <t>(No and Uncon) Agonal Breathing Test done?</t>
  </si>
  <si>
    <t>3ai</t>
  </si>
  <si>
    <t>Is this call a result of an evaluationby a nurse or doctor?</t>
  </si>
  <si>
    <t>Asprin Diagnostic used</t>
  </si>
  <si>
    <t>Select One</t>
  </si>
  <si>
    <t>Narcan/Naloxone used</t>
  </si>
  <si>
    <t>D. Pre-Arrival / Post Dispatch Instructions:</t>
  </si>
  <si>
    <t>31 Unconscious / Fainting (Near)</t>
  </si>
  <si>
    <t>M</t>
  </si>
  <si>
    <t>D</t>
  </si>
  <si>
    <t>J</t>
  </si>
  <si>
    <t>(Yes) Agonal Breathing Test done</t>
  </si>
  <si>
    <t>(Yes/Unsure) Agonal Breathing Test done</t>
  </si>
  <si>
    <t>(STROKE Symptoms identified) Stroke Diagnostic completed?</t>
  </si>
  <si>
    <t>Cocaine</t>
  </si>
  <si>
    <t>Medications</t>
  </si>
  <si>
    <t>Asprin Diagnostic used :</t>
  </si>
  <si>
    <t>KQ7 answer :</t>
  </si>
  <si>
    <t>None</t>
  </si>
  <si>
    <t>Normal</t>
  </si>
  <si>
    <t>Unknown</t>
  </si>
  <si>
    <r>
      <rPr>
        <b/>
        <sz val="11"/>
        <color theme="1"/>
        <rFont val="Calibri"/>
        <family val="2"/>
        <scheme val="minor"/>
      </rPr>
      <t>Hotter</t>
    </r>
    <r>
      <rPr>
        <sz val="11"/>
        <color theme="1"/>
        <rFont val="Calibri"/>
        <family val="2"/>
        <scheme val="minor"/>
      </rPr>
      <t xml:space="preserve"> than normal</t>
    </r>
  </si>
  <si>
    <r>
      <rPr>
        <b/>
        <sz val="11"/>
        <color theme="1"/>
        <rFont val="Calibri"/>
        <family val="2"/>
        <scheme val="minor"/>
      </rPr>
      <t xml:space="preserve">Colder </t>
    </r>
    <r>
      <rPr>
        <sz val="11"/>
        <color theme="1"/>
        <rFont val="Calibri"/>
        <family val="2"/>
        <scheme val="minor"/>
      </rPr>
      <t>than normal</t>
    </r>
  </si>
  <si>
    <t>KQ6 answer :</t>
  </si>
  <si>
    <t>Shunt</t>
  </si>
  <si>
    <t>08</t>
  </si>
  <si>
    <t>15</t>
  </si>
  <si>
    <t>30</t>
  </si>
  <si>
    <t>23</t>
  </si>
  <si>
    <t>27</t>
  </si>
  <si>
    <t>10</t>
  </si>
  <si>
    <t>21</t>
  </si>
  <si>
    <t>How close to 3, 4, or 5 asked?</t>
  </si>
  <si>
    <t>Type of Noise</t>
  </si>
  <si>
    <t>Does the RP want to sign a complaint</t>
  </si>
  <si>
    <t>Colder than normal</t>
  </si>
  <si>
    <t>Hotter than normal</t>
  </si>
  <si>
    <t>EMD Nature Codes</t>
  </si>
  <si>
    <t>Patrol Nature Codes</t>
  </si>
  <si>
    <t>Fire Nature Codes</t>
  </si>
  <si>
    <t>(Delta or Charlie) Tell her/him to lie down (sit if difficulity breathing) and not to stand or walk</t>
  </si>
  <si>
    <t>(Non-elipd snakebite) Keep her/him from moving around. Keep the bitten area below heart-level if possible. Do not apple ice or turniquet. Do not give him/her alcohol to drink.</t>
  </si>
  <si>
    <t>a</t>
  </si>
  <si>
    <t>b</t>
  </si>
  <si>
    <t>c</t>
  </si>
  <si>
    <t>*</t>
  </si>
  <si>
    <t>Stay on the line with the caller if patient has a history of severe alergic reactions to the same type of inscet or substance or if his/her condition seems unstable or worsening.</t>
  </si>
  <si>
    <t>Avoid further contact with the animal.</t>
  </si>
  <si>
    <t>If it's safe to do so, lock up or isolate the animal.</t>
  </si>
  <si>
    <t>(Appropriate) Notify Animal Control</t>
  </si>
  <si>
    <t>(Sexual assault) Do not change clothes, bathe, shower, or go to the bathroom.</t>
  </si>
  <si>
    <t>In volatile/criminal situations, refer to applicable law enforcement protocol.</t>
  </si>
  <si>
    <t>(&gt;1 +E-1,2,3) If there is a defibrillator (AED) available, send someone to get it now in case we need it later.</t>
  </si>
  <si>
    <t>(Asthma or other lung problems) If s/he has a prescribed inhaler or nebulizer for thse attacks, tell her/him to use it now/again.</t>
  </si>
  <si>
    <t>(Patient medications requested and Alert) Remind her/him to do what her/his doctor has instructed for these situations.</t>
  </si>
  <si>
    <t>d</t>
  </si>
  <si>
    <t>e</t>
  </si>
  <si>
    <t>(Special equipment/instructions not yet used) Advise her/him to use that treatment now</t>
  </si>
  <si>
    <t>Utilize the Asprin Diagnostic &amp; Instruction Tool - If authorized by local Medical Control and the chest pain/discomfort (Heart Attack Symptoms) patient is alert &gt;16 years old, and has no reported STROKE symptoms.</t>
  </si>
  <si>
    <t>If her/his clothes are burning or smoldering, douse them with water immeadiately. If water is not available, then roll her/him on the ground or smother the fire.</t>
  </si>
  <si>
    <t>(Explosion) Do not touch anything or pick up any debris.</t>
  </si>
  <si>
    <t>Advise caller and responders of any potential hazards.</t>
  </si>
  <si>
    <t>(Danger inside) Leave the area immeadiately.</t>
  </si>
  <si>
    <t>(Patient in enclosed space) Do not open any doors or windows in an attempt to gain access to the patient.</t>
  </si>
  <si>
    <t>(Carbon monoxide) Do not use any open flame or anything that could cause a spark. Leave the building/area immediately (and leave the door open).</t>
  </si>
  <si>
    <t>(OBVIOUS DEATH unquestionalbe) I'm sending someone to assist you. Please leave everything as you found it. Is there anything else we can do for you (or your family)?</t>
  </si>
  <si>
    <t>(EXPECTED DEATH unquestionalbe) I'm sending someone to assist you. Is ther anything else we can do for you (or your family)?</t>
  </si>
  <si>
    <t>(Suspected Workable Arrest) I'm sending the paramedics (ambulance) to help you now. Stay on the line and I'll tell you exactly what to do next.</t>
  </si>
  <si>
    <t>(OBVIOUS or EXPECTED DEATH unquestionalbe) Notify proper authorities.</t>
  </si>
  <si>
    <t>(Circulatory support device LVAD) Obtain phone number and contact any support staff or facility assigned to the patient with a circulatory support device.</t>
  </si>
  <si>
    <t>I'm Sending the Paramedics(Ambulance) to help you now. Stay on the line and I'll tell you exactly what do to next.</t>
  </si>
  <si>
    <t>I'm Sending the Paramedics(Ambulance) to help you now. Stay on the line and I'll tell you exactly what to do next.</t>
  </si>
  <si>
    <t>(&gt;1+D-1,2,3) If there is a defibrillator (AED) available, send someone to get it now in case we need it later.</t>
  </si>
  <si>
    <t>(Patient medication requested and Alert) Remind him/her to do what her/his doctor has instructed for these situations.</t>
  </si>
  <si>
    <t>Stay on the ine with the caller if her/his condition seems unstable or is worsening.</t>
  </si>
  <si>
    <t>Do not slap him/her on the back.</t>
  </si>
  <si>
    <t>(&gt;1+D-1 or D-3) If there is a defibrillator (AED) available, send someone to get it now in case we need it later.</t>
  </si>
  <si>
    <t>IF s/he is still seizing (or if s/he starts to seize again)</t>
  </si>
  <si>
    <t>Don’t do CPR</t>
  </si>
  <si>
    <t>Don't hold her/him down or pout anything into her/his mouth.</t>
  </si>
  <si>
    <t>Move dangerous objects away from her/him.</t>
  </si>
  <si>
    <t>When s/he stops seizing, (lay her/him down and) make sure s/he is breathing.</t>
  </si>
  <si>
    <t>f</t>
  </si>
  <si>
    <t>When s/he wakes up, reassure her/him and tell her/him not to get up or walk around.</t>
  </si>
  <si>
    <t>g</t>
  </si>
  <si>
    <t>(Not seizing) If s/he starts to seize again, tell me immediately.</t>
  </si>
  <si>
    <t>Stay on the line and check breathing often until the patient starts to wake up</t>
  </si>
  <si>
    <t>Stay on the line if the complaint is an impending seizure (aura).</t>
  </si>
  <si>
    <t>(&gt;1 + Unconscious or Not alert) If there is a defibrillator (AED) available, send someone to get it now in case we need it later.</t>
  </si>
  <si>
    <t>(Patient medication requested and Alert) Remind her/him to do what her/his doctor has instructed for these situations.</t>
  </si>
  <si>
    <t>(Combative and &gt;8) If it's safe to do so, observe her/him continuously and protect her/him from her/himself.</t>
  </si>
  <si>
    <t>Stay on the line with the caller if her//his condition seems unstable or is worsening.</t>
  </si>
  <si>
    <t>(Domestic) Do not go in the water unless it's safe to do so.</t>
  </si>
  <si>
    <t>(Specialized) Do not go in the water.</t>
  </si>
  <si>
    <t>(SCUBA) Determine availability of the nearest hyperbaric chamber</t>
  </si>
  <si>
    <t>(Electrocution) Beware of electrical risks and electrified water.</t>
  </si>
  <si>
    <t>(Electrocution) If it's safe to do so, turn off the power.</t>
  </si>
  <si>
    <t>(Lighting) Take shelter immediately inside an enclosed vehicle or building.</t>
  </si>
  <si>
    <t>Stay on the line with the caller until breathing can be safely verified.</t>
  </si>
  <si>
    <t>Advise the caller and responders of any potential hazards.</t>
  </si>
  <si>
    <t>(TRAUMA) Do not touch, irrigate, or bandage the eye.</t>
  </si>
  <si>
    <t>(Chemical) Gently flush with lots of water. Continue flushing until help arrives.</t>
  </si>
  <si>
    <t>(Penetrating object) Do not pull it out.</t>
  </si>
  <si>
    <t>(SEVERE eye injuries) Keep the head above chest level.</t>
  </si>
  <si>
    <t>Do not move her/him unless s/he is in danger.</t>
  </si>
  <si>
    <t>(PUBLIC ASSIST) I will arrange to send _____ to help  you get her/him back into bed.</t>
  </si>
  <si>
    <t>(&gt;1 + Not alert) If there is a defibrillator (AED) available, send someone to get it now in case we need it later.</t>
  </si>
  <si>
    <t>(Heat exposure) Remove her/him from any source of heat. Remove her/his outer clothing. Apply cool water to her/his entire skin surface while fanning her/him. Turn on an air conditioner or fan.</t>
  </si>
  <si>
    <t>(Cold exposure) Protect her/him from the cold. Remove wet clothing. Warm her/him without rubbing the affected area. Do not give her/him any alcohol to drink.</t>
  </si>
  <si>
    <t>(Surgical wound) Do not touch the wound.</t>
  </si>
  <si>
    <t>(Varicose veins) Elevate the affected leg/arm (above heart level) on a cushion, pillow, or other soft object now.</t>
  </si>
  <si>
    <t>(Surgical wound) Control bleding on if SERIOUS.</t>
  </si>
  <si>
    <t>Do not enter/re-enter any hazardous or dangerous areas.</t>
  </si>
  <si>
    <t>(Appropriate) If it's safe to do so, turn off all equipment, except the ventilation.</t>
  </si>
  <si>
    <t>Do not attempt to rescue her/him.</t>
  </si>
  <si>
    <t>(Appropriate) Do not touch any equipment that may be suspending her/him.</t>
  </si>
  <si>
    <t>(Appropriate) Tell her/him not to move.</t>
  </si>
  <si>
    <t>Assign someone to guide the emergency unit to her/him.</t>
  </si>
  <si>
    <t>Determine a specific meeting point for the emergency unit(s).</t>
  </si>
  <si>
    <t>(Narcan/Naloxone help requested) I'm going to help you give the Narcan to her/him now.</t>
  </si>
  <si>
    <t>(Appropriate) Contact and confirm transfer of the caller to Poison Control Center.</t>
  </si>
  <si>
    <t>Stay on the line with the caller if her/his condition seems unstalbe or is worsening.</t>
  </si>
  <si>
    <t>Utilze the Narcan/Naloxone Admin. Instructions if help is requested by the caller.</t>
  </si>
  <si>
    <t>Do not try to prevent the birth (do not cross legs).</t>
  </si>
  <si>
    <t>Tell her not to sit on the toilet.</t>
  </si>
  <si>
    <t>Allow her to assume the most comfortable position and have her take deep breaths between contractions (labor pains).</t>
  </si>
  <si>
    <t>(OMEGA referral) Tell her to call her healthcare provider or go directly to the hospital to be evaluated.</t>
  </si>
  <si>
    <t>Follow the BREECH Positioning pathway when cervical cerclage (stitch) is associated with labor.</t>
  </si>
  <si>
    <t>If it's safe to do so, observe her/him continuously (beware of being attacked.)</t>
  </si>
  <si>
    <t>If it's safe to do so, protect her/him from her/himself.</t>
  </si>
  <si>
    <t>(1st party) Keep a violent or suicidal patient on the line.</t>
  </si>
  <si>
    <t>For jumpers, notify fire or technical rescue team.</t>
  </si>
  <si>
    <t>Follow agency policy on contacting Suicide and Mental Health Helplines.</t>
  </si>
  <si>
    <t>(Suspected heart attack) See the Heart Attack Symptoms list on Protocol 10</t>
  </si>
  <si>
    <t>(Suspected stroke) See the STROKE Symptoms list on Protocol 28.</t>
  </si>
  <si>
    <t>(OBVIOUS DEATH) I'm sending someone to assist you. Please leave everything as you found it. Is there anything else we can do for you (or your family).</t>
  </si>
  <si>
    <t>(OBVIOUS DEATH) Notify proper authorities.</t>
  </si>
  <si>
    <t>Provide hospital staff with the Stroke Diagnostic Tool results, the symptom onset time, and the name and phone number of any person(s) who witnessed the onset of STROKE symptoms.</t>
  </si>
  <si>
    <t>Do not splint any injuries.</t>
  </si>
  <si>
    <t>(Water) Do not go in the water unless it's safe to do so.</t>
  </si>
  <si>
    <t>For everyon's safety, (tell any bystanders to) stand well clear of approaching traffic. If it's safe to do so, turn on flashing hazard lights.</t>
  </si>
  <si>
    <t>(&gt;1+ECHO,D-1) If there is a defibrillator (AED) available, send someone to get it now in case we need it later.</t>
  </si>
  <si>
    <t>(&gt;1+D-2,3,4) If there is a defibrillator (AED) available, send someone to get it now in case we need it later.</t>
  </si>
  <si>
    <t>Stay on the line with the caller if her/his condition seems unstable or is worsening.</t>
  </si>
  <si>
    <t>If it's safe to do so, see if s/he is conscious and breathing, or moving at all, then return to the phone and tell me.</t>
  </si>
  <si>
    <t>Advise the caller to look for and direct the emergency unit to the patient.</t>
  </si>
  <si>
    <t>(Language problems) Connect to a language line service and use the protocol to determine the Chief Complaint.</t>
  </si>
  <si>
    <t>We will be sending a (type) response.</t>
  </si>
  <si>
    <t>If s/he gets worse in any way, please call us back immediately.</t>
  </si>
  <si>
    <t>ASA</t>
  </si>
  <si>
    <t>(Chest pain/discomfort, alert, &gt;16 and no reported STROKE symptoms) Does anyone there have any aspirin or Bufferin available? (Ask them now.)</t>
  </si>
  <si>
    <t>(No) Do not proceed with aspirin instructions.</t>
  </si>
  <si>
    <t>(Yes/Unsure) Please stay on the line. I need to check three more things. If you can, send someone else (not you or the patient) to get the aspirin.</t>
  </si>
  <si>
    <t>Is s/he alergic to aspirin?</t>
  </si>
  <si>
    <t>(Yes) Do not proceed with aspirin instructions.</t>
  </si>
  <si>
    <t>(No) Has s/he passed black or bloody stools in the last 24 hours?</t>
  </si>
  <si>
    <t>Get one adult aspirin/Bufferine or four baby (low-dose) aspirins and tell me when you have them.</t>
  </si>
  <si>
    <t>(Not obvious) Which type do you have?</t>
  </si>
  <si>
    <t>(Adult ASA &gt;325mg) Tell her/him to chew one adult aspirin/Bufferin right now.</t>
  </si>
  <si>
    <t>(Baby or Adult low-dose ASA - 81mg) Tell her/him to chew four baby (low-dose) aspirins right now.</t>
  </si>
  <si>
    <t>(Unable to chew) Tell her/him to put the aspirin under her/his tongue to dissolve.</t>
  </si>
  <si>
    <t>(Request to wash down ASA) Tell her/him that s/he can use just a mouthful of water to wash it down.</t>
  </si>
  <si>
    <t>P</t>
  </si>
  <si>
    <t>Epinephrine Auto-Injector Instructions</t>
  </si>
  <si>
    <t>Is s/he standing, sitting, or lying down?</t>
  </si>
  <si>
    <t>(Standing) Please tell her/him to sit down. The Medicine may make her/him unsteady on her/his feet.</t>
  </si>
  <si>
    <t>Was the medicine prescribed for her/him?</t>
  </si>
  <si>
    <t>Yes - 1a</t>
  </si>
  <si>
    <t>No - 8</t>
  </si>
  <si>
    <t>What brand of injector is it (Read the label.)</t>
  </si>
  <si>
    <t>EpiPen/EpiPen Jr.-2</t>
  </si>
  <si>
    <t>Anapen/Anapen Jr. -3</t>
  </si>
  <si>
    <t>Adrenaclick -4</t>
  </si>
  <si>
    <t>Twinject 0.3mg or 0.15mg-5</t>
  </si>
  <si>
    <t>Brand not listed -6</t>
  </si>
  <si>
    <t>Note: Generally recommended dose ranges for children (by weight) are:</t>
  </si>
  <si>
    <t>&lt;33lbs (&lt;15kg) - Not recommended for infants unless the patient's physician has advised the dose and how to administer it</t>
  </si>
  <si>
    <t>33-54lbs (15-24kg) - 0.15mg injector.</t>
  </si>
  <si>
    <t>&gt;55lbs (&gt;25kg) - 0.30mg injector.</t>
  </si>
  <si>
    <t>Listen carefully, and I'll tell you how to use the injector.</t>
  </si>
  <si>
    <t>first, remove the EpiPen from the plastic storage tube (package) and tell me when it's out.</t>
  </si>
  <si>
    <t>Caller Volunteer "expired" -7</t>
  </si>
  <si>
    <t>(Ready) Hold the injector tightly in the middle of your hand (from the fist around the injector) with the orange tip facing down.</t>
  </si>
  <si>
    <t>Do not touch the orange tip.</t>
  </si>
  <si>
    <t>Now, with your other hand, pull off the blue safety release cap at the top of the injector (this will unlock the devise)</t>
  </si>
  <si>
    <t>Do you understand me so far?</t>
  </si>
  <si>
    <t>No - Clarify/Reassure</t>
  </si>
  <si>
    <t>Okay. Now jab the orange tip firmly into her/his outer thigh until you hear it click.</t>
  </si>
  <si>
    <t>Hold it against her/his thigh for 10 seconds. I'll time you. (Don't worry about any clothing. The injector will go right through it.)</t>
  </si>
  <si>
    <t>(After 10 Seconds) Now remove the injector and massage the injection area for 10 Seconds. I'll time you.</t>
  </si>
  <si>
    <t>(After 10 seconds) Okay. Now carefully put the injector back into the storage tube (package), orange end first, then screw the cap of the storage tube (package) back on.</t>
  </si>
  <si>
    <t>Save it for the paramedics (EMTs).</t>
  </si>
  <si>
    <t>The Needle of the injector automatically retracts into the orange tip after use.</t>
  </si>
  <si>
    <t>Stay on the line(unstable)-X-3</t>
  </si>
  <si>
    <t>Return to Sequence.</t>
  </si>
  <si>
    <t>First, remove the Anapen from the carton (package) and tell me when it's out.</t>
  </si>
  <si>
    <t>Caller volunteers "expired" -7</t>
  </si>
  <si>
    <t>(Ready) Okay, Now grab the black needle cap (boot remover) at the smallest end of the injector (next to the arrow) and gently pull it out. Be careful not to touch the end of the injector with your hands or fingers.</t>
  </si>
  <si>
    <t>Hold the injector tightly in the middle of your hand (form a fist around the injector) with the smallest end of the injector (next to the arrow) facing down. Remember, do not touch the injector tip.</t>
  </si>
  <si>
    <t>Now, with your other hand, remove the black cap on the other end of the device to expose the red activation button. Be careful not to press the red button until we are ready.</t>
  </si>
  <si>
    <t>do you understand me so far?</t>
  </si>
  <si>
    <t>No- Clarify/Reassure</t>
  </si>
  <si>
    <t>Okay, now place the injector end of the device firmly against her/his outer thigh. Make sure the red button is away from her/his thigh. (Don't worry about any clothing. The injector will go right through it.)</t>
  </si>
  <si>
    <t>Hold the injector steady against her/his thigh and press the red button. You will hear a “click.” Keep holding the injector firmly against her/his thigh for 10 seconds. I’ll time you.</t>
  </si>
  <si>
    <t>(after 10 seconds) Now remove the injector and massage the injection area for 10 seconds. I’ll time you.</t>
  </si>
  <si>
    <t>(after 10 seconds) okay. Now tap the exposed needle on a hard surface to push it back into the injector.</t>
  </si>
  <si>
    <t>Save it for the paramedics (EMSs)</t>
  </si>
  <si>
    <t>Return to Sequence</t>
  </si>
  <si>
    <t>First, remove the injector from its carrying case (package) and tell me when it's out.</t>
  </si>
  <si>
    <t>Caller volunteer "expired" -7</t>
  </si>
  <si>
    <t>(Ready) Now carefully remove the gray cap labeled "1" to expose the red injector tip. Be careful not to place your thumb, finger, or hand over the red injector tip.</t>
  </si>
  <si>
    <t>Next, remove the other cap labeled "2"</t>
  </si>
  <si>
    <t>No - Clarify / Reassure</t>
  </si>
  <si>
    <t>Okay, Place the red top against her/his outer thigh. (Don't worry about any clothing. The injector will go right through it.) Press the injector firmly against her/his thigh and slowly count to 10 (I'll count with you)</t>
  </si>
  <si>
    <t>(after 10 seconds) Okay. Now remove the injector from her/his thigh and check the red injector tip.</t>
  </si>
  <si>
    <t>Is the needle exposed?</t>
  </si>
  <si>
    <t>No - Repeat/Reassure</t>
  </si>
  <si>
    <t>(Yes) Okay. Now carefully place the injector back in its carrying case, needle end first. And replace the gray top of the case. Save it for the paramedics (EMTs).</t>
  </si>
  <si>
    <t>Stay on the line (unstable) X-3</t>
  </si>
  <si>
    <t>This device has two injectors. Listen carefully, and I'll tell you how to use the first one.</t>
  </si>
  <si>
    <t>First, remove the Twinject from the plastic storage tube (package) and tell me when it's out.</t>
  </si>
  <si>
    <t>(Ready) Okay, Hold the injector tightly in the middle of your hand (form a fist around the injector) with the cap labeled "1" facing down. Do not touch the red tip under the cap.</t>
  </si>
  <si>
    <t>Now with your other hand, remove the safety caps labeled "1" and "2" at each end of the injector. Remember, do not touch the red tip under cap 1.</t>
  </si>
  <si>
    <t>Okay. Now place the red tip firmly against her/his outer thigh and press down hard. (Don't worry about any clothing. The injector will go right through it.)</t>
  </si>
  <si>
    <t>Hold the injector firmly against her/his thigh for 10 seconds. I'll time you.</t>
  </si>
  <si>
    <t>(After 10 seconds) Okay. I'll stay on the line until the paramedics (EMTs) get there. Let's get ready for the second dose in case we need it.</t>
  </si>
  <si>
    <t>Unscrew and remove the red tip of the injector. This will expose a needle.</t>
  </si>
  <si>
    <t>(Yes) Okay. Put the syringe down on a clean surface where you can reach it if we need it. I'll stay on the line with you. Let me know how s/he is doing.</t>
  </si>
  <si>
    <t>*Provide the second dose if no relief after 10 minutes or if condition worsens after the first dose.</t>
  </si>
  <si>
    <t>(Second dose required) I'm going to tell you how to give the second dose.</t>
  </si>
  <si>
    <t>Slide the yellow collar off of the plunger end of the syringe. Be careful not to touch the needle.</t>
  </si>
  <si>
    <t>Push the needle into her/his outer thigh and then push the plunger down all the way.</t>
  </si>
  <si>
    <t>do you understand?</t>
  </si>
  <si>
    <t>Okay Tell me when it's done.</t>
  </si>
  <si>
    <t xml:space="preserve">(second dose administered) Now remove the needle from her/his skin and place they syringe, needle first, back in the plastic storage tube (package). </t>
  </si>
  <si>
    <t>save the container for the paramedics (EMTs).</t>
  </si>
  <si>
    <t>Stay on line (unstable) - X-3</t>
  </si>
  <si>
    <t>We do not have specific instructions for this type of injector, but I will try to help you administer it.</t>
  </si>
  <si>
    <t>(Read) Okay, please read me all the instructions on the package now.</t>
  </si>
  <si>
    <t>Now, read the first instruction again. Do what is says now.</t>
  </si>
  <si>
    <t>clarify/reassure</t>
  </si>
  <si>
    <t>Now, read the second instruction. Do what it says now.</t>
  </si>
  <si>
    <t>Now, read the third instruction. Do what it says now</t>
  </si>
  <si>
    <t>If there are more instructions, continue this process until the medication has been delivered</t>
  </si>
  <si>
    <t>Can you see any obvious discoloration or particles in it?</t>
  </si>
  <si>
    <t>(Yes) Stop instructions/Return to Sequence</t>
  </si>
  <si>
    <t>(N0) It is common to have an expired kit. Out-of-date injectors can still contain significant amounts of adrenaline (epinephrine) that can help her/him</t>
  </si>
  <si>
    <t>(Expired injectors aren't dangerous. They just might now be as strong)</t>
  </si>
  <si>
    <t>Is that okay?</t>
  </si>
  <si>
    <t>Yes -1a</t>
  </si>
  <si>
    <t xml:space="preserve">(No/unsure) studies of expired injectors showed that kits 5 to 7 years past their expiration date still had more than 70% of adrenaline (epinephrine), and those 2 to 3 years past still had 90% left. </t>
  </si>
  <si>
    <t>It's up to you to decide if we use it now, but we strongly recommend it.</t>
  </si>
  <si>
    <t>Shal we go ahead now?</t>
  </si>
  <si>
    <t>No - Stop instructions/return to sequence.</t>
  </si>
  <si>
    <t>* if the injector at the scene was not prescribed for this patient and you are asked whether it should be used, do not initially advise its use unless there are clear symptoms of severe allergic reactions or the patient has indicated a severe reactoin might be coming on. If any doubt exists, advise the patient to use the injector</t>
  </si>
  <si>
    <t>Clear Symptoms of severe allergic reactions are:</t>
  </si>
  <si>
    <t>Collapse</t>
  </si>
  <si>
    <t>Difficulty berthing</t>
  </si>
  <si>
    <t>Difficulty swallowing</t>
  </si>
  <si>
    <t>Generalized swelling</t>
  </si>
  <si>
    <t>Pallor</t>
  </si>
  <si>
    <t>Shallow breathing</t>
  </si>
  <si>
    <t>Sweating</t>
  </si>
  <si>
    <t>Weakness</t>
  </si>
  <si>
    <t>No clear symptoms present -9a</t>
  </si>
  <si>
    <t>Clear symptoms present/severe reaction coming on - 9b</t>
  </si>
  <si>
    <t>Let's wait to use it at the moment.</t>
  </si>
  <si>
    <t>I'll stay on the line with you as long as I can.</t>
  </si>
  <si>
    <t>(Tell me when the paramedics (EMTs) are right with her/him)</t>
  </si>
  <si>
    <t>Getting worse -a1</t>
  </si>
  <si>
    <t>Since the medication was not prescribed for her/him, it will be up to you and the patient to decide if  you want ut use it. If so, we can instruct you on how to do it.</t>
  </si>
  <si>
    <t>Grasp the blue base of the needle and pull out the syringe. Be careful not to touch the needle.</t>
  </si>
  <si>
    <t>Have you removed the syringe?</t>
  </si>
  <si>
    <t>Not alert</t>
  </si>
  <si>
    <t>Watch her/him very closely and look for any changes</t>
  </si>
  <si>
    <t>If s/he starts getting worse, has any difficulty breathing or swallowing, or becomes less awake, tell me immediately.</t>
  </si>
  <si>
    <t>Determing AGONAL Breathing</t>
  </si>
  <si>
    <t>(Read Verbatim) Okay, I want you to say "now" every single time s/he takes a breath in, Starting Immediately.</t>
  </si>
  <si>
    <t>K Person in Water</t>
  </si>
  <si>
    <t>Have someone constantly maintain direct sight of the person or the last spot s/he was seen</t>
  </si>
  <si>
    <t>Return to sequence</t>
  </si>
  <si>
    <t>Stay on line - X-3</t>
  </si>
  <si>
    <t>End</t>
  </si>
  <si>
    <t>Do not go in the water</t>
  </si>
  <si>
    <t>If it's safe to do so, throw a floatable object out to the person for her/him to hold on to.</t>
  </si>
  <si>
    <t>end</t>
  </si>
  <si>
    <t>Climb to higher ground and stay there.</t>
  </si>
  <si>
    <t xml:space="preserve">(In building) if the building starts to fill with water, climb to a higher floor and then the roof if necessary. </t>
  </si>
  <si>
    <t>(In building) do not enter the attic unless you know you can get to the roof from inside the attic.</t>
  </si>
  <si>
    <t>Do not go out onto the ice.</t>
  </si>
  <si>
    <t>If it's safe to do so, throw an object out to the person for her/him to hold on to (branches, boards).</t>
  </si>
  <si>
    <t>Have someone constantly maintain direct sight of the person or the last spot s/he was seen.</t>
  </si>
  <si>
    <t>Avoid walking through any floodwaters. If it’s moving, even 6 inches (15cm) of water can sweep you off your feet.</t>
  </si>
  <si>
    <t>Stay away from power lines and electrical wires.</t>
  </si>
  <si>
    <t>(In building) if possible, take the phone with you.</t>
  </si>
  <si>
    <t>(Read verbatim) Okay now, find the Adam's apple on her/his neck</t>
  </si>
  <si>
    <t>(Pulse detected) Count each beat out loud so I can time you, starting now.</t>
  </si>
  <si>
    <t>Count the beats for 15 seconds</t>
  </si>
  <si>
    <t>&lt;12 = &lt;50 bpm</t>
  </si>
  <si>
    <t>&gt;33 = &gt;130 bpm</t>
  </si>
  <si>
    <t>Taking a Pulse</t>
  </si>
  <si>
    <t>(Read verbatim) use two fingers to feel on either side of it for a pulse.</t>
  </si>
  <si>
    <t>Tell me when you've found it.</t>
  </si>
  <si>
    <t>Q Naloxone Nasal Instructions</t>
  </si>
  <si>
    <t>Listen carefully, and I'll tell you exactly how to do this. Take the two yellow caps off the plastic delivery device.</t>
  </si>
  <si>
    <t>Now, using the two little wing-like tabs, screw the nasal attachment onto the top of the plastic delivery device.</t>
  </si>
  <si>
    <t xml:space="preserve">Now get the vial of Narcan and remove the purple cap. </t>
  </si>
  <si>
    <t>Gently screw the vial into the delivery device. Stop screwing when you feel it gently catch or if you see liquid dripping out of the top.</t>
  </si>
  <si>
    <t>Okay, I'll tell you how to give her/him the Narcan now.</t>
  </si>
  <si>
    <t>Did any medicine leak out of the nasal attachment joint?</t>
  </si>
  <si>
    <t>(Leakage reported) That's okay, the nasal attachment is probably on crooked - just unscrew it and put it back on straight.</t>
  </si>
  <si>
    <t>Okay, now spray the other half of the Narcan up her/his other nostril and tell me when it's done.</t>
  </si>
  <si>
    <t>You need to watch her/his breathing very closely. Tell me if it changes or if s/he starts to wake up or move around.</t>
  </si>
  <si>
    <t>I'll stay on the line with you until the paramedics (EMTs) get there.</t>
  </si>
  <si>
    <t>Started moving - Still Unconscious - NAB-14, C-16</t>
  </si>
  <si>
    <t>Waking up now - X-1</t>
  </si>
  <si>
    <t>Arrival - D-18</t>
  </si>
  <si>
    <t>(Questions about how much to give) Notice that the vial is measured with little hash marks. There are 2 milliliters (cc) of medicine in the vial, so the "1" mark indicates half of the medicine.</t>
  </si>
  <si>
    <t>(Some medicine Left) This is a pre-measured dose, so you need to use all of it. Just spray the rest of it into either nostril now.</t>
  </si>
  <si>
    <t>Q Naloxone Auto-Injector</t>
  </si>
  <si>
    <t>Listen carefully, and I'll tell you how to use the injector. (The device also provides voice instructions for use.)</t>
  </si>
  <si>
    <t>First, hold the purple and yellow case in one hand and pull out the device by its white top with your other hand.</t>
  </si>
  <si>
    <t>Do it now and tell me when it's done.</t>
  </si>
  <si>
    <t>Now, place the black end against her/his outer thigh. (Don't worry about any clothing. The injector will go right through it.)</t>
  </si>
  <si>
    <t>Press the injector in firmly, and you should hear it click and hiss while injecting the medicine.</t>
  </si>
  <si>
    <t>Hold the injector in place and slowly count backwards from 5 (I'll count with you).</t>
  </si>
  <si>
    <t>The needle of the injector automatically retracts into the black end after use.</t>
  </si>
  <si>
    <t>Tell me when they're right with her/him</t>
  </si>
  <si>
    <t>Provide an additional dose if there is no improvement in her/his breathing (respiratory function in 2-3 minutes or if her/his symptoms returned after the first dose.</t>
  </si>
  <si>
    <t>Not breathing - NAB-4,C-5</t>
  </si>
  <si>
    <t>Started moving - still unconscious - NAB-14, C-16</t>
  </si>
  <si>
    <t>Waking up down - X-1</t>
  </si>
  <si>
    <t>Do you have another injector available?</t>
  </si>
  <si>
    <t>(No) I'll stay on the line with you until the paramedics (EMTs) get there. Tell me when they're right with her/him</t>
  </si>
  <si>
    <t>Not Breathing - NAB-4, C-5</t>
  </si>
  <si>
    <t>Stared Moving - Still Unconscious - NAB-14, C-16</t>
  </si>
  <si>
    <t>Waking up Now - X-1</t>
  </si>
  <si>
    <t>G Miscarriage</t>
  </si>
  <si>
    <t>Listen carefully. I'm going to help you now.</t>
  </si>
  <si>
    <t>Is the afterbirth (placenta) out yet?</t>
  </si>
  <si>
    <t>(No) Tie a string (shoelace) tightly around the umbilical cord, about 6 inches (15cm) from the baby.</t>
  </si>
  <si>
    <t>Do not cut it.</t>
  </si>
  <si>
    <t>I'm very sorry. There's nothing we can do for the baby.</t>
  </si>
  <si>
    <t>Is the mother all right?</t>
  </si>
  <si>
    <t>SERIOUS Bleeding/Cramping &amp; afterbirth not delivered - 3</t>
  </si>
  <si>
    <t>SERIOUS Bleeding/Cramping &amp; afterbirth Delivered - 5</t>
  </si>
  <si>
    <t>Listen carefully and I'll tell you exactly what to do next.</t>
  </si>
  <si>
    <t>Yes - 4</t>
  </si>
  <si>
    <t>This may briefly increase the bleeding/craping (pain), but you have to keep doing it. This will help stop the bleeding/cramping.</t>
  </si>
  <si>
    <t>Has the bleeding/cramping stopped?</t>
  </si>
  <si>
    <t>Yes -8</t>
  </si>
  <si>
    <t>I want you to firmly and deeply massage her belly, just below the belly button.</t>
  </si>
  <si>
    <t>Yes - 6</t>
  </si>
  <si>
    <t>Keep massaging her belly until it feels like a firm grapefruit.</t>
  </si>
  <si>
    <t>Yes - 8</t>
  </si>
  <si>
    <t>No - 7</t>
  </si>
  <si>
    <t>Keep doing it until the bleeding/cramping stops or until help arrives.</t>
  </si>
  <si>
    <t>It's important for you to watch the mother to be sure she's all right.</t>
  </si>
  <si>
    <t>Use a blanket to keep her warm.</t>
  </si>
  <si>
    <t>Urgent Disconnect X-4</t>
  </si>
  <si>
    <t>Arrival 9</t>
  </si>
  <si>
    <t>Do not leave the mother alone until the paramedics (EMTs) are right there.</t>
  </si>
  <si>
    <t>(Is the door unlocked?)</t>
  </si>
  <si>
    <t>(No &amp; caller has help) Send someone to open it now.</t>
  </si>
  <si>
    <t>(No &amp; No help) Go open the door and come right back.</t>
  </si>
  <si>
    <t>Tell me when they're right with her.</t>
  </si>
  <si>
    <t>STROKE Diagnostic Tool</t>
  </si>
  <si>
    <t xml:space="preserve">We need to do a quick test on her/him for the medics before they arrive. I want you to get close enough to ask her/him to do three things. </t>
  </si>
  <si>
    <t>Tell me when you’re ready.</t>
  </si>
  <si>
    <t>(Ready) Ask her/him to smile.</t>
  </si>
  <si>
    <t>a. (Wait) was the smile equal on both sides of her/his mouth?</t>
  </si>
  <si>
    <t>Normal Smile -0</t>
  </si>
  <si>
    <t>Slight difference in smile (possible difference) -1</t>
  </si>
  <si>
    <t>Only one side of mouth or face shows a smile (obvious difference) - 3</t>
  </si>
  <si>
    <t>Ask her/him to raise both arms above her/his head.</t>
  </si>
  <si>
    <t>a. (Wait) What was s/he able to do?</t>
  </si>
  <si>
    <t>Both arms raised equally - 0</t>
  </si>
  <si>
    <t>Only one arm raised - 3</t>
  </si>
  <si>
    <t>Cannot complete request (to raise arms)</t>
  </si>
  <si>
    <t>Ask her/him to say, "The early bird catches the worm."</t>
  </si>
  <si>
    <t>a. (wait) Was s/he able to repeat it correctly?</t>
  </si>
  <si>
    <t>Said correctly -0</t>
  </si>
  <si>
    <t>Slurred speech - 3</t>
  </si>
  <si>
    <t>Cannot complete request (to speak)</t>
  </si>
  <si>
    <t>Consider notification of the appropriate Stroke Center for patients with CLEAR, STRONG, or PARTIAL evidence of stroke.</t>
  </si>
  <si>
    <t>add up the scores that are assigned to each answer in the SCORE column:</t>
  </si>
  <si>
    <t>&gt;3 = CLEAR evidence of stroke</t>
  </si>
  <si>
    <t>2= STRONG evidence of stroke.</t>
  </si>
  <si>
    <t>1 = PARTIAL evidence of stroke.</t>
  </si>
  <si>
    <t>0= No test evidence of stroke.</t>
  </si>
  <si>
    <t>L Vehicle in Water</t>
  </si>
  <si>
    <t>Stay calm and listen carefully so that I can help you get out. I will tell you exactly what to do next.</t>
  </si>
  <si>
    <t>Have everyone release their seat belts and unlock the doors.</t>
  </si>
  <si>
    <t>(If you have electric windows make sure the key is on)</t>
  </si>
  <si>
    <t>Yes -1c</t>
  </si>
  <si>
    <t>No -1a</t>
  </si>
  <si>
    <t>Move into the back seat, where you need to try to break a rear side window.</t>
  </si>
  <si>
    <t>No - 1b</t>
  </si>
  <si>
    <t>(Yes) Use this object and hit a side window near the bottom corner, closest to the front of the vehicle.</t>
  </si>
  <si>
    <t>(Yes) Clear all of the glass out of the window opening.</t>
  </si>
  <si>
    <t>Is there anything else around that is heavy and hard? (check your glove compartment, console, and under your seats)</t>
  </si>
  <si>
    <t>(No) Lie down on your back and use both feet together to kick a rear side window near the bottom corner, closest to the front of the vehicle.</t>
  </si>
  <si>
    <t>No - 1d</t>
  </si>
  <si>
    <t>1c</t>
  </si>
  <si>
    <t>Roll that window all the way down.</t>
  </si>
  <si>
    <t xml:space="preserve">Get out of the vehicle now and swim to the nearest shore. </t>
  </si>
  <si>
    <t>1d</t>
  </si>
  <si>
    <t>At some point, your phone may stop working, so I'm going to tell you exactly what to do next.</t>
  </si>
  <si>
    <t>Your car is going to continue to fill with water.</t>
  </si>
  <si>
    <t>Just before the water covers your head, take a deep breath.</t>
  </si>
  <si>
    <t xml:space="preserve">Once you are completely underwater, you should be able to open a door and get to the surface. </t>
  </si>
  <si>
    <t>If it won't open, try to break a side window out and follow the bubbles to the service.</t>
  </si>
  <si>
    <t>(Vehicle not completely submerged) Look again for an object that is heavy and hard. (Check your glove compartment, console, and under your seats.)</t>
  </si>
  <si>
    <t>Is the water moving the vehicle or getting deeper inside the vehicle?</t>
  </si>
  <si>
    <t>No - return to sequence</t>
  </si>
  <si>
    <t>(Yes) stay calm and listen carefully so that I can help you get out. I will tell you exactly what to do next.</t>
  </si>
  <si>
    <t>(If you have electric windows, make sure your key is on.)</t>
  </si>
  <si>
    <t>Yes - 2c</t>
  </si>
  <si>
    <t>(Remember to unlock the doors.)</t>
  </si>
  <si>
    <t>No - 2a</t>
  </si>
  <si>
    <t>(No) Do you have a hammer, center punch, or anything heavy and hard to break the window with?</t>
  </si>
  <si>
    <t>No - 2b</t>
  </si>
  <si>
    <t>Is there anything else around that is heavy and hard? (Check your glove compartment, console, and under your seats).</t>
  </si>
  <si>
    <t>(No) Lie down on your back and use both feet together to kick a side window near the bottom corner, closest to the front of the vehicle. This may be easier in the backseat.</t>
  </si>
  <si>
    <t>No - 2e</t>
  </si>
  <si>
    <t>2c</t>
  </si>
  <si>
    <t>(Window) Roll that window all the way down.</t>
  </si>
  <si>
    <t>(Door) Open the door all the way.</t>
  </si>
  <si>
    <t>(Yes) Starting with the oldest, help them undo their seat belts and get them on top of the roof.</t>
  </si>
  <si>
    <t>Climb to the roof and stay with your vehicle.</t>
  </si>
  <si>
    <t>Yes - vehicle moving - 2d</t>
  </si>
  <si>
    <t>Stay on line</t>
  </si>
  <si>
    <t>2d</t>
  </si>
  <si>
    <t>Your vehicle will probably sink now. You will need to try to wade or swim to the nearest shore, or a fixed object (sign, tree, post, building)</t>
  </si>
  <si>
    <t>You can stay on top of the vehicle if it seems like it could bring you closer to the shore or a fixed object.</t>
  </si>
  <si>
    <t>2e</t>
  </si>
  <si>
    <t>Once you are completely underwater, you should be able to open a door and get to the surface.</t>
  </si>
  <si>
    <t>N Airway/Arrest/Choking (Unconscious) - Newborn / Neonate &lt; 30 days</t>
  </si>
  <si>
    <t>Are you right by the baby now?</t>
  </si>
  <si>
    <t>Yes - 2</t>
  </si>
  <si>
    <t>Don’t hang up. Do it now and tell me when it's done.</t>
  </si>
  <si>
    <t>(If I'm not here, stay on the line.)</t>
  </si>
  <si>
    <t>Listen carefully.</t>
  </si>
  <si>
    <t>Lay the baby flat on its back on the floor/ground and remove any pillows.</t>
  </si>
  <si>
    <t>Kneel next to the baby and look in the mouth for food or vomit.</t>
  </si>
  <si>
    <t>Yes - 13</t>
  </si>
  <si>
    <t>No Unconscious Choking (UC) - 5</t>
  </si>
  <si>
    <t>No-3</t>
  </si>
  <si>
    <t>Obviously Not Breathing - 4</t>
  </si>
  <si>
    <t>Obviously No Breathing (UC) -5</t>
  </si>
  <si>
    <t>Now place your hand on the baby's forehead, your other hand under the baby's neck and shoulders, then slightly tilt the head back.</t>
  </si>
  <si>
    <t>Can you feel or hear any breathing?</t>
  </si>
  <si>
    <t>No -4</t>
  </si>
  <si>
    <t>UNCERTAIN/Just a little -4</t>
  </si>
  <si>
    <t>Yes -12</t>
  </si>
  <si>
    <t>I'm going to tell you how to give mouth-to-mouth</t>
  </si>
  <si>
    <t>(Place your hand on the baby's forehead, your other hand under the baby's neck and shoulders, then slightly tilt the head back)</t>
  </si>
  <si>
    <t>Completely cover the baby's mouth and nose with your mouth, then blow 5 puffs of air into the lungs, about a half-second each, just enough ot make the chest rise with each breath.</t>
  </si>
  <si>
    <t>Yes - 5</t>
  </si>
  <si>
    <t>Yes (UC) - 8</t>
  </si>
  <si>
    <t>No (UC) -8</t>
  </si>
  <si>
    <t>Listen carefully and I'll tell you how to do chest compressions.</t>
  </si>
  <si>
    <t>(Make sure the baby is flat on its back on the floor/ground)</t>
  </si>
  <si>
    <t>Place 2 fingers on the breastbone (in the center of the chest), right between the nipples.</t>
  </si>
  <si>
    <t>Push down 1 inch (3 cm) with only your fingers touching the chest.</t>
  </si>
  <si>
    <t>Let the chest come all the way up between pumps</t>
  </si>
  <si>
    <t>Tell me when you’re done.</t>
  </si>
  <si>
    <t>(Previous airway blockage) Check in the baby's mouth for an object and remove anything you find.</t>
  </si>
  <si>
    <t>Yes - 7</t>
  </si>
  <si>
    <t>Yes UC - 4</t>
  </si>
  <si>
    <t>With your hand under the baby's neck and shoulders, slightly tilt the baby's head back again. Put your mouth over the baby's nose and mouth.</t>
  </si>
  <si>
    <t>Now give 1 puff of air, then pump the chest 5 more times.</t>
  </si>
  <si>
    <t>Do you understand?</t>
  </si>
  <si>
    <t>From now on, give the baby 1 puff then 5 pumps, 1 puff then 5 pumps.</t>
  </si>
  <si>
    <t>Arrival d-18</t>
  </si>
  <si>
    <t>Started Breathing - Agonal Test</t>
  </si>
  <si>
    <t>Continue - 10</t>
  </si>
  <si>
    <t>Yes - 10</t>
  </si>
  <si>
    <t>Don’t give up. This will keep the baby going until the paramedics (EMTs) arrive.</t>
  </si>
  <si>
    <t>(M-T-M) Keep repeating this cycle of 1 puff then 5 pumps, 1 puff then 5 pumps.</t>
  </si>
  <si>
    <t>(Refused M-T-M) Just keep doing the compressions.</t>
  </si>
  <si>
    <t>Tell me when the paramedics (EMTs) are right with the baby, or if anything changes.</t>
  </si>
  <si>
    <t>Tilt the baby's head back a little more.</t>
  </si>
  <si>
    <t>Completely covers the baby's mouth and nose with your mouth, then blow 5 puffs of air into the lungs, about a half second each, just enough to make the chest rise with each breath.</t>
  </si>
  <si>
    <t>No - 5</t>
  </si>
  <si>
    <t>(Look at the baby very closely. Tell me exactly what you see and hear the baby doing.)</t>
  </si>
  <si>
    <t>Determine now if the patient is breathing effectively. If any questions exist, go to Determining AGONAL BREATHING.</t>
  </si>
  <si>
    <t>Effective - 14</t>
  </si>
  <si>
    <t>Questionable - AGONAL Test</t>
  </si>
  <si>
    <t>AGONAL or INEFFECTIVE - 18</t>
  </si>
  <si>
    <t>Turn the baby's head to the side and clean out the baby's mouth and nose.</t>
  </si>
  <si>
    <t>(It's okay to have a little fluid remaining.)</t>
  </si>
  <si>
    <t>(You must blow through the remaining fluid.)</t>
  </si>
  <si>
    <t>3 or Return to Sequence</t>
  </si>
  <si>
    <t>Stay right with the baby, make sure the baby's head is slightly tilted back, and check for breathing often.</t>
  </si>
  <si>
    <t>Be sure to keep the baby warm. (Dry the baby off with a clean towel, then wrap the baby in another clean, dry towel.)</t>
  </si>
  <si>
    <t>I’ll stay on the line until help arrives.</t>
  </si>
  <si>
    <t>Stopped Breathing Now - 18</t>
  </si>
  <si>
    <t>Abnormal Breathing - 12</t>
  </si>
  <si>
    <t>AGONAL BREATHING</t>
  </si>
  <si>
    <t>(Read verbatim) Okay, I want you to say "now" every single time the baby takes a breath in, starting immediately.</t>
  </si>
  <si>
    <t>&gt;8 sec. interval = AGONAL</t>
  </si>
  <si>
    <t>A time between breaths of 8 seconds or more is considered ineffective breathing. Check a maximum of four breaths (three intervals tested)</t>
  </si>
  <si>
    <t>Continue - 18</t>
  </si>
  <si>
    <t>Refused M-T-M - 14</t>
  </si>
  <si>
    <t>Place your hand on the baby's forehead, your other hand under the baby's neck and shoulders, then slightly tilt the head back.</t>
  </si>
  <si>
    <t>Continue - 17</t>
  </si>
  <si>
    <t>Okay, Now give the baby 1 puff every second</t>
  </si>
  <si>
    <t>I'll stay on the line until help arrives</t>
  </si>
  <si>
    <t>Tell me when the paramedics (EMTs) are right with the baby.</t>
  </si>
  <si>
    <t>Breathing normally - 14</t>
  </si>
  <si>
    <t>Start CPR 5</t>
  </si>
  <si>
    <t>Breathing Status</t>
  </si>
  <si>
    <t>AGONAL/INEFFECTIVE/UNCERTAIN Before CPR - 4</t>
  </si>
  <si>
    <t>AGONAL/INEFFECTIVE/UNCERTAIN Before CPR (UC) -5</t>
  </si>
  <si>
    <t>AGONAL/INEFFECTIVE/UNCERTAIN Continuing CPR - 10</t>
  </si>
  <si>
    <t>18a</t>
  </si>
  <si>
    <t>It's okay, we can do this together.</t>
  </si>
  <si>
    <t>You're doing great.</t>
  </si>
  <si>
    <t>I'm here with you.</t>
  </si>
  <si>
    <t>That's very Good.</t>
  </si>
  <si>
    <t>Don’t bite off the cap. The vial is made of glass and is fragile.</t>
  </si>
  <si>
    <t>Do it now and tell me when it's done</t>
  </si>
  <si>
    <t>We're going to give her/him two doses, one spray in each nostril.</t>
  </si>
  <si>
    <t>The doses are pre-measured, so the medicine should all be gone after the second spray.</t>
  </si>
  <si>
    <t xml:space="preserve">Hold the delivery device like a syringe and spray about half the medicine up into one of her/his nostrils. </t>
  </si>
  <si>
    <t>Tell me when it's done.</t>
  </si>
  <si>
    <t>Not breathing - NAB-4, C-5</t>
  </si>
  <si>
    <t>Now pull off the red safety guard on the bottom.</t>
  </si>
  <si>
    <t>(After 5 seconds) Okay, now put the injector back in its case, black end first. Save it for the paramedics (EMTs).</t>
  </si>
  <si>
    <t>(Yes) Now, we will inject the second dose.</t>
  </si>
  <si>
    <t>I need you to wrap the baby (and afterbirth / placenta) in a towel so the doctor can examine it.</t>
  </si>
  <si>
    <t>Have the mother lie flat on her back (Not sitting up) and place some towels under her bottom.</t>
  </si>
  <si>
    <t>Now make a fist and place it just above her pubic hair but below her belly button.</t>
  </si>
  <si>
    <t>Let me know how she's doing</t>
  </si>
  <si>
    <t>If anything changes, tell me immediately.</t>
  </si>
  <si>
    <t>Mother Unconscious -C-2</t>
  </si>
  <si>
    <t>One arm higher than other (both raised, but unequally) - 1</t>
  </si>
  <si>
    <t>(Clarify) Was it slurred, garbled, or not understandable?</t>
  </si>
  <si>
    <t>Garbled or not understandable speech - 3</t>
  </si>
  <si>
    <t>Can you open the rear side window all the way?</t>
  </si>
  <si>
    <t>(No) Can you open a front side window all the way?</t>
  </si>
  <si>
    <t>Do you have a hammer, center punch, or anything heavy and hard to break the window with?</t>
  </si>
  <si>
    <t>Did you break the window?</t>
  </si>
  <si>
    <t>Are there any children or anyone else who needs assistance with their seatbelts?</t>
  </si>
  <si>
    <t>(Yes) Starting with the oldest, help them undo their seat belts and have them get out through the open window. Push all the children out ahead of you.</t>
  </si>
  <si>
    <t>If you need to, you can hold on to the floating vehicle until you catch your breath and determine where to swim.</t>
  </si>
  <si>
    <t>Can you open a window on the side the water is coming from (upstream)?</t>
  </si>
  <si>
    <t>(No) Can you open a door on the other side, away from where the water is coming from (downstream)?</t>
  </si>
  <si>
    <t>(Yes) Clear all the glass out of the window opening.</t>
  </si>
  <si>
    <t>Can you open a window on this side of the vehicle, still away from where the water is coming from (downstream)?</t>
  </si>
  <si>
    <t>Are there any children or anyone else who needs assistance with their seat belts?</t>
  </si>
  <si>
    <t>Stay on top of the roof unless your vehicle starts to move with the current.</t>
  </si>
  <si>
    <t>Has the water started to move your vehicle?</t>
  </si>
  <si>
    <t>If it won't open, try to break a side window out and follow the bubbles to the surface.</t>
  </si>
  <si>
    <t>(No) Get the phone as close to the baby as possible.</t>
  </si>
  <si>
    <t>Is there anything in the mouth?</t>
  </si>
  <si>
    <t>Did you feel the air going in and out?</t>
  </si>
  <si>
    <t>Pump the baby's chest rapidly 5 times, at least twice per second.</t>
  </si>
  <si>
    <t>Make sure your fingers are on the breastbone (in the center of the chest), right between the nipples.</t>
  </si>
  <si>
    <t>Keep doing it until help can take over.</t>
  </si>
  <si>
    <t>(Tell me when they're right with the baby)</t>
  </si>
  <si>
    <t>(Choking) Check in the baby's mouth for an object every few minutes. Remove anything you find.</t>
  </si>
  <si>
    <t>No -11</t>
  </si>
  <si>
    <t>Refused M-T-M - 9</t>
  </si>
  <si>
    <t>Completely cover the baby's mouth and nose with your mouth, then blow 5 puffs of air into the lungs, about a half-second each, just enough to make the chest rise with each breath.</t>
  </si>
  <si>
    <t>A Airway / Arrest / Choking (Unconscious) - Infant &lt; 1Yr</t>
  </si>
  <si>
    <t xml:space="preserve">(No) Get the phone as close to the baby as possible. </t>
  </si>
  <si>
    <t>Don't hang up. Do it now and tell me when it's done.</t>
  </si>
  <si>
    <t>Lay the baby flat on her/his back on the floor/ground and remove any pillows.</t>
  </si>
  <si>
    <t>No - 3</t>
  </si>
  <si>
    <t>Obviously Not Breathing (UC) - 5</t>
  </si>
  <si>
    <t>Put your ear next to her/his mouth.</t>
  </si>
  <si>
    <t>No - 4</t>
  </si>
  <si>
    <t>UNCERTAIN/Just a little - 4</t>
  </si>
  <si>
    <t>Yes - 12</t>
  </si>
  <si>
    <t>Refused M-T-M - 5  Refused M-T-M (UC) - 10</t>
  </si>
  <si>
    <t>(Place your hand on the baby's forehead, your other hand under the baby's neck and shoulders, then slightly tilt the head back.)</t>
  </si>
  <si>
    <t>Yes (UC) - 5</t>
  </si>
  <si>
    <t>No - 11</t>
  </si>
  <si>
    <t>No (UC) - 8</t>
  </si>
  <si>
    <t>(Make sure the baby is flat on her/his back on the floor/ground.)</t>
  </si>
  <si>
    <t>Continue - 6</t>
  </si>
  <si>
    <t>Push down about 1 1/2 inches (4 cm) with only your fingers touching the chest.</t>
  </si>
  <si>
    <t xml:space="preserve">Pump the chest hard and fast 30 times, at least twice per second. </t>
  </si>
  <si>
    <t>Let the chest come all the way up between pumps.</t>
  </si>
  <si>
    <t>Tell me when you're done.</t>
  </si>
  <si>
    <t>(Previous airway blockage) Check in her/his mouth for an object and remove anything you find.</t>
  </si>
  <si>
    <t>Yes (UC) - 4</t>
  </si>
  <si>
    <t>With  your hand under her/his neck and shoulders, slightly tilt her/his head back again. Put your mouth over her/his nose and mouth.</t>
  </si>
  <si>
    <t>From now on, give the baby 2 puffs then 30 pumps, 2 puffs and 30 pumps.</t>
  </si>
  <si>
    <t>(Tell me when they're right with her/him.)</t>
  </si>
  <si>
    <t>Started Breathing Agonal Test</t>
  </si>
  <si>
    <t>Pump the chest hard and fast, at least twice per second. Until help can take over.</t>
  </si>
  <si>
    <t>Let the chest come all the way up  between pumps.</t>
  </si>
  <si>
    <t>(Choking) Check in her/his mouth for an object every few minutes. Remove anything you find.</t>
  </si>
  <si>
    <t>Don’t give up. This will keep her/him going until the paramedics (EMTs) arrive.</t>
  </si>
  <si>
    <t>(M-T-M) Keep repeating this cycle of 2 puffs then 30 pumps, 2 puffs then 30 pumps.</t>
  </si>
  <si>
    <t>Keep doin it until help can take over.</t>
  </si>
  <si>
    <t>Tell me when they're right with her/him, or if anything changes.</t>
  </si>
  <si>
    <t>Tilt her/his head back a little more.</t>
  </si>
  <si>
    <t>Completely cover her/his mouth and nose with your mouth, then blow 2 puffs of air into the lungs, about 1 second each, just enough to make the chest rise with each breath.</t>
  </si>
  <si>
    <t>(Look at her/him very closely. Tell me exactly what you see and hear her/him doing.)</t>
  </si>
  <si>
    <t xml:space="preserve">* </t>
  </si>
  <si>
    <t>Determine now if the patient is breating effectively. If any questions exists, goto Determing AGONAL BREATHING</t>
  </si>
  <si>
    <t>Questionable AGONAL TEST</t>
  </si>
  <si>
    <t>Turn her/his head to the side and clean out her/his mouth and nose.</t>
  </si>
  <si>
    <t>Stay right with her/him, make sure her/his head is slightly tilted back, and check breathing often.</t>
  </si>
  <si>
    <t>If s/he vomits, turn her/him on her/his side and clean out her/his mouth and nose.</t>
  </si>
  <si>
    <t>I'll stay on the line until help arrives.</t>
  </si>
  <si>
    <t>Tell me when the paramedics (EMTs) are right with her/him, or if anything changes.</t>
  </si>
  <si>
    <t>AGONAL/INEFFECTIVE/UNCERTAIN - 18</t>
  </si>
  <si>
    <t>Arrival - D18</t>
  </si>
  <si>
    <t>Determining AGONAL BREATHING</t>
  </si>
  <si>
    <t>(Read verbatim) Okay, I want you to say "now" every single time s/he takes a breath in, starting immediately.</t>
  </si>
  <si>
    <t>A time between breaths of 8 seconds or more is considered INEFFECTIVE BREATHING. Check a maximum of four breaths (three intervals tested).</t>
  </si>
  <si>
    <t>Completely cover the baby's mouth and nose with your mouth, then blow 2 puffs of air into the lungs, about 1 second each, just enough to make the chest rise with each breath.</t>
  </si>
  <si>
    <t>Okay, now give her/him 1 puff every 3 seconds.</t>
  </si>
  <si>
    <t>Tell me when the paramedics (EMTs) are right with her/him.</t>
  </si>
  <si>
    <t>Breathing Normally - 14</t>
  </si>
  <si>
    <t>Start CPR - 5</t>
  </si>
  <si>
    <t>AGONAL/INNEFFECTIVE/UNCERTAIN Before CPR - 4</t>
  </si>
  <si>
    <t>AGONAL/INNEFFECTIVE/UNCERTAIN Before CPR (UC) - 5</t>
  </si>
  <si>
    <t>AGONAL/INNEFFECTIVE/UNCERTAIN Continuing CPR - 10</t>
  </si>
  <si>
    <t>"It's okay, we can do this together."</t>
  </si>
  <si>
    <t>"You're doing great."</t>
  </si>
  <si>
    <t>"I am here with you."</t>
  </si>
  <si>
    <t>"That's very good."</t>
  </si>
  <si>
    <t>B Airway/Arrest / Choking (Unconscious) - Child 1-7Yrs</t>
  </si>
  <si>
    <t>If there is a defibrillator (AED) available, send someone to get it now, and tell me when you have it.</t>
  </si>
  <si>
    <t>Are you right by  her/him now?</t>
  </si>
  <si>
    <t>(No) Get the phone as close to her/him as possible.</t>
  </si>
  <si>
    <t>Continue - 2</t>
  </si>
  <si>
    <t>Lay her/him flat on her/his back on the floor/ground and remove any pillows.</t>
  </si>
  <si>
    <t>Kneel next her her/him and look in the mouth for food or vomit.</t>
  </si>
  <si>
    <t>No Unconscious Choking (UC) 5</t>
  </si>
  <si>
    <t>Now place your hand on her/his forehead, your other hand under her/his neck, then carefully tilt the head back.</t>
  </si>
  <si>
    <t>I'm going to tell you how to give mouth-to-mouth.</t>
  </si>
  <si>
    <t>Refused M-T-M - 5   Refused M-T-M (UC) - 10</t>
  </si>
  <si>
    <t>(Place your hand on her/his forehead, your other hand under her/his neck, then carefully tilt the head back.)</t>
  </si>
  <si>
    <t>Pinch her/his nose closed and completely cover her/his mouth with your mouth, then blow 2 regular breaths into the lungs, about 1 second each, just enough to make the chest rise with each breath.</t>
  </si>
  <si>
    <t>(Make sure s/he is flat on her/his back on the floor/ground.)</t>
  </si>
  <si>
    <t>Place the heal of your hand on the breastbone (in the center of the chest), right between the nipples.</t>
  </si>
  <si>
    <t>Push down about 2 inches (5 cm) with only the heal of one hand touching the chest.</t>
  </si>
  <si>
    <t>Do you understnd me so far?</t>
  </si>
  <si>
    <t>With your hand under her/his neck, pinch her/his nose closed and carefully tilt her/his head back again.</t>
  </si>
  <si>
    <t>Give 2 more regular breaths, then pump the chest 30 more times.</t>
  </si>
  <si>
    <t>Make sure the heal of your hand is on the breastbone (in the center of the chest), right between the nipples.</t>
  </si>
  <si>
    <t>No - Clarify/Reassure.</t>
  </si>
  <si>
    <t>From now on, give her/him 2 breaths then 30 pumps, 2 breaths then 30 pumps.</t>
  </si>
  <si>
    <t>Started Breathing AGONAL Test</t>
  </si>
  <si>
    <t>Push down about 2 inches (5 cm) with only the heel of one hand touching the chest.</t>
  </si>
  <si>
    <t>Pump the chest hard and fast, at least twice per second, until help can take over.</t>
  </si>
  <si>
    <t>(Choking) Check her/his mouth fron an object every frew mintuese. Remove anything you find.</t>
  </si>
  <si>
    <t>Don’t give up. This will keep her/him going util the paramedics (EMTs) arrive.</t>
  </si>
  <si>
    <t>(M-T-M) Keep repeating this cycle of 2 breaths then 30 pumps, 2 breaths then 30 pumps.</t>
  </si>
  <si>
    <t xml:space="preserve">Keep doing it until help can take over. </t>
  </si>
  <si>
    <t>Arrival D-18</t>
  </si>
  <si>
    <t>Did you fell the air going in and out?</t>
  </si>
  <si>
    <t>(Look at her/him very closely. Tell me exactly what you see and hear her/him doing)</t>
  </si>
  <si>
    <t>Determine now if the patient is breathing effectively. If any question exists, go to Determing AGONAL BREATHING.</t>
  </si>
  <si>
    <t>Stay right with her/him, make sure her/his head is carefully tilted back, and check for breathing often.</t>
  </si>
  <si>
    <t>I'll stay on the line until help arrivees.</t>
  </si>
  <si>
    <t>(Read verbatim) Okay, I want you to say "now" every single time s/he takes a breath in, starting Immediately.</t>
  </si>
  <si>
    <t>A time between breaths of 8 seconds or more is considered INEFFECTIVE BREATHING. Check a maximum of four breaths (three intervals tested.)</t>
  </si>
  <si>
    <t>Place your hand on her/his forehead, your other hand under her/his neck, then carefully tilt the head back.</t>
  </si>
  <si>
    <t>Pinch her/his nose closed and completeley cover her/his mouth with your mouth, then blow 2 regular breaths into the lungs, about 1 second each, just enough to make the chest rise with each breath</t>
  </si>
  <si>
    <t>Okay, now give her/him 1 breath every 3 seconds.</t>
  </si>
  <si>
    <t>Start CPR -5</t>
  </si>
  <si>
    <t>AGONAL/INEFFECTIVE/UNCERTAIN Before CPR (UC) - 5</t>
  </si>
  <si>
    <t xml:space="preserve">18a </t>
  </si>
  <si>
    <t>C Airway/Arrest/Choking (Unconscious - Adult &gt;8Yrs</t>
  </si>
  <si>
    <t>Is there a defibrillator (AED) available, send someone to get it now, and tell me when you have it.</t>
  </si>
  <si>
    <t>Are you right by her/him now?</t>
  </si>
  <si>
    <t>(Not Breathing) Lay her/him flat on her/his back on the floor/ground and remove any pillows.</t>
  </si>
  <si>
    <t>(Breathing) Lay her/him flat on her/his back and remove any pillows.</t>
  </si>
  <si>
    <t>(3rd TRIMESTER) Lay her on her left side (on the floor/ground if not breathing) and wedge a pillow behind her lower back.</t>
  </si>
  <si>
    <t>No Breathing/ AGONAL/UNCERTAIN - 4</t>
  </si>
  <si>
    <t>Breathing - 3</t>
  </si>
  <si>
    <t>Now place your hand on her/his forehead, your other hand under her/his neck, then tilt the head back.</t>
  </si>
  <si>
    <t>Yes - 17</t>
  </si>
  <si>
    <t>Select the most appropriate pathway below:</t>
  </si>
  <si>
    <t>Ventilations (V) 1st - 5</t>
  </si>
  <si>
    <t>(if any of these conditions apply)</t>
  </si>
  <si>
    <t>Allergic Reaction</t>
  </si>
  <si>
    <t>Overdose/Poisoning</t>
  </si>
  <si>
    <t>Asthma/COPD</t>
  </si>
  <si>
    <t>Severe Trauma</t>
  </si>
  <si>
    <t>Drowning</t>
  </si>
  <si>
    <t>Hanging</t>
  </si>
  <si>
    <t>Lighting Strike</t>
  </si>
  <si>
    <t>Strangulation</t>
  </si>
  <si>
    <t>Suffocation</t>
  </si>
  <si>
    <t>Toxic Inhalation</t>
  </si>
  <si>
    <t>Compressions Only</t>
  </si>
  <si>
    <t>Compressions ( C ) 1st - 6</t>
  </si>
  <si>
    <t>Any other problems (if none of the above apply)</t>
  </si>
  <si>
    <t>Unconscious Choking (UC) - 6</t>
  </si>
  <si>
    <t>Refused M-T-M 6/10</t>
  </si>
  <si>
    <t>(Place your hand on her/his forehead, your other hand under her/his neck, then tilt the head back.) Now pinch her/his nose closed and completely cover her/his mouth with your mouth, then blow 2 regular breths into the lungs, about 1 second each. The chest should rise with each breath.</t>
  </si>
  <si>
    <t>Yes 1st cycle of CPR - 6</t>
  </si>
  <si>
    <t>Yes Continuing CPR - 9</t>
  </si>
  <si>
    <t>No V 1st - 13</t>
  </si>
  <si>
    <t>No C 1st - 10</t>
  </si>
  <si>
    <t>No UC - 9</t>
  </si>
  <si>
    <t>(Not 3rd TRIMESTER) (Make sure s/he is flat on her/his back on the floor/ground.)</t>
  </si>
  <si>
    <t>Place the heel of your hand on the breastbone (in the center of the chest), right between the nipples.</t>
  </si>
  <si>
    <t>Put your other hand on top of that hand.</t>
  </si>
  <si>
    <t>V 1st - 7</t>
  </si>
  <si>
    <t>UC - 7</t>
  </si>
  <si>
    <t>V 1st &amp; Refused M-T-M - 11</t>
  </si>
  <si>
    <t>Pump the chest hard and fast 30 times, at least twice per second and 2 inches (5 cm) deep.</t>
  </si>
  <si>
    <t>With your hand under her/his neck, pinch her/his nose closed and tilt her/his head back again.</t>
  </si>
  <si>
    <t>Make sure the heel of your hand is on the breastbone (in the center of the chest), right between the nipples.</t>
  </si>
  <si>
    <t>Yes - 9</t>
  </si>
  <si>
    <t>C Only</t>
  </si>
  <si>
    <t>Refused/Unsuccessful M-T-M - 10</t>
  </si>
  <si>
    <t>If M-T-M instructions have not yet been provided, link to panel 5</t>
  </si>
  <si>
    <t>From now on, give her/him:</t>
  </si>
  <si>
    <t xml:space="preserve">V 1st </t>
  </si>
  <si>
    <t>or (UC)</t>
  </si>
  <si>
    <t xml:space="preserve">2 breaths then 30 pumps, </t>
  </si>
  <si>
    <t>2 breaths then 30 pumps.</t>
  </si>
  <si>
    <t>C 1st</t>
  </si>
  <si>
    <t>100 pumps then 2 breaths.</t>
  </si>
  <si>
    <t>100 pumps then 2 breaths,</t>
  </si>
  <si>
    <t>This will keep her/him going until the paramedics (EMTs) arrive.</t>
  </si>
  <si>
    <t>(Choking or Refused M-T-M) Check in her/his mouth for an object every few minutes. Remove anything you find.</t>
  </si>
  <si>
    <t>Pump the chest hard and fast, at least twice per second and 2 inches (5 cm) deep.</t>
  </si>
  <si>
    <t>(Multiple rescuers) Tell me when they start pumping.</t>
  </si>
  <si>
    <t xml:space="preserve">(Single rescuer) Let the chest come all they way up between pumps. </t>
  </si>
  <si>
    <t>We're going to do this (600 times or) until help can take over.</t>
  </si>
  <si>
    <t>Count out loud so I can count with you.</t>
  </si>
  <si>
    <t>Time the compressions</t>
  </si>
  <si>
    <t>C Only Refused M-T-M - 10</t>
  </si>
  <si>
    <t>Tell them to push down hard and make sure the chest comes all the way up between pumps</t>
  </si>
  <si>
    <t>Time the compressions.</t>
  </si>
  <si>
    <t>Prepare the caller to very quickly switch places with the rescuer after 200 compressions or if fatigued.</t>
  </si>
  <si>
    <t>C Only / Refused M-T-M - 10</t>
  </si>
  <si>
    <t>Tilt her/his head back (more) and pinch her/his nose closed.</t>
  </si>
  <si>
    <t>Completely cover her/his mouth with your mouth and blow 2 regular breaths into the lunghs, about 1 second each. The chest should rise with each breath.</t>
  </si>
  <si>
    <t>1st cycle of CPR - 6</t>
  </si>
  <si>
    <t>Continuing CPR - 9</t>
  </si>
  <si>
    <t>Continue M-T-M - 14</t>
  </si>
  <si>
    <t>Okay, now give her/him 1 breath every 5 seconds.</t>
  </si>
  <si>
    <t>Breathing Normally - 16</t>
  </si>
  <si>
    <t>Start CPR (V 1st) - 6</t>
  </si>
  <si>
    <t>15a</t>
  </si>
  <si>
    <t>Effective - 16</t>
  </si>
  <si>
    <t>AGONAL/INEFFECTIVE/UNCERTAIN Continuing CPR - 9</t>
  </si>
  <si>
    <t>Stay right with her/him, make sure her/his head is tilted back, and check breathing often.</t>
  </si>
  <si>
    <t>Stopped Breathing Now - 15a</t>
  </si>
  <si>
    <t>AGONAL/INEFFECTIVE/UNCERTAIN - 15a</t>
  </si>
  <si>
    <t>Abnormal Breathing - 17</t>
  </si>
  <si>
    <t>Determin now if the patient is breathing effectively. If any questions exists, go to Determing AGONAL BREATHING.</t>
  </si>
  <si>
    <t>Questionable  AGONAL Test</t>
  </si>
  <si>
    <t>AGONAL  or INEFFECTIVE - 15a</t>
  </si>
  <si>
    <t>Continue - 15a</t>
  </si>
  <si>
    <t>C only</t>
  </si>
  <si>
    <t xml:space="preserve"> / C 1st - 11</t>
  </si>
  <si>
    <t>D Choking (Conscious) - Adult / Child / Infant / Neonate</t>
  </si>
  <si>
    <t>Unconscious - NABC-2</t>
  </si>
  <si>
    <t>Can s//he breathe (talk, cough, or cry) at all?</t>
  </si>
  <si>
    <t>Yes Adult/Child -9</t>
  </si>
  <si>
    <t>Yes Infant/Neonate - 15</t>
  </si>
  <si>
    <t>No Adult/Child - 3</t>
  </si>
  <si>
    <t>No Infant/Neonate - 12</t>
  </si>
  <si>
    <t>Standing/Sitting - 4</t>
  </si>
  <si>
    <t>Lying - 7</t>
  </si>
  <si>
    <t>Unconscious BC-2</t>
  </si>
  <si>
    <t>Stand/Kneel behind her/him and put your arms around her/his waist. Make a fist and grasp it with your other hand, just above the belly button.</t>
  </si>
  <si>
    <t>Be sure you're below the ribs and the breastbone.</t>
  </si>
  <si>
    <t>In one quick motion, jerk hard, up and into the stomach.</t>
  </si>
  <si>
    <t>Keep doing it until s/he can breathe (talk, cough, or cry). If s/he becomes unconscious, tell me immediately.</t>
  </si>
  <si>
    <t>Can s/he breathe (talk,cough, or cry) at all?</t>
  </si>
  <si>
    <t>No/UNCERTAIN - 9</t>
  </si>
  <si>
    <t>Don’t give up. Keep doing it unti s/he can breathe (talk,cough, or cry).</t>
  </si>
  <si>
    <t>If s/he becomes unconscious, tell me immediately.</t>
  </si>
  <si>
    <t>(Tell me when the paramedics (EMTs) are right with her/him.)</t>
  </si>
  <si>
    <t>Arrival - 18</t>
  </si>
  <si>
    <t>No/UNCERTAIN - Repeat.</t>
  </si>
  <si>
    <t>Unconscious - BC-2</t>
  </si>
  <si>
    <t>Make sure s/he is lying face up. Straddle her/his hips with your legs.</t>
  </si>
  <si>
    <t>Place your hands, one on top of the other, just above her/his belly button.</t>
  </si>
  <si>
    <t>(Adult) Using your weight, push quickly into her/his stomach.</t>
  </si>
  <si>
    <t>(Child) In one mostion, push quickly into her/his stomach.</t>
  </si>
  <si>
    <t xml:space="preserve">Keep doing it until s/he can breathe (talk, cough, or cry). </t>
  </si>
  <si>
    <t>Can s/he breathe (talk, cough, or cry) at all?</t>
  </si>
  <si>
    <t>Just watch her/him very closely and don’t slap her/him on the back.</t>
  </si>
  <si>
    <t>Stopped Breathing - 2</t>
  </si>
  <si>
    <t>Stand/Kneel behind her/him. Wrap your arms around her/his chest, just under the armpits. Make a fist and grasp it with your other hand, right between the nipples.</t>
  </si>
  <si>
    <t>Yes - 11</t>
  </si>
  <si>
    <t>Keep doing it until s/he can breathe or talk</t>
  </si>
  <si>
    <t>(Can s/he breathe or talk now?)</t>
  </si>
  <si>
    <t>No - Repeat</t>
  </si>
  <si>
    <t>Lay the baby face up on the ground.</t>
  </si>
  <si>
    <t>In one quick motion, pull back hard into her/his chest.</t>
  </si>
  <si>
    <t>Place 2 fingers in the center of the baby's chest, right between the nipples.</t>
  </si>
  <si>
    <t>Unconscious - NA-2</t>
  </si>
  <si>
    <t>Push down quickly 1 inch (3 cm) with only your fingers touching the chest.</t>
  </si>
  <si>
    <t>Pump the chest rapidly, about once per second. Keep doing it unti the baby can breathe or cry.</t>
  </si>
  <si>
    <t>(Is the baby breathing or crying now?)</t>
  </si>
  <si>
    <t>Yes - 15</t>
  </si>
  <si>
    <t>No/UNCERTAIN - 14</t>
  </si>
  <si>
    <t>Don’t give up. Keep doing it until the baby can breathe or cry.</t>
  </si>
  <si>
    <t>Just watch her/him very closely and don't slap her/him on the back.</t>
  </si>
  <si>
    <t>If s/he starts wheezing, making funny noises, or becomes unconscious, tell me immediately.</t>
  </si>
  <si>
    <t>Carefully use your finger to remove it from her/his mouth.</t>
  </si>
  <si>
    <t>(Don’t stop what you're doing and) don’t leave her/him alone until the paramedics (EMTs) are right there.</t>
  </si>
  <si>
    <t>(No &amp; no help) Go open the door and come right back. (Continue ____ immediately if the paramedics (EMTs) are not there.)</t>
  </si>
  <si>
    <t>Tell me when they're right with her/him.</t>
  </si>
  <si>
    <t>End of Sequence.</t>
  </si>
  <si>
    <t>F Childbirth - Delivery</t>
  </si>
  <si>
    <t>Listen carefully and do exactly as I say.</t>
  </si>
  <si>
    <t>Where is she now?</t>
  </si>
  <si>
    <t>(Get the phone as close to her as possible.)</t>
  </si>
  <si>
    <t>Lay her on her back in the center of a bed or on the floor. I'm going to tell you how to help deliver the baby.</t>
  </si>
  <si>
    <t>(Has the baby been born yet?)</t>
  </si>
  <si>
    <t>No - 2</t>
  </si>
  <si>
    <t>Make sure all clothing below her waist is removed.</t>
  </si>
  <si>
    <t>Raise her head with pillows, but don't let her sit up or go to the bathroom.</t>
  </si>
  <si>
    <t>Continue - 3</t>
  </si>
  <si>
    <t>I want you to get some dry towels and a blanket to wrap the baby in.</t>
  </si>
  <si>
    <t>Get a string or shoelace to tie around the umbilical cord after delivery. Get a safety pin also, if you can.</t>
  </si>
  <si>
    <t>(No towels/blanket) Find something clean and dry to wrap the baby in.</t>
  </si>
  <si>
    <t>(Send someone else if you have help.)</t>
  </si>
  <si>
    <t>3a or Return to Sequence</t>
  </si>
  <si>
    <t>Is she pushing or straining yet?</t>
  </si>
  <si>
    <t>No - 12</t>
  </si>
  <si>
    <t>I want you to look at her vagina very carefully to see how close the baby is to being born.</t>
  </si>
  <si>
    <t>(Do not pull on the baby or cord.)</t>
  </si>
  <si>
    <t>Can you see any part of the baby yet?</t>
  </si>
  <si>
    <t>Yes - Head - 5</t>
  </si>
  <si>
    <t>Yes - Other Parts (without head) - 20</t>
  </si>
  <si>
    <t>Okay. With each contraction (labor pain), place the palm of your hand against her vagina.</t>
  </si>
  <si>
    <t>Now apply firm but gentle pressure to keep the baby's head from delivering too fast and tearing her.</t>
  </si>
  <si>
    <t>As the baby delivers, support the baby's head and shoulders and hold its hips and legs firmly.</t>
  </si>
  <si>
    <t>Remember, the baby will be slippery, so don't drop it.</t>
  </si>
  <si>
    <t>Is the baby completely out now?</t>
  </si>
  <si>
    <t>(No) Have her push hard to get the baby out.</t>
  </si>
  <si>
    <t>Baby Born - 7</t>
  </si>
  <si>
    <t>Head Only After 3 Contractions - 16</t>
  </si>
  <si>
    <t>Keep the baby between the mother's legs and level with her bottom.</t>
  </si>
  <si>
    <t>Is the baby crying or breathing?</t>
  </si>
  <si>
    <t>(No) Do you see any obvious problems?</t>
  </si>
  <si>
    <t>Cord Around Neck/Body - 9</t>
  </si>
  <si>
    <t>Sac Not Broken - 36</t>
  </si>
  <si>
    <t>Baby Not Breathing - 14</t>
  </si>
  <si>
    <t>Gently wipe off the baby's mouth and nose.</t>
  </si>
  <si>
    <t>Dry the baby off with a clean towel (cloth), then wrap the baby in another clean, dry towel.</t>
  </si>
  <si>
    <t>Cover the baby's head but not its face.</t>
  </si>
  <si>
    <t>Without pulling the cord tight, put the baby down between the mother's legs, level with her bottom.</t>
  </si>
  <si>
    <t>Be sure the cord is not wrapped around the baby's neck.</t>
  </si>
  <si>
    <t>Be sure to keep the baby and the mother warm.</t>
  </si>
  <si>
    <t>Continue - 9</t>
  </si>
  <si>
    <t>Cord Around Neck - 19</t>
  </si>
  <si>
    <t>We're going to watch the baby closely for 3 minutes, then tie the cord with a string (shoelace).</t>
  </si>
  <si>
    <t>(After 3 minutes or Complications with mother/baby) Without pulling the cord, tie a string (shoelace) tightly around the umbilical cord, about 6 inches (15 cm) from the baby, but do not cut it.</t>
  </si>
  <si>
    <t>Tie it now and tell me when it's done.</t>
  </si>
  <si>
    <t>10 or Return to Sequence</t>
  </si>
  <si>
    <t>Do not pull on the cord. The afterbirth (placenta) should deliver soon.</t>
  </si>
  <si>
    <t>Tell me if this happens or if anything changes.</t>
  </si>
  <si>
    <t>No - 13</t>
  </si>
  <si>
    <t>No - SERIOUS Bleeding/Cramping - 37</t>
  </si>
  <si>
    <t>Wrap the afterbirth (placenta) in a towel and keep it. The doctor will need to examin it to be sure it all came out.</t>
  </si>
  <si>
    <t>Are the mother and baby all right?</t>
  </si>
  <si>
    <t>No - Baby Stopped Breathing - 14</t>
  </si>
  <si>
    <t>No - Mother Unconscious - C-2</t>
  </si>
  <si>
    <t>No - SERIOUS Bleeding/Cramping - 33</t>
  </si>
  <si>
    <t>There should still be some time left before delivery occurs.</t>
  </si>
  <si>
    <t>(Reassure her that) Help is on the way.</t>
  </si>
  <si>
    <t>Have her take slow, deep breaths between each contraction (labor pain).</t>
  </si>
  <si>
    <t>If anything changes, tell me immeadiately.</t>
  </si>
  <si>
    <t>Pushing or Straining - 4</t>
  </si>
  <si>
    <t>Head Presenting - 5</t>
  </si>
  <si>
    <t>Other Parts Presenting - 20</t>
  </si>
  <si>
    <t>It's important for you to watch the baby and the mother to be sure they're both all right.</t>
  </si>
  <si>
    <t>Use a blanket to keep the mother and baby warm.</t>
  </si>
  <si>
    <t>Tell me when the paramedics (EMTs) arrive.</t>
  </si>
  <si>
    <t>Baby Stopped Breathing - 14</t>
  </si>
  <si>
    <t>Mother Unconscious - C-2</t>
  </si>
  <si>
    <t>SERIOUS Bleeding/Cramping &amp; Afterbirth Not Delivered - 37</t>
  </si>
  <si>
    <t>Afterbirth Delivered - 11</t>
  </si>
  <si>
    <t>Arrival - 15</t>
  </si>
  <si>
    <t>Gently wipe the baby's mouth and nose, then vigorously dry the baby with a clean, dry towel (cloth) for 30 seconds.</t>
  </si>
  <si>
    <t>Then tell me if the baby is crying or breathing.</t>
  </si>
  <si>
    <t>Baby Breathing - Return to Sequence</t>
  </si>
  <si>
    <t>(Baby no brething) Place your hand under the baby's neck and shoulders, then slightly tilt the head back.</t>
  </si>
  <si>
    <t>Is there any green fluid in the baby's mouth?</t>
  </si>
  <si>
    <t>Yes - N-13</t>
  </si>
  <si>
    <t>No - N-4</t>
  </si>
  <si>
    <t>(No &amp; no help) Go open the door and come right back.</t>
  </si>
  <si>
    <t>You both did a very good job!</t>
  </si>
  <si>
    <t>(Congratulations!)</t>
  </si>
  <si>
    <t>Is it a boy or a girl?</t>
  </si>
  <si>
    <t>Tell the mother to lie flat, then place 2 pillows under her bottom.</t>
  </si>
  <si>
    <t>Now have her grab her knees, pull them to her chest, then push hard to get the baby out.</t>
  </si>
  <si>
    <t>(After two pushes) Is the baby completely out now?</t>
  </si>
  <si>
    <t>No - 17</t>
  </si>
  <si>
    <t>Listen carefully. Kneel next to her and place the heel of your hand just above the pubic bone.</t>
  </si>
  <si>
    <t>That's right abouve the pubic hair at her far bottom of the belly.</t>
  </si>
  <si>
    <t>Make sure your hand is above, but not on top of the pubic bone.</t>
  </si>
  <si>
    <t>Yes - 18</t>
  </si>
  <si>
    <t>Now, using some of your body weight, push down slowly, toward the side away from you. Hold down for 3 seconds, then slowly release.</t>
  </si>
  <si>
    <t>Repeat this until the baby comes all the way out. I'll stay on the line.</t>
  </si>
  <si>
    <t>It's common for the umbilical cord to be wrapped around the baby's neck or body.</t>
  </si>
  <si>
    <t>Listen carefully and I'll tell you exactily what to do next.</t>
  </si>
  <si>
    <t>Slide your finger under the cord. Without stretching the cord tight, carefully pull it over the baby's head (away from the baby's body).</t>
  </si>
  <si>
    <t>Is the baby breathing now?</t>
  </si>
  <si>
    <t>No - 14</t>
  </si>
  <si>
    <t>Now look at her vagina very carefully and confirm which part of the baby you see.</t>
  </si>
  <si>
    <t>Remember, do not pull on the baby or cord.</t>
  </si>
  <si>
    <t>BREECH Delivery:</t>
  </si>
  <si>
    <t>Foot/Feet</t>
  </si>
  <si>
    <t>Leg(s)</t>
  </si>
  <si>
    <t>Buttocks</t>
  </si>
  <si>
    <t>BREECH Positioning:</t>
  </si>
  <si>
    <t>Hand(s) without head</t>
  </si>
  <si>
    <t>Arm(s) withouth head</t>
  </si>
  <si>
    <t>Cord without head</t>
  </si>
  <si>
    <t>Cervical cerclage (stitch)</t>
  </si>
  <si>
    <t>BREECH Delivery - 21</t>
  </si>
  <si>
    <t>BREECH Positioning - 25</t>
  </si>
  <si>
    <t>I want you to prepare a soft area on the ground, no more than a foot from the mothers bottom.</t>
  </si>
  <si>
    <t>Use something clean and soft. This is to put the baby on when it comes out.</t>
  </si>
  <si>
    <t>Yes - 22</t>
  </si>
  <si>
    <t>This could be a difficult delivery.</t>
  </si>
  <si>
    <t>(On bed) Bring the mother's bottom to the edge of the bed. Tell the mother to grab her knees and pull them to her chest.</t>
  </si>
  <si>
    <t>(Not on bed) Have the mother stand, bend her knees, and squat.</t>
  </si>
  <si>
    <t>Yes - 23</t>
  </si>
  <si>
    <t>Do not touch the baby. The mother should be able to deliver this way.</t>
  </si>
  <si>
    <t>Let the baby hang down toward the ground. Don't be afraid that the baby will fall: just make sure you have a soft area for the baby to land. If any part of the baby's body delivers, keep it warm with a towel or soft cloth.</t>
  </si>
  <si>
    <t>Remember to gently support the baby's body, but do not pull on the baby or cord.</t>
  </si>
  <si>
    <t>Tell me what's happening.</t>
  </si>
  <si>
    <t>Head Stuck (arms out) - 24</t>
  </si>
  <si>
    <t>If the baby's arms are out, but the head does not come with the next contraction (labor pain), help the mother to stand. Have her bend her knees and squat.</t>
  </si>
  <si>
    <t>Now tell her to push really hard.</t>
  </si>
  <si>
    <t>Is the baby completely out?</t>
  </si>
  <si>
    <t xml:space="preserve">(Do not push anyting back into the vagina.) </t>
  </si>
  <si>
    <t>Tell her to stop pushing with the pains and take deep breaths instead.</t>
  </si>
  <si>
    <t>Was she able to get on her elbows and knees?</t>
  </si>
  <si>
    <t>Yes - Cord - 28</t>
  </si>
  <si>
    <t>Yes - Hand/Arm/Cerclage - 27</t>
  </si>
  <si>
    <t>No - 26</t>
  </si>
  <si>
    <t>Have her roll over and get up on her elbows and knees.</t>
  </si>
  <si>
    <t xml:space="preserve">Okay. There is another way to do this. </t>
  </si>
  <si>
    <t>Have her lie flat on her back.</t>
  </si>
  <si>
    <t>Place a pillow, cushion, or folded blanket under her hips.</t>
  </si>
  <si>
    <t>Cord - 28</t>
  </si>
  <si>
    <t>Hand/Arm - 27</t>
  </si>
  <si>
    <t>Remember, I've already sent the paramedics (EMTs). Tell me when they're right with her.</t>
  </si>
  <si>
    <t>Remind her to stop pushing with the pains and take deep breaths with the contractions (labor pains).</t>
  </si>
  <si>
    <t>Cord Presentation - 28</t>
  </si>
  <si>
    <t>Put the cord between your thumb and middle finger and gently feel for a pulse.</t>
  </si>
  <si>
    <t>Now count the pulses until I tell  you to stop.</t>
  </si>
  <si>
    <t>Time for 30 seconds</t>
  </si>
  <si>
    <t>How many pulses did  you feel?</t>
  </si>
  <si>
    <t>&gt;50 - 32</t>
  </si>
  <si>
    <t>&lt;50(1st attempt) - 29</t>
  </si>
  <si>
    <t>&lt;50(subsequent attempts) - 31</t>
  </si>
  <si>
    <t>We need to change the position of the baby now.</t>
  </si>
  <si>
    <t>Be careful not to press on the cord.</t>
  </si>
  <si>
    <t>Can you fell any part of the baby?</t>
  </si>
  <si>
    <t>Yes - 30</t>
  </si>
  <si>
    <t>With your fingers, gently but firmly push the baby up and away from the cord. Your fingers may get numb, but don't stop.</t>
  </si>
  <si>
    <t>Now, with your other hand, feel the cord for a pulse. Don’t try to prevent the birth, just let the baby come out.</t>
  </si>
  <si>
    <t>Can you fell a pulse in the cord now?</t>
  </si>
  <si>
    <t>Yes - 28</t>
  </si>
  <si>
    <t>Listen carefully</t>
  </si>
  <si>
    <t>Do not remove your fingers. You need to push the baby farther away from the cord. It may take a little more pressure.</t>
  </si>
  <si>
    <t>Now, with your other hand, fell for a pulse again.</t>
  </si>
  <si>
    <t>Can you feel a pulse in the cord now?</t>
  </si>
  <si>
    <t>I want you to continue gently feeling the cord for a pluse.</t>
  </si>
  <si>
    <t>If anything changes, or the pulse stops or slows, tell me immediately.</t>
  </si>
  <si>
    <t>(Tell me when the paramedics (EMTs) are right with her.)</t>
  </si>
  <si>
    <t>Pulse Stops/Slows - 29</t>
  </si>
  <si>
    <t>Head Starting to Deliver - 6</t>
  </si>
  <si>
    <t>Other Parts Delivering - 20</t>
  </si>
  <si>
    <t>Have the mother lie flat on her back (not sitting up) and place some towels under her bottom.</t>
  </si>
  <si>
    <t>I want you to fimly and deeply massage her belly, just below the belly button.</t>
  </si>
  <si>
    <t>Yes - 34</t>
  </si>
  <si>
    <t>This may briefly increase the bleeding/cramping (pain), but you have to keep doing it. This will help stop the bleeding/cramping.</t>
  </si>
  <si>
    <t>Let me know how she's doing.</t>
  </si>
  <si>
    <t>No - 35</t>
  </si>
  <si>
    <t>You need to massage her belly again, just below her belly button.</t>
  </si>
  <si>
    <t>Without pulling the cord tight, put the baby to the mother's breast to feed. This will also help control the bleeding/cramping.</t>
  </si>
  <si>
    <t>If the sac dosen't immediately break open, then pinch the sac with your fingers and twist it hard, using your fingernails to tear it open. Then push your finger into the hole and tear away the sac.</t>
  </si>
  <si>
    <t>(Is the sac broken now?)</t>
  </si>
  <si>
    <t>(No) Open the safety pin and use the sharp end to tear a hole in the sac. Be very careful not to cut the baby.</t>
  </si>
  <si>
    <t>Without pulling the cord tight, put the baby to the mother's breast to feed. This will help control the bleeding/cramping.</t>
  </si>
  <si>
    <t>Now place some towels under her bottom so we can monitor the bleeding.</t>
  </si>
  <si>
    <t>Is the baby feeding (nursing)?</t>
  </si>
  <si>
    <t>Yes - 38</t>
  </si>
  <si>
    <t>No - 39</t>
  </si>
  <si>
    <t>Okay. Breastfeeding triggers hormones that will help stop the bleeding/cramping. Watch the baby and mother carefully and tell me how they're doing.</t>
  </si>
  <si>
    <t>No - Baby Still Nursing - Clarify/Reassure</t>
  </si>
  <si>
    <t>No - Baby Stopped Nurssing - 39</t>
  </si>
  <si>
    <t>Since the baby won't feed yet, ask the mother to stimulate her nipples with her fingertips.</t>
  </si>
  <si>
    <t>This mimics breastfeeding and will help control the bleeding/cramping.</t>
  </si>
  <si>
    <t>Gently put your index and middle finger into the mother's vagina, right alongside the cord, until you can feel the baby's body.</t>
  </si>
  <si>
    <t>Obese/Visibly Pregnant - 10</t>
  </si>
  <si>
    <t>Yes - X-1</t>
  </si>
  <si>
    <t>Continue -18</t>
  </si>
  <si>
    <t>Ya Tracheostomy (Stoma) Airway /Arrest/Choking (Unconscious) - Infant &lt; 1 Yr</t>
  </si>
  <si>
    <t>Kneel next to the baby and look in the tube/hole for food or vomit.</t>
  </si>
  <si>
    <t>Is there anything in the tube/hole?</t>
  </si>
  <si>
    <t>Now put your hear next to the tube/hole.</t>
  </si>
  <si>
    <t>I'm going to tell you how to breathe for the baby.</t>
  </si>
  <si>
    <t>Refused M-T-S - 5</t>
  </si>
  <si>
    <t>Refused M-T-S (UC) - 10</t>
  </si>
  <si>
    <t>Hold the baby's mouth and nose closed.</t>
  </si>
  <si>
    <t>Completely cover tahe tube/hole with your mouth, then blow 2 puffs of air into the lungs, about 1 second each, just enough to make the chest rise with each breath.</t>
  </si>
  <si>
    <t>Did you feel the air goin in and out?</t>
  </si>
  <si>
    <t>(Make sure the baby is flat on her/his back on the floor/ground)</t>
  </si>
  <si>
    <t>Refused M-T-S - 9</t>
  </si>
  <si>
    <t>Push down about 1 1/2 inch (4 cm) with only your fingers touching the chest.</t>
  </si>
  <si>
    <t>Pump the chest hard and fast 30 times, at least twice per second.</t>
  </si>
  <si>
    <t>(Previous airway blockage) Check the tube/hole for an object and remove anything you find.</t>
  </si>
  <si>
    <t>Completely cover the tube/hole with your mouth again.</t>
  </si>
  <si>
    <t>Now give 2 more puffs, then pump the chest 30 more times.</t>
  </si>
  <si>
    <t>From now on, give the baby 2 puffs then 30 pumps 2 puffs then 30 pumps.</t>
  </si>
  <si>
    <t>Keep doing it untl help can take over.</t>
  </si>
  <si>
    <t>IF anything changes, tell me immediately.</t>
  </si>
  <si>
    <t>Pump the chest hard and fast, at least twice per second, until help can take over. Let the chest come all the way up between pumps.</t>
  </si>
  <si>
    <t>(Choking) Check in the tube/hole for an object every few minutes. Remove anything you find.</t>
  </si>
  <si>
    <t>(M-T-S) Keep repeating this cycle of 2 puffs then 30 pumps, 2 puffs then 30 pumps.</t>
  </si>
  <si>
    <t>(Refused M-T-S) Just keep doing the compressions.</t>
  </si>
  <si>
    <t>Started Breathing - AGONAL Test</t>
  </si>
  <si>
    <t>Make sure you're olding the baby's mouth and nose closed.</t>
  </si>
  <si>
    <t>Completely cover the tube/hole with your mouth, then blow 2 puffs of air into the lungs, about 1 second each, just enough to make the chest rise with each breath.</t>
  </si>
  <si>
    <t>No - 13a</t>
  </si>
  <si>
    <t>(Look at her/him very closely. Tell me exactly what you see and here her/him doing.)</t>
  </si>
  <si>
    <t>Determine now if the patient is breathing effectively. If any questions exists, go to Determing AGONAL BREATHING.</t>
  </si>
  <si>
    <t>Wipe the tube/hole clean with a cloth or towel.</t>
  </si>
  <si>
    <t>13a</t>
  </si>
  <si>
    <t>You need to pull out the tube and tell me when it's done.</t>
  </si>
  <si>
    <t>Continue - 5</t>
  </si>
  <si>
    <t>Stay right with her/him and check her/his breathing often.</t>
  </si>
  <si>
    <t>If s/he vomits, turn her/him on her/his side and clean out the tube/hole</t>
  </si>
  <si>
    <t>&gt; 8 sec. interval = AGONAL</t>
  </si>
  <si>
    <t>A time between breaths of 8 seconds or more is considered INEFFECTIVE BREATHING. Check a maximum of four breaths (three interals tested).</t>
  </si>
  <si>
    <t>Refused M-T-S - 14</t>
  </si>
  <si>
    <t>AGONAL/INEFFECTIVE/UNCERTAIN Conatinuing CPR - 10</t>
  </si>
  <si>
    <t>"I am here with your."</t>
  </si>
  <si>
    <t>If there is a difibrillator (AED) available, send someone to get it now, and tell me when you have it.</t>
  </si>
  <si>
    <t>Lay her/him on her/his back on the floor/ground and remove any pillows.</t>
  </si>
  <si>
    <t>Kneel next to her/him and look in the tube/hole for food or vomit.</t>
  </si>
  <si>
    <t>Obviously Not Breathing - (UC) - 5</t>
  </si>
  <si>
    <t>Now put your ear next to the tube/hole.</t>
  </si>
  <si>
    <t>Can you fell or hear any breathing?</t>
  </si>
  <si>
    <t>I'm going to tell you how to breathe for her/him.</t>
  </si>
  <si>
    <t>Hold her/his mouth closed and pinch her/his nose tightly.</t>
  </si>
  <si>
    <t>Completely cover the tube/hole with your mouth, then blow 2 regular breaths into the lungs, about 1 second each, just enough to make the chest rise with each breath.</t>
  </si>
  <si>
    <t>Did you feel thei air going in and out?</t>
  </si>
  <si>
    <t>(Previous airway blockage) Check in the tube/hole for an object and remove anything you find.</t>
  </si>
  <si>
    <t>Yes (UC) 4</t>
  </si>
  <si>
    <t>Give 2 more regualar breaths, then pump the chest 30 more times.</t>
  </si>
  <si>
    <t>No - Clerify/Reassure.</t>
  </si>
  <si>
    <t>Continue - 8</t>
  </si>
  <si>
    <t>(Choking) Check the tube/hole for an object every few minutes. Remove anything you find.</t>
  </si>
  <si>
    <t>(M-T-S) Keep repeating this cycle of 2 breaths then 30 pumps, 2 breaths then 30 pumps.</t>
  </si>
  <si>
    <t>Tell me when they're rith with her/him, or if anything changes.</t>
  </si>
  <si>
    <t>Arrvial - D-18</t>
  </si>
  <si>
    <t>Make sure you're holding her/his mouth closed and pinch her/his nose tightly.</t>
  </si>
  <si>
    <t>Do you fell the air going in and out?</t>
  </si>
  <si>
    <t>(Look at her/him very closely. Tell me exactly what you see and her her/him doing.)</t>
  </si>
  <si>
    <t>Questionalbe - AGONAL Test</t>
  </si>
  <si>
    <t>3 or Return to Sequence.</t>
  </si>
  <si>
    <t>If s/he vomits, turn her/him on her/his side and clean out the tube/hole.</t>
  </si>
  <si>
    <t>Determing AGONAL BREATHING</t>
  </si>
  <si>
    <t>Symptoms recurring/ not improving - 4</t>
  </si>
  <si>
    <t>A time between breaths of 8 seconds or more is considered INEFFECTIVE BREATHING. Check a maximum of four breaths (three iintervals tested).</t>
  </si>
  <si>
    <t>Start CPR - 8</t>
  </si>
  <si>
    <t>Yc Tracheostomy (Stoma) Airway/Arrest/Choking (Unconscious) Adult &gt; 8 Yrs</t>
  </si>
  <si>
    <t>(Not breathing) Lay her/him on her/his back on the floor/ground and remove any pillows.</t>
  </si>
  <si>
    <t>Not Breathing/AGONAL/UNCERTAIN - 4</t>
  </si>
  <si>
    <t>I'm going to tell you how to breate for her/him</t>
  </si>
  <si>
    <t>Refused M-T-S - 6/10</t>
  </si>
  <si>
    <t>Hold her/his mouth closed and pinch her/his nose tightly. Completely cover the tube/hole with your mouth, then blow 2 regular breaths into the lungs, about 1 second each. The chest should rise with each breath.</t>
  </si>
  <si>
    <t>Keep doing it (the compressions) over and over, don’t give up.</t>
  </si>
  <si>
    <t>Refused/Unsuccessful M-T-S - 10</t>
  </si>
  <si>
    <t>If M-T-S instructions have not yet been provided, link to panel 5</t>
  </si>
  <si>
    <t>(Choking or Refused M-T-S) Check in her/his mouth for an object every few minutes. Remove anything you find.</t>
  </si>
  <si>
    <t>C Only Refused M-T-S - 10</t>
  </si>
  <si>
    <t>C Only / Refused M-T-S - 10</t>
  </si>
  <si>
    <t>Completely cover the tube/hole with your mouth, then blow 2 regular breaths into the lungs, about 1 second each. The chest should rise with each breath.</t>
  </si>
  <si>
    <t>Continue M-T-S - 14</t>
  </si>
  <si>
    <t>No - 14a</t>
  </si>
  <si>
    <t>14a</t>
  </si>
  <si>
    <t>(It's okay to hve a little fluid remaining.)</t>
  </si>
  <si>
    <t>Stay rith with her/him and check her/his breathing often.</t>
  </si>
  <si>
    <t>Tell me when the paramedics (EMTs) are right with her/him, or if anything chanages.</t>
  </si>
  <si>
    <t>(Look at her/him very closely. Tell me exactly what you see and hear her/him doing.</t>
  </si>
  <si>
    <t>Determine now if the patient is breathing effectively. If any questions exists, go to Determining AGONAL BREATHING.</t>
  </si>
  <si>
    <t>AGONAL or INEFFECTIVE - 15a</t>
  </si>
  <si>
    <t>Continue -5</t>
  </si>
  <si>
    <t>Continue -12</t>
  </si>
  <si>
    <t>Z AED Support</t>
  </si>
  <si>
    <t>Is there someone there who can help you?</t>
  </si>
  <si>
    <t>(Yes) Send them to get the Defibrillator now, and tell me when you have it.</t>
  </si>
  <si>
    <t>Clothing that just unzips or unbuttons can be opened and left on.</t>
  </si>
  <si>
    <t>Sweaters and T-shirts may need to be completely removed or cut open.</t>
  </si>
  <si>
    <t>Perform BC-1, BC-2, and BC-3 (C-3 if directed by the protocol), then return to here when finished.</t>
  </si>
  <si>
    <t>Normal Breathing - B-14, C-16</t>
  </si>
  <si>
    <t>Effective Breathing - B-14,C-16</t>
  </si>
  <si>
    <t>INEFFECTIVE BREATHING - 3</t>
  </si>
  <si>
    <t>(No helper) Go and get the defibrillator now, and tell me when you have it.</t>
  </si>
  <si>
    <t>Is the defibrillator there right now?</t>
  </si>
  <si>
    <t>No - Begin CPR (BC-4) then - 4</t>
  </si>
  <si>
    <t>Put the defibrillator on the floor next to her/his head, on the side closest to you.</t>
  </si>
  <si>
    <t>Some machines begin automatically when the lid is opened.</t>
  </si>
  <si>
    <t>Some machines have an "on" button. Its frequently green.</t>
  </si>
  <si>
    <t>The are usually in the flat foil or plastic package (about 6 by 8 inches / 15 by 20 cm).</t>
  </si>
  <si>
    <t>The pads are often already plugged into the machine.</t>
  </si>
  <si>
    <t>The pads have a picture of where they should be placed.</t>
  </si>
  <si>
    <t>Undo or remove any clothing from her/his chest. If her/his chest is wet (sweaty), dry it off.</t>
  </si>
  <si>
    <t>Is the chest bare now?</t>
  </si>
  <si>
    <t>There may be an "analyze" button that needs to be pressed.</t>
  </si>
  <si>
    <t>If the machine repeatedly prompts to place the electrodes, the electrodes may not be plugged in firmly enough, or the electrodes may not be properly stuck to the patient's chest.</t>
  </si>
  <si>
    <t>No - T1</t>
  </si>
  <si>
    <t>Open the lid, if nessary, and press the "on" button, if there is one.</t>
  </si>
  <si>
    <t>Is the machine on?</t>
  </si>
  <si>
    <t>No - T2</t>
  </si>
  <si>
    <t>Find the pads (electrodes), and if necessary, plug them into the machine.</t>
  </si>
  <si>
    <t>Are the pads plugged in?</t>
  </si>
  <si>
    <t>No - T3</t>
  </si>
  <si>
    <t>Open the packet of pads, peel off the backing, and apply the pads to her/his chest as shown.</t>
  </si>
  <si>
    <t>Are the pads placed as shown?</t>
  </si>
  <si>
    <t>No - T4</t>
  </si>
  <si>
    <t>The machine will tell you what to do. Follow its instructions.</t>
  </si>
  <si>
    <t>Tell me what you're doing so I'll know how it's going.</t>
  </si>
  <si>
    <t>The most likely sequence is:</t>
  </si>
  <si>
    <t>Analyze (if problems see T5)</t>
  </si>
  <si>
    <t>Shock (if problems see T6)</t>
  </si>
  <si>
    <t>If the analysis doesn't find a shockable rhythem, of if an analyze/shock cycle has been given without results, the machine will prompt the caller to do CPR.</t>
  </si>
  <si>
    <t>(No) What does the machine say?</t>
  </si>
  <si>
    <t>Go to BC-4 and perform CPR for 2 minutes, then return here when finished or if interruped by the machine. The machine should then re-analyze and may shock again before advising more CPR.</t>
  </si>
  <si>
    <t>Go to C-9/B-8 and perform CPR for 2 minutes, then return to here when finished or if interruped by the machine. The machine shuold then re-analyze, and may shock again before advising more CPR.</t>
  </si>
  <si>
    <t>Go to C-9/B-8 and continue CPR until interrupted by the machine. Follow the AED's prompts and repeat this panel until help arrives. (If the patient starts breathing, continue with Protocol B or C).</t>
  </si>
  <si>
    <t>T1</t>
  </si>
  <si>
    <t>Clothing can be pulled up around her/his neck while the pads are applied.</t>
  </si>
  <si>
    <t>It's okay if the clothing falls back over the pads when the caller Performs CPR.</t>
  </si>
  <si>
    <t>T2</t>
  </si>
  <si>
    <t>Many machines have a batter indicator -  if its red, the battery needs to be replaced.</t>
  </si>
  <si>
    <t>Often the machine will have a spare battery.</t>
  </si>
  <si>
    <t>There should be diagrams on the battery or machine indicating how to replace the battery.</t>
  </si>
  <si>
    <t>T3</t>
  </si>
  <si>
    <t>The wires from the pads plug into the machine. The socket may blink to show where the plug goes.</t>
  </si>
  <si>
    <t>The plug may only fit one way. Look carefully at the plug and the socket.</t>
  </si>
  <si>
    <t>The plug may need firm pressure to push it into the socket. It may "click" in place.</t>
  </si>
  <si>
    <t>T4</t>
  </si>
  <si>
    <t>Usually the picture is on the pads themselves, but it may also be on the AED box.</t>
  </si>
  <si>
    <t>One pad should be placed about 1 inch (3 cm) below her/his right collar bone, and the other pad should be plalced on the chest about 1 inch (3 cm) below her/his left armpit.</t>
  </si>
  <si>
    <t>T5</t>
  </si>
  <si>
    <t>Pads placed over clothes?</t>
  </si>
  <si>
    <t>Re-place them on bare skin.</t>
  </si>
  <si>
    <t>Hairy chest?</t>
  </si>
  <si>
    <t>Press the pads on as firmly as possible.</t>
  </si>
  <si>
    <t>Tear the pads (and some hair) off, and apply a second set of pads.</t>
  </si>
  <si>
    <t>Quickly shave the man's chest, if a razor is available.</t>
  </si>
  <si>
    <t>X CASE EXIT</t>
  </si>
  <si>
    <t>1st Party Caller</t>
  </si>
  <si>
    <t>(Help is on the way)</t>
  </si>
  <si>
    <t>From now on, don’t have anything to eat or drink. It might make you sick or cause further problems.</t>
  </si>
  <si>
    <t>(Medical) Just rest in the most comfortable position for you.</t>
  </si>
  <si>
    <t>(Trauma) Don't move around unless it's absoulutely necessary. Just be still and wait for help to arrive.</t>
  </si>
  <si>
    <t>The "nothing to eat or drink" instruction above should be omitted for the alert diabetic.</t>
  </si>
  <si>
    <t>Stable - Routine Disconnect - 2</t>
  </si>
  <si>
    <t>Stable but Stay on Line - 3</t>
  </si>
  <si>
    <t>Unstable or Not alert - 3</t>
  </si>
  <si>
    <t>(I'm going to give you some instructions before I let you go.)</t>
  </si>
  <si>
    <t>(Appropriate) Before the responders arrive, please:</t>
  </si>
  <si>
    <t>Put away any pets.</t>
  </si>
  <si>
    <t>Gather your medications.</t>
  </si>
  <si>
    <t>Unlock the door.</t>
  </si>
  <si>
    <t>Turn on the outside lights or vehicle hazard lights.</t>
  </si>
  <si>
    <t>Stay on Line - 3</t>
  </si>
  <si>
    <t>(Disconnect) If anything changes, call us back immediately for further instructions.</t>
  </si>
  <si>
    <t>Use caution when advising 1st party callers to do anything that would unduly exert themselves if their condition is traumatic, unstable, or worsening.</t>
  </si>
  <si>
    <t>2nd Party Caller</t>
  </si>
  <si>
    <t>(Reassure her/him that help is on the way.)</t>
  </si>
  <si>
    <t>From now on, don’t let her/him have anything to eat or drink. It might make her/him sick or cause further problems.</t>
  </si>
  <si>
    <t>(Medical) Just let her/him rest in the most comfortable position and wait for help to arrive.</t>
  </si>
  <si>
    <t>(Trauma) Don’t move her/him unless it's absolutely necessary. Just tell her/him to be still and wait for help to arrive.</t>
  </si>
  <si>
    <t>I want you to watch her/him very closely.</t>
  </si>
  <si>
    <t>If s/he becomes less awake and vomits, quickly turn her/him on her/his side.</t>
  </si>
  <si>
    <t>(Appropriate) Before responders arrive, please:</t>
  </si>
  <si>
    <t>Gather her/his medications.</t>
  </si>
  <si>
    <t>Have someone flag/wave down the paramedics.</t>
  </si>
  <si>
    <t>(Disconnect) If s/he gets worse in any way (or has another seizure), call us back immediately for further instructions.</t>
  </si>
  <si>
    <t>If anything changes, just let me know.</t>
  </si>
  <si>
    <t>(Tell me when the paramedics (EMTs) get there.)</t>
  </si>
  <si>
    <t>I need to hang up now (to take another call).</t>
  </si>
  <si>
    <t>Help is on theh way.</t>
  </si>
  <si>
    <t>If anything changes, call us back immediately for further instructions.</t>
  </si>
  <si>
    <t>Watch her/him very closely and look for any changes.</t>
  </si>
  <si>
    <t>(Conscious) If s/he becomes less awake or starts getting worse, tell me immediately.</t>
  </si>
  <si>
    <t>(Unconscious) If her/his breathing changes in any way, tell me immediately.</t>
  </si>
  <si>
    <t>AGONAL BREATHING Test</t>
  </si>
  <si>
    <t>Airway - NABC-1</t>
  </si>
  <si>
    <t>I need to hang up now (to take another call) Help is on the way</t>
  </si>
  <si>
    <t>If s/he gets worse in any way, call us back immediately for further instructions.</t>
  </si>
  <si>
    <t>(Tourniquet already applied) Do not remove the tourniquet. Let the paramedics (EMTs) handle it.</t>
  </si>
  <si>
    <t>I'm going to tell you how to stop the bleeding. Listen carefully to make sure we do it right.</t>
  </si>
  <si>
    <t>Get a clean, dry cloth or towel and place it right on the wound. Press down firmly and don't lift it up to look.</t>
  </si>
  <si>
    <t>If it keeps bleeding, you're probably not pressing hard enough.</t>
  </si>
  <si>
    <t>Remember, keep firm, steady pressure on the wound.</t>
  </si>
  <si>
    <t>Continue - 1</t>
  </si>
  <si>
    <t>Amputation - 6</t>
  </si>
  <si>
    <t>Avulsed Tooth - 6a</t>
  </si>
  <si>
    <t xml:space="preserve">Tell her/him to tightly pinch the entire soft part of her/his nose, right under the nasal bone, and hold it firmly until help arrives. </t>
  </si>
  <si>
    <t>Do not sniff or blow.</t>
  </si>
  <si>
    <t>(Non-traumatic) Tell her/him to sit forward and keep still.</t>
  </si>
  <si>
    <t>Listen carefully. I want you to locate all amputated parts or skin and place them in a clean plastic bag.</t>
  </si>
  <si>
    <t>Do not place the part on ice or in water as this may damage it.</t>
  </si>
  <si>
    <t>Control Bleeding - 5</t>
  </si>
  <si>
    <t>Do not attempt to replace the tooth.</t>
  </si>
  <si>
    <t>Handle the tooth only by the crown and do not touch the root.</t>
  </si>
  <si>
    <t>Place the tooth in milk and give it to the responders.</t>
  </si>
  <si>
    <t>Airway - NABC -1</t>
  </si>
  <si>
    <t>Listen carefully. This could be a very dangerous situation.</t>
  </si>
  <si>
    <t>(If anything changes, call us back from a safe place, if possible, for further instructions.)</t>
  </si>
  <si>
    <t>Do not approach (or touch) the patient at all. Let the paramedics (EMTs) handle it.</t>
  </si>
  <si>
    <t>Chemical Suicide - 7a</t>
  </si>
  <si>
    <t>Danger - Leave now - 12</t>
  </si>
  <si>
    <t>(Vehicle) Stay away from the vehicle and the general area, but not the scene.</t>
  </si>
  <si>
    <t>(Building/Structure) If it is safe to do so, leave the building, close the doors behind you, and remain outside.</t>
  </si>
  <si>
    <t>If you can still smell anything abnormal, you are still too close. Please move further away.</t>
  </si>
  <si>
    <t>Contaminated/Physical patient contact - 7b</t>
  </si>
  <si>
    <t>Try to avoid any contact with her/him</t>
  </si>
  <si>
    <t>Tell me immediately if s/he leaves the scene or passes out.</t>
  </si>
  <si>
    <t>(Do not disturb the scene or move anything.)</t>
  </si>
  <si>
    <t>Left scene - 11</t>
  </si>
  <si>
    <t>Danager-Leave now - 12</t>
  </si>
  <si>
    <t>(Unconscious) Do you think it's safe to approach the patient now?</t>
  </si>
  <si>
    <t>Yes - NABC-1</t>
  </si>
  <si>
    <t>Keep very quiet and stay out of sight.</t>
  </si>
  <si>
    <t>Tell me immediately if the assailant/animal leaves the scene.</t>
  </si>
  <si>
    <t>(Left scene) Are you sure the assailant/animal has left?</t>
  </si>
  <si>
    <t>Listen carefully. This could still be a very dangerous situation, but if you are sure the danger has gone, you could help the patient.</t>
  </si>
  <si>
    <t>Do you think it's safe to approach the patient now?</t>
  </si>
  <si>
    <t>Yes - 1</t>
  </si>
  <si>
    <t>Yes (airway) - NABC-1</t>
  </si>
  <si>
    <t>No/Uncertain - 11</t>
  </si>
  <si>
    <t>I'm going to stay on the line to be sure you're still safe. If the assailant/animal comes back, tell me right away.</t>
  </si>
  <si>
    <t>Let me know when help arrives</t>
  </si>
  <si>
    <t>Danger back - Leave now - 12</t>
  </si>
  <si>
    <t>End on Arrival</t>
  </si>
  <si>
    <t>(If it's too dangerous to stay where you are, and you think you can leave safely,) get away and call us from somewhere safe.</t>
  </si>
  <si>
    <t>(Heat or Fire) Cool the burn for up to 10 minutes with water.</t>
  </si>
  <si>
    <t>(Chemical) Flush the area with a lot of water until help arrives.</t>
  </si>
  <si>
    <t>Avoid contact with the chemical or runoff.</t>
  </si>
  <si>
    <t>Refused M-T-M - 5    </t>
  </si>
  <si>
    <t xml:space="preserve"> Refused M-T-M (UC) - 10</t>
  </si>
  <si>
    <t>1 = Asked Correctly</t>
  </si>
  <si>
    <t>2 = Not asked</t>
  </si>
  <si>
    <t>3 = Asked Incorrectly</t>
  </si>
  <si>
    <t>4 = Not As Scripted</t>
  </si>
  <si>
    <t>5 = N/A</t>
  </si>
  <si>
    <t>6 = Obvious</t>
  </si>
  <si>
    <t>RC = Recorded Correctly</t>
  </si>
  <si>
    <t>RC</t>
  </si>
  <si>
    <t>Fast Track used?</t>
  </si>
  <si>
    <t>(If yes) Used Correctly</t>
  </si>
  <si>
    <t>Okay, tell me exactly what happened.</t>
  </si>
  <si>
    <t>(Not obvious) Are you with the patient now?</t>
  </si>
  <si>
    <t>(Not obvious) How many (other) people are hurt/sick?</t>
  </si>
  <si>
    <t xml:space="preserve"> (Choking) Is s/he breathing or coughing at all?</t>
  </si>
  <si>
    <t>(Unsure) Tell me approximately, then.</t>
  </si>
  <si>
    <t>Is s/he awake (conscious)?</t>
  </si>
  <si>
    <t>(Hasn't checked - 2nd party caller) You go check and tell me what you find.</t>
  </si>
  <si>
    <t>Number of freelance questions</t>
  </si>
  <si>
    <t>Number of freelance instructions given</t>
  </si>
  <si>
    <t>Number of questions or instructions asked/given in inappropriate areas</t>
  </si>
  <si>
    <t>Number of obvisous questions asked</t>
  </si>
  <si>
    <t>Number of inappropriate clarifiers</t>
  </si>
  <si>
    <t>ECCS</t>
  </si>
  <si>
    <t>Calming techniques used</t>
  </si>
  <si>
    <t>Customer Service</t>
  </si>
  <si>
    <t>Exemplary Case</t>
  </si>
  <si>
    <t>Displayed service attitude</t>
  </si>
  <si>
    <t>Used correct volume/tone</t>
  </si>
  <si>
    <t>Displayed compassion</t>
  </si>
  <si>
    <t>Avoided gaps</t>
  </si>
  <si>
    <t>Explained actions</t>
  </si>
  <si>
    <t>Provided reassurance</t>
  </si>
  <si>
    <t>Created expectations</t>
  </si>
  <si>
    <t>Used prohibited behavior</t>
  </si>
  <si>
    <t>Correct</t>
  </si>
  <si>
    <t>Caller Management</t>
  </si>
  <si>
    <t>Communication</t>
  </si>
  <si>
    <t>Tone</t>
  </si>
  <si>
    <t>Empathy</t>
  </si>
  <si>
    <t>Perception and Insight</t>
  </si>
  <si>
    <t>Complex Call Management</t>
  </si>
  <si>
    <t>Protocol Usage</t>
  </si>
  <si>
    <t>Total Missed:</t>
  </si>
  <si>
    <t>Total missed:</t>
  </si>
  <si>
    <t>AGONAL/INEFFECTIVE/UNCERTAIN Before CPR -4</t>
  </si>
  <si>
    <t>AGONAL /INEFFECTIVE/UNCERTAIN Continuing CPR -9</t>
  </si>
  <si>
    <t>Select</t>
  </si>
  <si>
    <t>Total</t>
  </si>
  <si>
    <t>Yb Tracheostomy (Stoma) Airway/Arrest/Choking (Unconscious) Child 1-7 Yrs</t>
  </si>
  <si>
    <t>Total Missed</t>
  </si>
  <si>
    <t>Total Misssed:</t>
  </si>
  <si>
    <t>Total:</t>
  </si>
  <si>
    <t>Total :</t>
  </si>
  <si>
    <r>
      <t xml:space="preserve">Is s/he </t>
    </r>
    <r>
      <rPr>
        <b/>
        <sz val="10"/>
        <rFont val="Calibri"/>
        <family val="2"/>
        <scheme val="minor"/>
      </rPr>
      <t>completely alert</t>
    </r>
    <r>
      <rPr>
        <sz val="10"/>
        <rFont val="Calibri"/>
        <family val="2"/>
        <scheme val="minor"/>
      </rPr>
      <t xml:space="preserve"> (responding appropriately)?</t>
    </r>
  </si>
  <si>
    <r>
      <t xml:space="preserve">(&gt;50) Has s/he ever been </t>
    </r>
    <r>
      <rPr>
        <b/>
        <sz val="10"/>
        <rFont val="Calibri"/>
        <family val="2"/>
        <scheme val="minor"/>
      </rPr>
      <t>diagnosed</t>
    </r>
    <r>
      <rPr>
        <sz val="10"/>
        <rFont val="Calibri"/>
        <family val="2"/>
        <scheme val="minor"/>
      </rPr>
      <t xml:space="preserve"> w/ </t>
    </r>
    <r>
      <rPr>
        <b/>
        <sz val="10"/>
        <rFont val="Calibri"/>
        <family val="2"/>
        <scheme val="minor"/>
      </rPr>
      <t>aortic aneurysm</t>
    </r>
    <r>
      <rPr>
        <sz val="10"/>
        <rFont val="Calibri"/>
        <family val="2"/>
        <scheme val="minor"/>
      </rPr>
      <t>?</t>
    </r>
  </si>
  <si>
    <r>
      <t xml:space="preserve">(No) Ask her/him to </t>
    </r>
    <r>
      <rPr>
        <b/>
        <sz val="10"/>
        <rFont val="Calibri"/>
        <family val="2"/>
        <scheme val="minor"/>
      </rPr>
      <t>describe</t>
    </r>
    <r>
      <rPr>
        <sz val="10"/>
        <rFont val="Calibri"/>
        <family val="2"/>
        <scheme val="minor"/>
      </rPr>
      <t xml:space="preserve"> the pain.</t>
    </r>
  </si>
  <si>
    <r>
      <t xml:space="preserve">(F &gt;12 M&gt;50) Did s/he </t>
    </r>
    <r>
      <rPr>
        <b/>
        <sz val="10"/>
        <rFont val="Calibri"/>
        <family val="2"/>
        <scheme val="minor"/>
      </rPr>
      <t>faint</t>
    </r>
    <r>
      <rPr>
        <sz val="10"/>
        <rFont val="Calibri"/>
        <family val="2"/>
        <scheme val="minor"/>
      </rPr>
      <t xml:space="preserve"> (pass out) or </t>
    </r>
    <r>
      <rPr>
        <b/>
        <sz val="10"/>
        <rFont val="Calibri"/>
        <family val="2"/>
        <scheme val="minor"/>
      </rPr>
      <t>nearly</t>
    </r>
    <r>
      <rPr>
        <sz val="10"/>
        <rFont val="Calibri"/>
        <family val="2"/>
        <scheme val="minor"/>
      </rPr>
      <t xml:space="preserve"> faint?</t>
    </r>
  </si>
  <si>
    <r>
      <t xml:space="preserve">(F&gt;45 M&gt;35) Is her/his pain </t>
    </r>
    <r>
      <rPr>
        <b/>
        <sz val="10"/>
        <rFont val="Calibri"/>
        <family val="2"/>
        <scheme val="minor"/>
      </rPr>
      <t>above</t>
    </r>
    <r>
      <rPr>
        <sz val="10"/>
        <rFont val="Calibri"/>
        <family val="2"/>
        <scheme val="minor"/>
      </rPr>
      <t xml:space="preserve"> the </t>
    </r>
    <r>
      <rPr>
        <b/>
        <sz val="10"/>
        <rFont val="Calibri"/>
        <family val="2"/>
        <scheme val="minor"/>
      </rPr>
      <t>belly button</t>
    </r>
    <r>
      <rPr>
        <sz val="10"/>
        <rFont val="Calibri"/>
        <family val="2"/>
        <scheme val="minor"/>
      </rPr>
      <t xml:space="preserve"> (navel)?</t>
    </r>
  </si>
  <si>
    <r>
      <t xml:space="preserve">Were all Key Questions asked </t>
    </r>
    <r>
      <rPr>
        <b/>
        <sz val="10"/>
        <rFont val="Calibri"/>
        <family val="2"/>
        <scheme val="minor"/>
      </rPr>
      <t>in order</t>
    </r>
    <r>
      <rPr>
        <sz val="10"/>
        <rFont val="Calibri"/>
        <family val="2"/>
        <scheme val="minor"/>
      </rPr>
      <t>?</t>
    </r>
  </si>
  <si>
    <r>
      <t xml:space="preserve">(Snakebite) </t>
    </r>
    <r>
      <rPr>
        <b/>
        <sz val="10"/>
        <rFont val="Calibri"/>
        <family val="2"/>
        <scheme val="minor"/>
      </rPr>
      <t>Where</t>
    </r>
    <r>
      <rPr>
        <sz val="10"/>
        <rFont val="Calibri"/>
        <family val="2"/>
        <scheme val="minor"/>
      </rPr>
      <t xml:space="preserve"> is the </t>
    </r>
    <r>
      <rPr>
        <b/>
        <sz val="10"/>
        <rFont val="Calibri"/>
        <family val="2"/>
        <scheme val="minor"/>
      </rPr>
      <t>snake</t>
    </r>
    <r>
      <rPr>
        <sz val="10"/>
        <rFont val="Calibri"/>
        <family val="2"/>
        <scheme val="minor"/>
      </rPr>
      <t xml:space="preserve"> now?</t>
    </r>
  </si>
  <si>
    <r>
      <t xml:space="preserve">Does s/he have </t>
    </r>
    <r>
      <rPr>
        <b/>
        <sz val="10"/>
        <rFont val="Calibri"/>
        <family val="2"/>
        <scheme val="minor"/>
      </rPr>
      <t>difficulity</t>
    </r>
    <r>
      <rPr>
        <sz val="10"/>
        <rFont val="Calibri"/>
        <family val="2"/>
        <scheme val="minor"/>
      </rPr>
      <t xml:space="preserve"> </t>
    </r>
    <r>
      <rPr>
        <b/>
        <sz val="10"/>
        <rFont val="Calibri"/>
        <family val="2"/>
        <scheme val="minor"/>
      </rPr>
      <t>breathing</t>
    </r>
    <r>
      <rPr>
        <sz val="10"/>
        <rFont val="Calibri"/>
        <family val="2"/>
        <scheme val="minor"/>
      </rPr>
      <t xml:space="preserve"> or </t>
    </r>
    <r>
      <rPr>
        <b/>
        <sz val="10"/>
        <rFont val="Calibri"/>
        <family val="2"/>
        <scheme val="minor"/>
      </rPr>
      <t>swallowing</t>
    </r>
    <r>
      <rPr>
        <sz val="10"/>
        <rFont val="Calibri"/>
        <family val="2"/>
        <scheme val="minor"/>
      </rPr>
      <t>?</t>
    </r>
  </si>
  <si>
    <r>
      <t xml:space="preserve">(Yes and Alert) Does s/he have </t>
    </r>
    <r>
      <rPr>
        <b/>
        <sz val="10"/>
        <rFont val="Calibri"/>
        <family val="2"/>
        <scheme val="minor"/>
      </rPr>
      <t>difficulity</t>
    </r>
    <r>
      <rPr>
        <sz val="10"/>
        <rFont val="Calibri"/>
        <family val="2"/>
        <scheme val="minor"/>
      </rPr>
      <t xml:space="preserve"> speaking?</t>
    </r>
  </si>
  <si>
    <r>
      <t>(Allegy) Has s/he ever had a s</t>
    </r>
    <r>
      <rPr>
        <b/>
        <sz val="10"/>
        <rFont val="Calibri"/>
        <family val="2"/>
        <scheme val="minor"/>
      </rPr>
      <t>evere allergic reaction</t>
    </r>
    <r>
      <rPr>
        <sz val="10"/>
        <rFont val="Calibri"/>
        <family val="2"/>
        <scheme val="minor"/>
      </rPr>
      <t xml:space="preserve"> before?</t>
    </r>
  </si>
  <si>
    <r>
      <t xml:space="preserve">(Yes) Does s/he have any </t>
    </r>
    <r>
      <rPr>
        <b/>
        <sz val="10"/>
        <rFont val="Calibri"/>
        <family val="2"/>
        <scheme val="minor"/>
      </rPr>
      <t>specific</t>
    </r>
    <r>
      <rPr>
        <sz val="10"/>
        <rFont val="Calibri"/>
        <family val="2"/>
        <scheme val="minor"/>
      </rPr>
      <t xml:space="preserve"> </t>
    </r>
    <r>
      <rPr>
        <b/>
        <sz val="10"/>
        <rFont val="Calibri"/>
        <family val="2"/>
        <scheme val="minor"/>
      </rPr>
      <t>injections</t>
    </r>
    <r>
      <rPr>
        <sz val="10"/>
        <rFont val="Calibri"/>
        <family val="2"/>
        <scheme val="minor"/>
      </rPr>
      <t xml:space="preserve"> or </t>
    </r>
    <r>
      <rPr>
        <b/>
        <sz val="10"/>
        <rFont val="Calibri"/>
        <family val="2"/>
        <scheme val="minor"/>
      </rPr>
      <t>meds</t>
    </r>
    <r>
      <rPr>
        <sz val="10"/>
        <rFont val="Calibri"/>
        <family val="2"/>
        <scheme val="minor"/>
      </rPr>
      <t xml:space="preserve"> for this?</t>
    </r>
  </si>
  <si>
    <r>
      <t xml:space="preserve">(Yes) Have they been </t>
    </r>
    <r>
      <rPr>
        <b/>
        <sz val="10"/>
        <rFont val="Calibri"/>
        <family val="2"/>
        <scheme val="minor"/>
      </rPr>
      <t>used</t>
    </r>
    <r>
      <rPr>
        <sz val="10"/>
        <rFont val="Calibri"/>
        <family val="2"/>
        <scheme val="minor"/>
      </rPr>
      <t>?</t>
    </r>
  </si>
  <si>
    <r>
      <t xml:space="preserve">(No) Tell him/her to </t>
    </r>
    <r>
      <rPr>
        <b/>
        <sz val="10"/>
        <rFont val="Calibri"/>
        <family val="2"/>
        <scheme val="minor"/>
      </rPr>
      <t>use them now</t>
    </r>
    <r>
      <rPr>
        <sz val="10"/>
        <rFont val="Calibri"/>
        <family val="2"/>
        <scheme val="minor"/>
      </rPr>
      <t>?</t>
    </r>
  </si>
  <si>
    <r>
      <t xml:space="preserve">What </t>
    </r>
    <r>
      <rPr>
        <b/>
        <sz val="10"/>
        <rFont val="Calibri"/>
        <family val="2"/>
        <scheme val="minor"/>
      </rPr>
      <t>kind</t>
    </r>
    <r>
      <rPr>
        <sz val="10"/>
        <rFont val="Calibri"/>
        <family val="2"/>
        <scheme val="minor"/>
      </rPr>
      <t xml:space="preserve"> of </t>
    </r>
    <r>
      <rPr>
        <b/>
        <sz val="10"/>
        <rFont val="Calibri"/>
        <family val="2"/>
        <scheme val="minor"/>
      </rPr>
      <t>animal</t>
    </r>
    <r>
      <rPr>
        <sz val="10"/>
        <rFont val="Calibri"/>
        <family val="2"/>
        <scheme val="minor"/>
      </rPr>
      <t xml:space="preserve"> is it?</t>
    </r>
  </si>
  <si>
    <r>
      <rPr>
        <b/>
        <sz val="10"/>
        <rFont val="Calibri"/>
        <family val="2"/>
        <scheme val="minor"/>
      </rPr>
      <t>Where</t>
    </r>
    <r>
      <rPr>
        <sz val="10"/>
        <rFont val="Calibri"/>
        <family val="2"/>
        <scheme val="minor"/>
      </rPr>
      <t xml:space="preserve"> is the animal </t>
    </r>
    <r>
      <rPr>
        <b/>
        <sz val="10"/>
        <rFont val="Calibri"/>
        <family val="2"/>
        <scheme val="minor"/>
      </rPr>
      <t>now</t>
    </r>
    <r>
      <rPr>
        <sz val="10"/>
        <rFont val="Calibri"/>
        <family val="2"/>
        <scheme val="minor"/>
      </rPr>
      <t>?</t>
    </r>
  </si>
  <si>
    <r>
      <t xml:space="preserve">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(spurting or pouring)?</t>
    </r>
  </si>
  <si>
    <r>
      <t>Is s/he</t>
    </r>
    <r>
      <rPr>
        <b/>
        <sz val="10"/>
        <rFont val="Calibri"/>
        <family val="2"/>
        <scheme val="minor"/>
      </rPr>
      <t xml:space="preserve"> completely alert </t>
    </r>
    <r>
      <rPr>
        <sz val="10"/>
        <rFont val="Calibri"/>
        <family val="2"/>
        <scheme val="minor"/>
      </rPr>
      <t>(respoinding appropriately)?</t>
    </r>
  </si>
  <si>
    <r>
      <t xml:space="preserve">What </t>
    </r>
    <r>
      <rPr>
        <b/>
        <sz val="10"/>
        <rFont val="Calibri"/>
        <family val="2"/>
        <scheme val="minor"/>
      </rPr>
      <t>part</t>
    </r>
    <r>
      <rPr>
        <sz val="10"/>
        <rFont val="Calibri"/>
        <family val="2"/>
        <scheme val="minor"/>
      </rPr>
      <t xml:space="preserve"> of the body was</t>
    </r>
    <r>
      <rPr>
        <b/>
        <sz val="10"/>
        <rFont val="Calibri"/>
        <family val="2"/>
        <scheme val="minor"/>
      </rPr>
      <t xml:space="preserve"> injured/bitten</t>
    </r>
    <r>
      <rPr>
        <sz val="10"/>
        <rFont val="Calibri"/>
        <family val="2"/>
        <scheme val="minor"/>
      </rPr>
      <t>?</t>
    </r>
  </si>
  <si>
    <r>
      <t xml:space="preserve">(Chest or Neck) Is s/he having any </t>
    </r>
    <r>
      <rPr>
        <b/>
        <sz val="10"/>
        <rFont val="Calibri"/>
        <family val="2"/>
        <scheme val="minor"/>
      </rPr>
      <t>difficulity breathing</t>
    </r>
    <r>
      <rPr>
        <sz val="10"/>
        <rFont val="Calibri"/>
        <family val="2"/>
        <scheme val="minor"/>
      </rPr>
      <t>?</t>
    </r>
  </si>
  <si>
    <r>
      <t xml:space="preserve">What </t>
    </r>
    <r>
      <rPr>
        <b/>
        <sz val="10"/>
        <rFont val="Calibri"/>
        <family val="2"/>
        <scheme val="minor"/>
      </rPr>
      <t>kind</t>
    </r>
    <r>
      <rPr>
        <sz val="10"/>
        <rFont val="Calibri"/>
        <family val="2"/>
        <scheme val="minor"/>
      </rPr>
      <t xml:space="preserve"> of </t>
    </r>
    <r>
      <rPr>
        <b/>
        <sz val="10"/>
        <rFont val="Calibri"/>
        <family val="2"/>
        <scheme val="minor"/>
      </rPr>
      <t>injuries</t>
    </r>
    <r>
      <rPr>
        <sz val="10"/>
        <rFont val="Calibri"/>
        <family val="2"/>
        <scheme val="minor"/>
      </rPr>
      <t xml:space="preserve"> does s/he have?</t>
    </r>
  </si>
  <si>
    <r>
      <rPr>
        <b/>
        <sz val="10"/>
        <rFont val="Calibri"/>
        <family val="2"/>
        <scheme val="minor"/>
      </rPr>
      <t>When</t>
    </r>
    <r>
      <rPr>
        <sz val="10"/>
        <rFont val="Calibri"/>
        <family val="2"/>
        <scheme val="minor"/>
      </rPr>
      <t xml:space="preserve"> did this </t>
    </r>
    <r>
      <rPr>
        <b/>
        <sz val="10"/>
        <rFont val="Calibri"/>
        <family val="2"/>
        <scheme val="minor"/>
      </rPr>
      <t>happen</t>
    </r>
    <r>
      <rPr>
        <sz val="10"/>
        <rFont val="Calibri"/>
        <family val="2"/>
        <scheme val="minor"/>
      </rPr>
      <t>?</t>
    </r>
  </si>
  <si>
    <r>
      <t xml:space="preserve">Is the </t>
    </r>
    <r>
      <rPr>
        <b/>
        <sz val="10"/>
        <rFont val="Calibri"/>
        <family val="2"/>
        <scheme val="minor"/>
      </rPr>
      <t>assailant</t>
    </r>
    <r>
      <rPr>
        <sz val="10"/>
        <rFont val="Calibri"/>
        <family val="2"/>
        <scheme val="minor"/>
      </rPr>
      <t xml:space="preserve"> (attacker) </t>
    </r>
    <r>
      <rPr>
        <b/>
        <sz val="10"/>
        <rFont val="Calibri"/>
        <family val="2"/>
        <scheme val="minor"/>
      </rPr>
      <t>still nearby</t>
    </r>
    <r>
      <rPr>
        <sz val="10"/>
        <rFont val="Calibri"/>
        <family val="2"/>
        <scheme val="minor"/>
      </rPr>
      <t>?</t>
    </r>
  </si>
  <si>
    <r>
      <t xml:space="preserve">Were </t>
    </r>
    <r>
      <rPr>
        <b/>
        <sz val="10"/>
        <rFont val="Calibri"/>
        <family val="2"/>
        <scheme val="minor"/>
      </rPr>
      <t>weapons</t>
    </r>
    <r>
      <rPr>
        <sz val="10"/>
        <rFont val="Calibri"/>
        <family val="2"/>
        <scheme val="minor"/>
      </rPr>
      <t xml:space="preserve"> involved or mentioned?</t>
    </r>
  </si>
  <si>
    <r>
      <t xml:space="preserve">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(Spourting or pouring)?</t>
    </r>
  </si>
  <si>
    <r>
      <t xml:space="preserve">(Assault) What </t>
    </r>
    <r>
      <rPr>
        <b/>
        <sz val="10"/>
        <rFont val="Calibri"/>
        <family val="2"/>
        <scheme val="minor"/>
      </rPr>
      <t>part</t>
    </r>
    <r>
      <rPr>
        <sz val="10"/>
        <rFont val="Calibri"/>
        <family val="2"/>
        <scheme val="minor"/>
      </rPr>
      <t xml:space="preserve"> of the body was </t>
    </r>
    <r>
      <rPr>
        <b/>
        <sz val="10"/>
        <rFont val="Calibri"/>
        <family val="2"/>
        <scheme val="minor"/>
      </rPr>
      <t>injured</t>
    </r>
    <r>
      <rPr>
        <sz val="10"/>
        <rFont val="Calibri"/>
        <family val="2"/>
        <scheme val="minor"/>
      </rPr>
      <t>?</t>
    </r>
  </si>
  <si>
    <r>
      <t xml:space="preserve">(Sexual assault) Does s/he have any </t>
    </r>
    <r>
      <rPr>
        <b/>
        <sz val="10"/>
        <rFont val="Calibri"/>
        <family val="2"/>
        <scheme val="minor"/>
      </rPr>
      <t>other injuries</t>
    </r>
    <r>
      <rPr>
        <sz val="10"/>
        <rFont val="Calibri"/>
        <family val="2"/>
        <scheme val="minor"/>
      </rPr>
      <t>?</t>
    </r>
  </si>
  <si>
    <r>
      <t xml:space="preserve">(NOT DANGEROUS body area) Is it </t>
    </r>
    <r>
      <rPr>
        <b/>
        <sz val="10"/>
        <rFont val="Calibri"/>
        <family val="2"/>
        <scheme val="minor"/>
      </rPr>
      <t>obviously</t>
    </r>
    <r>
      <rPr>
        <sz val="10"/>
        <rFont val="Calibri"/>
        <family val="2"/>
        <scheme val="minor"/>
      </rPr>
      <t xml:space="preserve"> bent </t>
    </r>
    <r>
      <rPr>
        <b/>
        <sz val="10"/>
        <rFont val="Calibri"/>
        <family val="2"/>
        <scheme val="minor"/>
      </rPr>
      <t>out of shape</t>
    </r>
    <r>
      <rPr>
        <sz val="10"/>
        <rFont val="Calibri"/>
        <family val="2"/>
        <scheme val="minor"/>
      </rPr>
      <t>?</t>
    </r>
  </si>
  <si>
    <r>
      <rPr>
        <b/>
        <sz val="10"/>
        <rFont val="Calibri"/>
        <family val="2"/>
        <scheme val="minor"/>
      </rPr>
      <t>When</t>
    </r>
    <r>
      <rPr>
        <sz val="10"/>
        <rFont val="Calibri"/>
        <family val="2"/>
        <scheme val="minor"/>
      </rPr>
      <t xml:space="preserve"> did this </t>
    </r>
    <r>
      <rPr>
        <b/>
        <sz val="10"/>
        <rFont val="Calibri"/>
        <family val="2"/>
        <scheme val="minor"/>
      </rPr>
      <t>start</t>
    </r>
    <r>
      <rPr>
        <sz val="10"/>
        <rFont val="Calibri"/>
        <family val="2"/>
        <scheme val="minor"/>
      </rPr>
      <t xml:space="preserve"> (happen)?</t>
    </r>
  </si>
  <si>
    <r>
      <t xml:space="preserve">What </t>
    </r>
    <r>
      <rPr>
        <b/>
        <sz val="10"/>
        <rFont val="Calibri"/>
        <family val="2"/>
        <scheme val="minor"/>
      </rPr>
      <t>caused</t>
    </r>
    <r>
      <rPr>
        <sz val="10"/>
        <rFont val="Calibri"/>
        <family val="2"/>
        <scheme val="minor"/>
      </rPr>
      <t xml:space="preserve"> the </t>
    </r>
    <r>
      <rPr>
        <b/>
        <sz val="10"/>
        <rFont val="Calibri"/>
        <family val="2"/>
        <scheme val="minor"/>
      </rPr>
      <t>back</t>
    </r>
    <r>
      <rPr>
        <sz val="10"/>
        <rFont val="Calibri"/>
        <family val="2"/>
        <scheme val="minor"/>
      </rPr>
      <t xml:space="preserve"> </t>
    </r>
    <r>
      <rPr>
        <b/>
        <sz val="10"/>
        <rFont val="Calibri"/>
        <family val="2"/>
        <scheme val="minor"/>
      </rPr>
      <t>pain</t>
    </r>
    <r>
      <rPr>
        <sz val="10"/>
        <rFont val="Calibri"/>
        <family val="2"/>
        <scheme val="minor"/>
      </rPr>
      <t>?</t>
    </r>
  </si>
  <si>
    <r>
      <t>Does s/he have</t>
    </r>
    <r>
      <rPr>
        <b/>
        <sz val="10"/>
        <rFont val="Calibri"/>
        <family val="2"/>
        <scheme val="minor"/>
      </rPr>
      <t xml:space="preserve"> difficulty breathing</t>
    </r>
    <r>
      <rPr>
        <sz val="10"/>
        <rFont val="Calibri"/>
        <family val="2"/>
        <scheme val="minor"/>
      </rPr>
      <t>?</t>
    </r>
  </si>
  <si>
    <r>
      <t xml:space="preserve">(F&gt;45 M&gt;35) Does s/he </t>
    </r>
    <r>
      <rPr>
        <b/>
        <sz val="10"/>
        <rFont val="Calibri"/>
        <family val="2"/>
        <scheme val="minor"/>
      </rPr>
      <t>also</t>
    </r>
    <r>
      <rPr>
        <sz val="10"/>
        <rFont val="Calibri"/>
        <family val="2"/>
        <scheme val="minor"/>
      </rPr>
      <t xml:space="preserve"> have </t>
    </r>
    <r>
      <rPr>
        <b/>
        <sz val="10"/>
        <rFont val="Calibri"/>
        <family val="2"/>
        <scheme val="minor"/>
      </rPr>
      <t>chest pain</t>
    </r>
    <r>
      <rPr>
        <sz val="10"/>
        <rFont val="Calibri"/>
        <family val="2"/>
        <scheme val="minor"/>
      </rPr>
      <t xml:space="preserve"> or </t>
    </r>
    <r>
      <rPr>
        <b/>
        <sz val="10"/>
        <rFont val="Calibri"/>
        <family val="2"/>
        <scheme val="minor"/>
      </rPr>
      <t>chest discomfort</t>
    </r>
    <r>
      <rPr>
        <sz val="10"/>
        <rFont val="Calibri"/>
        <family val="2"/>
        <scheme val="minor"/>
      </rPr>
      <t>?</t>
    </r>
  </si>
  <si>
    <r>
      <t xml:space="preserve">Is s/he </t>
    </r>
    <r>
      <rPr>
        <b/>
        <sz val="10"/>
        <rFont val="Calibri"/>
        <family val="2"/>
        <scheme val="minor"/>
      </rPr>
      <t>completley alert</t>
    </r>
    <r>
      <rPr>
        <sz val="10"/>
        <rFont val="Calibri"/>
        <family val="2"/>
        <scheme val="minor"/>
      </rPr>
      <t xml:space="preserve"> (responding appropriately)?</t>
    </r>
  </si>
  <si>
    <r>
      <t xml:space="preserve">(&gt;50) Has s/he ever been </t>
    </r>
    <r>
      <rPr>
        <b/>
        <sz val="10"/>
        <rFont val="Calibri"/>
        <family val="2"/>
        <scheme val="minor"/>
      </rPr>
      <t>diagnosed</t>
    </r>
    <r>
      <rPr>
        <sz val="10"/>
        <rFont val="Calibri"/>
        <family val="2"/>
        <scheme val="minor"/>
      </rPr>
      <t xml:space="preserve"> with an </t>
    </r>
    <r>
      <rPr>
        <b/>
        <sz val="10"/>
        <rFont val="Calibri"/>
        <family val="2"/>
        <scheme val="minor"/>
      </rPr>
      <t>aortic aneurysm</t>
    </r>
    <r>
      <rPr>
        <sz val="10"/>
        <rFont val="Calibri"/>
        <family val="2"/>
        <scheme val="minor"/>
      </rPr>
      <t>?</t>
    </r>
  </si>
  <si>
    <r>
      <t xml:space="preserve">(&gt;50) Did s/he </t>
    </r>
    <r>
      <rPr>
        <b/>
        <sz val="10"/>
        <rFont val="Calibri"/>
        <family val="2"/>
        <scheme val="minor"/>
      </rPr>
      <t>faint</t>
    </r>
    <r>
      <rPr>
        <sz val="10"/>
        <rFont val="Calibri"/>
        <family val="2"/>
        <scheme val="minor"/>
      </rPr>
      <t xml:space="preserve"> (pass out) or </t>
    </r>
    <r>
      <rPr>
        <b/>
        <sz val="10"/>
        <rFont val="Calibri"/>
        <family val="2"/>
        <scheme val="minor"/>
      </rPr>
      <t>nearly</t>
    </r>
    <r>
      <rPr>
        <sz val="10"/>
        <rFont val="Calibri"/>
        <family val="2"/>
        <scheme val="minor"/>
      </rPr>
      <t xml:space="preserve"> faint?</t>
    </r>
  </si>
  <si>
    <r>
      <t xml:space="preserve">Is s/he </t>
    </r>
    <r>
      <rPr>
        <b/>
        <sz val="10"/>
        <rFont val="Calibri"/>
        <family val="2"/>
        <scheme val="minor"/>
      </rPr>
      <t xml:space="preserve">completely alert </t>
    </r>
    <r>
      <rPr>
        <sz val="10"/>
        <rFont val="Calibri"/>
        <family val="2"/>
        <scheme val="minor"/>
      </rPr>
      <t>(responding appropriately)?</t>
    </r>
  </si>
  <si>
    <r>
      <t xml:space="preserve">(Not 1st party) Is s/he </t>
    </r>
    <r>
      <rPr>
        <b/>
        <sz val="10"/>
        <rFont val="Calibri"/>
        <family val="2"/>
        <scheme val="minor"/>
      </rPr>
      <t>changing color</t>
    </r>
    <r>
      <rPr>
        <sz val="10"/>
        <rFont val="Calibri"/>
        <family val="2"/>
        <scheme val="minor"/>
      </rPr>
      <t>?</t>
    </r>
  </si>
  <si>
    <r>
      <t xml:space="preserve">(Yes) </t>
    </r>
    <r>
      <rPr>
        <b/>
        <sz val="10"/>
        <rFont val="Calibri"/>
        <family val="2"/>
        <scheme val="minor"/>
      </rPr>
      <t>Describe</t>
    </r>
    <r>
      <rPr>
        <sz val="10"/>
        <rFont val="Calibri"/>
        <family val="2"/>
        <scheme val="minor"/>
      </rPr>
      <t xml:space="preserve"> the color change?</t>
    </r>
  </si>
  <si>
    <r>
      <t xml:space="preserve">Is s/he </t>
    </r>
    <r>
      <rPr>
        <b/>
        <sz val="10"/>
        <rFont val="Calibri"/>
        <family val="2"/>
        <scheme val="minor"/>
      </rPr>
      <t>clammy</t>
    </r>
    <r>
      <rPr>
        <sz val="10"/>
        <rFont val="Calibri"/>
        <family val="2"/>
        <scheme val="minor"/>
      </rPr>
      <t xml:space="preserve"> or having </t>
    </r>
    <r>
      <rPr>
        <b/>
        <sz val="10"/>
        <rFont val="Calibri"/>
        <family val="2"/>
        <scheme val="minor"/>
      </rPr>
      <t>cold sweats</t>
    </r>
    <r>
      <rPr>
        <sz val="10"/>
        <rFont val="Calibri"/>
        <family val="2"/>
        <scheme val="minor"/>
      </rPr>
      <t>?</t>
    </r>
  </si>
  <si>
    <r>
      <t xml:space="preserve">Does s/he have </t>
    </r>
    <r>
      <rPr>
        <b/>
        <sz val="10"/>
        <rFont val="Calibri"/>
        <family val="2"/>
        <scheme val="minor"/>
      </rPr>
      <t>asthma</t>
    </r>
    <r>
      <rPr>
        <sz val="10"/>
        <rFont val="Calibri"/>
        <family val="2"/>
        <scheme val="minor"/>
      </rPr>
      <t xml:space="preserve"> or </t>
    </r>
    <r>
      <rPr>
        <b/>
        <sz val="10"/>
        <rFont val="Calibri"/>
        <family val="2"/>
        <scheme val="minor"/>
      </rPr>
      <t>other lung problems</t>
    </r>
    <r>
      <rPr>
        <sz val="10"/>
        <rFont val="Calibri"/>
        <family val="2"/>
        <scheme val="minor"/>
      </rPr>
      <t>?</t>
    </r>
  </si>
  <si>
    <r>
      <t>(Yes) Does s/he have a</t>
    </r>
    <r>
      <rPr>
        <b/>
        <sz val="10"/>
        <rFont val="Calibri"/>
        <family val="2"/>
        <scheme val="minor"/>
      </rPr>
      <t xml:space="preserve"> perscribed inhaler</t>
    </r>
    <r>
      <rPr>
        <sz val="10"/>
        <rFont val="Calibri"/>
        <family val="2"/>
        <scheme val="minor"/>
      </rPr>
      <t>?</t>
    </r>
  </si>
  <si>
    <r>
      <t xml:space="preserve">(Yes) Has s/he </t>
    </r>
    <r>
      <rPr>
        <b/>
        <sz val="10"/>
        <rFont val="Calibri"/>
        <family val="2"/>
        <scheme val="minor"/>
      </rPr>
      <t>used</t>
    </r>
    <r>
      <rPr>
        <sz val="10"/>
        <rFont val="Calibri"/>
        <family val="2"/>
        <scheme val="minor"/>
      </rPr>
      <t xml:space="preserve"> it yet?</t>
    </r>
  </si>
  <si>
    <r>
      <t xml:space="preserve">(Trach) Does s/he have any </t>
    </r>
    <r>
      <rPr>
        <b/>
        <sz val="10"/>
        <rFont val="Calibri"/>
        <family val="2"/>
        <scheme val="minor"/>
      </rPr>
      <t>special</t>
    </r>
    <r>
      <rPr>
        <sz val="10"/>
        <rFont val="Calibri"/>
        <family val="2"/>
        <scheme val="minor"/>
      </rPr>
      <t xml:space="preserve"> </t>
    </r>
    <r>
      <rPr>
        <b/>
        <sz val="10"/>
        <rFont val="Calibri"/>
        <family val="2"/>
        <scheme val="minor"/>
      </rPr>
      <t>equipment</t>
    </r>
    <r>
      <rPr>
        <sz val="10"/>
        <rFont val="Calibri"/>
        <family val="2"/>
        <scheme val="minor"/>
      </rPr>
      <t xml:space="preserve"> or </t>
    </r>
    <r>
      <rPr>
        <b/>
        <sz val="10"/>
        <rFont val="Calibri"/>
        <family val="2"/>
        <scheme val="minor"/>
      </rPr>
      <t>instructions</t>
    </r>
    <r>
      <rPr>
        <sz val="10"/>
        <rFont val="Calibri"/>
        <family val="2"/>
        <scheme val="minor"/>
      </rPr>
      <t>?</t>
    </r>
  </si>
  <si>
    <r>
      <t xml:space="preserve">(Suspected) Is </t>
    </r>
    <r>
      <rPr>
        <b/>
        <sz val="10"/>
        <rFont val="Calibri"/>
        <family val="2"/>
        <scheme val="minor"/>
      </rPr>
      <t>anything</t>
    </r>
    <r>
      <rPr>
        <sz val="10"/>
        <rFont val="Calibri"/>
        <family val="2"/>
        <scheme val="minor"/>
      </rPr>
      <t xml:space="preserve"> still </t>
    </r>
    <r>
      <rPr>
        <b/>
        <sz val="10"/>
        <rFont val="Calibri"/>
        <family val="2"/>
        <scheme val="minor"/>
      </rPr>
      <t>burning</t>
    </r>
    <r>
      <rPr>
        <sz val="10"/>
        <rFont val="Calibri"/>
        <family val="2"/>
        <scheme val="minor"/>
      </rPr>
      <t xml:space="preserve"> or </t>
    </r>
    <r>
      <rPr>
        <b/>
        <sz val="10"/>
        <rFont val="Calibri"/>
        <family val="2"/>
        <scheme val="minor"/>
      </rPr>
      <t>smoldering</t>
    </r>
    <r>
      <rPr>
        <sz val="10"/>
        <rFont val="Calibri"/>
        <family val="2"/>
        <scheme val="minor"/>
      </rPr>
      <t>?</t>
    </r>
  </si>
  <si>
    <r>
      <t xml:space="preserve">Is everyone </t>
    </r>
    <r>
      <rPr>
        <b/>
        <sz val="10"/>
        <rFont val="Calibri"/>
        <family val="2"/>
        <scheme val="minor"/>
      </rPr>
      <t>safe</t>
    </r>
    <r>
      <rPr>
        <sz val="10"/>
        <rFont val="Calibri"/>
        <family val="2"/>
        <scheme val="minor"/>
      </rPr>
      <t xml:space="preserve"> and </t>
    </r>
    <r>
      <rPr>
        <b/>
        <sz val="10"/>
        <rFont val="Calibri"/>
        <family val="2"/>
        <scheme val="minor"/>
      </rPr>
      <t>out of danger</t>
    </r>
    <r>
      <rPr>
        <sz val="10"/>
        <rFont val="Calibri"/>
        <family val="2"/>
        <scheme val="minor"/>
      </rPr>
      <t>?</t>
    </r>
  </si>
  <si>
    <r>
      <t xml:space="preserve">How was s/he </t>
    </r>
    <r>
      <rPr>
        <b/>
        <sz val="10"/>
        <rFont val="Calibri"/>
        <family val="2"/>
        <scheme val="minor"/>
      </rPr>
      <t>burned/injured</t>
    </r>
    <r>
      <rPr>
        <sz val="10"/>
        <rFont val="Calibri"/>
        <family val="2"/>
        <scheme val="minor"/>
      </rPr>
      <t>?</t>
    </r>
  </si>
  <si>
    <r>
      <t xml:space="preserve">Is s/he having any </t>
    </r>
    <r>
      <rPr>
        <b/>
        <sz val="10"/>
        <rFont val="Calibri"/>
        <family val="2"/>
        <scheme val="minor"/>
      </rPr>
      <t>difficulty breathing</t>
    </r>
    <r>
      <rPr>
        <sz val="10"/>
        <rFont val="Calibri"/>
        <family val="2"/>
        <scheme val="minor"/>
      </rPr>
      <t>?</t>
    </r>
  </si>
  <si>
    <r>
      <t xml:space="preserve">Does s/he have any </t>
    </r>
    <r>
      <rPr>
        <b/>
        <sz val="10"/>
        <rFont val="Calibri"/>
        <family val="2"/>
        <scheme val="minor"/>
      </rPr>
      <t>difficulty</t>
    </r>
    <r>
      <rPr>
        <sz val="10"/>
        <rFont val="Calibri"/>
        <family val="2"/>
        <scheme val="minor"/>
      </rPr>
      <t xml:space="preserve"> speaking/crying </t>
    </r>
    <r>
      <rPr>
        <b/>
        <sz val="10"/>
        <rFont val="Calibri"/>
        <family val="2"/>
        <scheme val="minor"/>
      </rPr>
      <t>between</t>
    </r>
    <r>
      <rPr>
        <sz val="10"/>
        <rFont val="Calibri"/>
        <family val="2"/>
        <scheme val="minor"/>
      </rPr>
      <t xml:space="preserve"> breaths?</t>
    </r>
  </si>
  <si>
    <r>
      <t xml:space="preserve">What </t>
    </r>
    <r>
      <rPr>
        <b/>
        <sz val="10"/>
        <rFont val="Calibri"/>
        <family val="2"/>
        <scheme val="minor"/>
      </rPr>
      <t>parts</t>
    </r>
    <r>
      <rPr>
        <sz val="10"/>
        <rFont val="Calibri"/>
        <family val="2"/>
        <scheme val="minor"/>
      </rPr>
      <t xml:space="preserve"> of the body were </t>
    </r>
    <r>
      <rPr>
        <b/>
        <sz val="10"/>
        <rFont val="Calibri"/>
        <family val="2"/>
        <scheme val="minor"/>
      </rPr>
      <t>burned/injured</t>
    </r>
    <r>
      <rPr>
        <sz val="10"/>
        <rFont val="Calibri"/>
        <family val="2"/>
        <scheme val="minor"/>
      </rPr>
      <t>?</t>
    </r>
  </si>
  <si>
    <r>
      <t>What kind of</t>
    </r>
    <r>
      <rPr>
        <b/>
        <sz val="10"/>
        <rFont val="Calibri"/>
        <family val="2"/>
        <scheme val="minor"/>
      </rPr>
      <t xml:space="preserve"> chemicals/fumes</t>
    </r>
    <r>
      <rPr>
        <sz val="10"/>
        <rFont val="Calibri"/>
        <family val="2"/>
        <scheme val="minor"/>
      </rPr>
      <t xml:space="preserve"> or </t>
    </r>
    <r>
      <rPr>
        <b/>
        <sz val="10"/>
        <rFont val="Calibri"/>
        <family val="2"/>
        <scheme val="minor"/>
      </rPr>
      <t>Hazmat</t>
    </r>
    <r>
      <rPr>
        <sz val="10"/>
        <rFont val="Calibri"/>
        <family val="2"/>
        <scheme val="minor"/>
      </rPr>
      <t xml:space="preserve"> is involved?</t>
    </r>
  </si>
  <si>
    <r>
      <rPr>
        <b/>
        <sz val="10"/>
        <rFont val="Calibri"/>
        <family val="2"/>
        <scheme val="minor"/>
      </rPr>
      <t>Where</t>
    </r>
    <r>
      <rPr>
        <sz val="10"/>
        <rFont val="Calibri"/>
        <family val="2"/>
        <scheme val="minor"/>
      </rPr>
      <t xml:space="preserve"> are the </t>
    </r>
    <r>
      <rPr>
        <b/>
        <sz val="10"/>
        <rFont val="Calibri"/>
        <family val="2"/>
        <scheme val="minor"/>
      </rPr>
      <t>chemicals/fumes</t>
    </r>
    <r>
      <rPr>
        <sz val="10"/>
        <rFont val="Calibri"/>
        <family val="2"/>
        <scheme val="minor"/>
      </rPr>
      <t xml:space="preserve"> coming from?</t>
    </r>
  </si>
  <si>
    <r>
      <t xml:space="preserve">Is s/he </t>
    </r>
    <r>
      <rPr>
        <b/>
        <sz val="10"/>
        <rFont val="Calibri"/>
        <family val="2"/>
        <scheme val="minor"/>
      </rPr>
      <t>contaminated</t>
    </r>
    <r>
      <rPr>
        <sz val="10"/>
        <rFont val="Calibri"/>
        <family val="2"/>
        <scheme val="minor"/>
      </rPr>
      <t xml:space="preserve"> (skin contact) with </t>
    </r>
    <r>
      <rPr>
        <b/>
        <sz val="10"/>
        <rFont val="Calibri"/>
        <family val="2"/>
        <scheme val="minor"/>
      </rPr>
      <t>chemicals</t>
    </r>
    <r>
      <rPr>
        <sz val="10"/>
        <rFont val="Calibri"/>
        <family val="2"/>
        <scheme val="minor"/>
      </rPr>
      <t>?</t>
    </r>
  </si>
  <si>
    <r>
      <t>Is s/he having any</t>
    </r>
    <r>
      <rPr>
        <b/>
        <sz val="10"/>
        <rFont val="Calibri"/>
        <family val="2"/>
        <scheme val="minor"/>
      </rPr>
      <t xml:space="preserve"> difficulty breathing</t>
    </r>
    <r>
      <rPr>
        <sz val="10"/>
        <rFont val="Calibri"/>
        <family val="2"/>
        <scheme val="minor"/>
      </rPr>
      <t>?</t>
    </r>
  </si>
  <si>
    <r>
      <t xml:space="preserve">(OBVIOUS DEATH) Do you think s/he is </t>
    </r>
    <r>
      <rPr>
        <b/>
        <sz val="10"/>
        <rFont val="Calibri"/>
        <family val="2"/>
        <scheme val="minor"/>
      </rPr>
      <t>beyond</t>
    </r>
    <r>
      <rPr>
        <sz val="10"/>
        <rFont val="Calibri"/>
        <family val="2"/>
        <scheme val="minor"/>
      </rPr>
      <t xml:space="preserve"> any help (CPR)?</t>
    </r>
  </si>
  <si>
    <r>
      <t xml:space="preserve">Is s/he </t>
    </r>
    <r>
      <rPr>
        <b/>
        <sz val="10"/>
        <rFont val="Calibri"/>
        <family val="2"/>
        <scheme val="minor"/>
      </rPr>
      <t>completely</t>
    </r>
    <r>
      <rPr>
        <sz val="10"/>
        <rFont val="Calibri"/>
        <family val="2"/>
        <scheme val="minor"/>
      </rPr>
      <t xml:space="preserve"> </t>
    </r>
    <r>
      <rPr>
        <b/>
        <sz val="10"/>
        <rFont val="Calibri"/>
        <family val="2"/>
        <scheme val="minor"/>
      </rPr>
      <t>alert</t>
    </r>
    <r>
      <rPr>
        <sz val="10"/>
        <rFont val="Calibri"/>
        <family val="2"/>
        <scheme val="minor"/>
      </rPr>
      <t xml:space="preserve"> (responding appropriately)?</t>
    </r>
  </si>
  <si>
    <r>
      <t xml:space="preserve">Is s/he </t>
    </r>
    <r>
      <rPr>
        <b/>
        <sz val="10"/>
        <rFont val="Calibri"/>
        <family val="2"/>
        <scheme val="minor"/>
      </rPr>
      <t>breathing</t>
    </r>
    <r>
      <rPr>
        <sz val="10"/>
        <rFont val="Calibri"/>
        <family val="2"/>
        <scheme val="minor"/>
      </rPr>
      <t xml:space="preserve"> </t>
    </r>
    <r>
      <rPr>
        <b/>
        <sz val="10"/>
        <rFont val="Calibri"/>
        <family val="2"/>
        <scheme val="minor"/>
      </rPr>
      <t>normally</t>
    </r>
    <r>
      <rPr>
        <sz val="10"/>
        <rFont val="Calibri"/>
        <family val="2"/>
        <scheme val="minor"/>
      </rPr>
      <t>?</t>
    </r>
  </si>
  <si>
    <r>
      <t xml:space="preserve">(No and Alert) Does s/he have any </t>
    </r>
    <r>
      <rPr>
        <b/>
        <sz val="10"/>
        <rFont val="Calibri"/>
        <family val="2"/>
        <scheme val="minor"/>
      </rPr>
      <t>difficulty</t>
    </r>
    <r>
      <rPr>
        <sz val="10"/>
        <rFont val="Calibri"/>
        <family val="2"/>
        <scheme val="minor"/>
      </rPr>
      <t xml:space="preserve"> speaking/crying?</t>
    </r>
  </si>
  <si>
    <r>
      <t xml:space="preserve">(Not 1st party) Is s/he </t>
    </r>
    <r>
      <rPr>
        <b/>
        <sz val="10"/>
        <rFont val="Calibri"/>
        <family val="2"/>
        <scheme val="minor"/>
      </rPr>
      <t>changing colo</t>
    </r>
    <r>
      <rPr>
        <sz val="10"/>
        <rFont val="Calibri"/>
        <family val="2"/>
        <scheme val="minor"/>
      </rPr>
      <t>r?</t>
    </r>
  </si>
  <si>
    <r>
      <t xml:space="preserve">(Yes) </t>
    </r>
    <r>
      <rPr>
        <b/>
        <sz val="10"/>
        <rFont val="Calibri"/>
        <family val="2"/>
        <scheme val="minor"/>
      </rPr>
      <t>Describe</t>
    </r>
    <r>
      <rPr>
        <sz val="10"/>
        <rFont val="Calibri"/>
        <family val="2"/>
        <scheme val="minor"/>
      </rPr>
      <t xml:space="preserve"> the color change.</t>
    </r>
  </si>
  <si>
    <r>
      <t xml:space="preserve">Is s/he </t>
    </r>
    <r>
      <rPr>
        <b/>
        <sz val="10"/>
        <rFont val="Calibri"/>
        <family val="2"/>
        <scheme val="minor"/>
      </rPr>
      <t>clammy</t>
    </r>
    <r>
      <rPr>
        <sz val="10"/>
        <rFont val="Calibri"/>
        <family val="2"/>
        <scheme val="minor"/>
      </rPr>
      <t xml:space="preserve"> or having </t>
    </r>
    <r>
      <rPr>
        <b/>
        <sz val="10"/>
        <rFont val="Calibri"/>
        <family val="2"/>
        <scheme val="minor"/>
      </rPr>
      <t>cold</t>
    </r>
    <r>
      <rPr>
        <sz val="10"/>
        <rFont val="Calibri"/>
        <family val="2"/>
        <scheme val="minor"/>
      </rPr>
      <t xml:space="preserve"> </t>
    </r>
    <r>
      <rPr>
        <b/>
        <sz val="10"/>
        <rFont val="Calibri"/>
        <family val="2"/>
        <scheme val="minor"/>
      </rPr>
      <t>sweats</t>
    </r>
    <r>
      <rPr>
        <sz val="10"/>
        <rFont val="Calibri"/>
        <family val="2"/>
        <scheme val="minor"/>
      </rPr>
      <t>?</t>
    </r>
  </si>
  <si>
    <r>
      <t xml:space="preserve">Has s/he ever had a </t>
    </r>
    <r>
      <rPr>
        <b/>
        <sz val="10"/>
        <rFont val="Calibri"/>
        <family val="2"/>
        <scheme val="minor"/>
      </rPr>
      <t>heart</t>
    </r>
    <r>
      <rPr>
        <sz val="10"/>
        <rFont val="Calibri"/>
        <family val="2"/>
        <scheme val="minor"/>
      </rPr>
      <t xml:space="preserve"> </t>
    </r>
    <r>
      <rPr>
        <b/>
        <sz val="10"/>
        <rFont val="Calibri"/>
        <family val="2"/>
        <scheme val="minor"/>
      </rPr>
      <t>attack</t>
    </r>
    <r>
      <rPr>
        <sz val="10"/>
        <rFont val="Calibri"/>
        <family val="2"/>
        <scheme val="minor"/>
      </rPr>
      <t xml:space="preserve"> or </t>
    </r>
    <r>
      <rPr>
        <b/>
        <sz val="10"/>
        <rFont val="Calibri"/>
        <family val="2"/>
        <scheme val="minor"/>
      </rPr>
      <t>angina</t>
    </r>
    <r>
      <rPr>
        <sz val="10"/>
        <rFont val="Calibri"/>
        <family val="2"/>
        <scheme val="minor"/>
      </rPr>
      <t xml:space="preserve"> (heart pains)?</t>
    </r>
  </si>
  <si>
    <r>
      <t xml:space="preserve">Has s/he take any </t>
    </r>
    <r>
      <rPr>
        <b/>
        <sz val="10"/>
        <rFont val="Calibri"/>
        <family val="2"/>
        <scheme val="minor"/>
      </rPr>
      <t>drugs</t>
    </r>
    <r>
      <rPr>
        <sz val="10"/>
        <rFont val="Calibri"/>
        <family val="2"/>
        <scheme val="minor"/>
      </rPr>
      <t xml:space="preserve"> or </t>
    </r>
    <r>
      <rPr>
        <b/>
        <sz val="10"/>
        <rFont val="Calibri"/>
        <family val="2"/>
        <scheme val="minor"/>
      </rPr>
      <t>medications</t>
    </r>
    <r>
      <rPr>
        <sz val="10"/>
        <rFont val="Calibri"/>
        <family val="2"/>
        <scheme val="minor"/>
      </rPr>
      <t xml:space="preserve"> in the</t>
    </r>
    <r>
      <rPr>
        <b/>
        <sz val="10"/>
        <rFont val="Calibri"/>
        <family val="2"/>
        <scheme val="minor"/>
      </rPr>
      <t xml:space="preserve"> past 12 hours</t>
    </r>
    <r>
      <rPr>
        <sz val="10"/>
        <rFont val="Calibri"/>
        <family val="2"/>
        <scheme val="minor"/>
      </rPr>
      <t>?</t>
    </r>
  </si>
  <si>
    <r>
      <t xml:space="preserve">Is s/he </t>
    </r>
    <r>
      <rPr>
        <b/>
        <sz val="10"/>
        <rFont val="Calibri"/>
        <family val="2"/>
        <scheme val="minor"/>
      </rPr>
      <t>breathing normally</t>
    </r>
    <r>
      <rPr>
        <sz val="10"/>
        <rFont val="Calibri"/>
        <family val="2"/>
        <scheme val="minor"/>
      </rPr>
      <t>?</t>
    </r>
  </si>
  <si>
    <r>
      <t xml:space="preserve">(Alert &amp; breathing normally) Is s/he able to </t>
    </r>
    <r>
      <rPr>
        <b/>
        <sz val="10"/>
        <rFont val="Calibri"/>
        <family val="2"/>
        <scheme val="minor"/>
      </rPr>
      <t>talk/cry</t>
    </r>
    <r>
      <rPr>
        <sz val="10"/>
        <rFont val="Calibri"/>
        <family val="2"/>
        <scheme val="minor"/>
      </rPr>
      <t>?</t>
    </r>
  </si>
  <si>
    <r>
      <rPr>
        <b/>
        <sz val="10"/>
        <rFont val="Calibri"/>
        <family val="2"/>
        <scheme val="minor"/>
      </rPr>
      <t>What</t>
    </r>
    <r>
      <rPr>
        <sz val="10"/>
        <rFont val="Calibri"/>
        <family val="2"/>
        <scheme val="minor"/>
      </rPr>
      <t xml:space="preserve"> did s/he </t>
    </r>
    <r>
      <rPr>
        <b/>
        <sz val="10"/>
        <rFont val="Calibri"/>
        <family val="2"/>
        <scheme val="minor"/>
      </rPr>
      <t>choke</t>
    </r>
    <r>
      <rPr>
        <sz val="10"/>
        <rFont val="Calibri"/>
        <family val="2"/>
        <scheme val="minor"/>
      </rPr>
      <t xml:space="preserve"> on?</t>
    </r>
  </si>
  <si>
    <r>
      <t xml:space="preserve">Has s/he had </t>
    </r>
    <r>
      <rPr>
        <b/>
        <sz val="10"/>
        <rFont val="Calibri"/>
        <family val="2"/>
        <scheme val="minor"/>
      </rPr>
      <t>more than one</t>
    </r>
    <r>
      <rPr>
        <sz val="10"/>
        <rFont val="Calibri"/>
        <family val="2"/>
        <scheme val="minor"/>
      </rPr>
      <t xml:space="preserve"> seizure in a row?</t>
    </r>
  </si>
  <si>
    <r>
      <t xml:space="preserve">(Yes) Was s/he </t>
    </r>
    <r>
      <rPr>
        <b/>
        <sz val="10"/>
        <rFont val="Calibri"/>
        <family val="2"/>
        <scheme val="minor"/>
      </rPr>
      <t>alert</t>
    </r>
    <r>
      <rPr>
        <sz val="10"/>
        <rFont val="Calibri"/>
        <family val="2"/>
        <scheme val="minor"/>
      </rPr>
      <t xml:space="preserve"> </t>
    </r>
    <r>
      <rPr>
        <b/>
        <sz val="10"/>
        <rFont val="Calibri"/>
        <family val="2"/>
        <scheme val="minor"/>
      </rPr>
      <t>between</t>
    </r>
    <r>
      <rPr>
        <sz val="10"/>
        <rFont val="Calibri"/>
        <family val="2"/>
        <scheme val="minor"/>
      </rPr>
      <t xml:space="preserve"> the </t>
    </r>
    <r>
      <rPr>
        <b/>
        <sz val="10"/>
        <rFont val="Calibri"/>
        <family val="2"/>
        <scheme val="minor"/>
      </rPr>
      <t>seizures</t>
    </r>
    <r>
      <rPr>
        <sz val="10"/>
        <rFont val="Calibri"/>
        <family val="2"/>
        <scheme val="minor"/>
      </rPr>
      <t>?</t>
    </r>
  </si>
  <si>
    <r>
      <t xml:space="preserve">(Female 12-50) Is she </t>
    </r>
    <r>
      <rPr>
        <b/>
        <sz val="10"/>
        <rFont val="Calibri"/>
        <family val="2"/>
        <scheme val="minor"/>
      </rPr>
      <t>pregnant</t>
    </r>
    <r>
      <rPr>
        <sz val="10"/>
        <rFont val="Calibri"/>
        <family val="2"/>
        <scheme val="minor"/>
      </rPr>
      <t>?</t>
    </r>
  </si>
  <si>
    <r>
      <t xml:space="preserve">Is s/he </t>
    </r>
    <r>
      <rPr>
        <b/>
        <sz val="10"/>
        <rFont val="Calibri"/>
        <family val="2"/>
        <scheme val="minor"/>
      </rPr>
      <t>diabetic</t>
    </r>
    <r>
      <rPr>
        <sz val="10"/>
        <rFont val="Calibri"/>
        <family val="2"/>
        <scheme val="minor"/>
      </rPr>
      <t>?</t>
    </r>
  </si>
  <si>
    <r>
      <t xml:space="preserve">Is s/he </t>
    </r>
    <r>
      <rPr>
        <b/>
        <sz val="10"/>
        <rFont val="Calibri"/>
        <family val="2"/>
        <scheme val="minor"/>
      </rPr>
      <t>epileptic</t>
    </r>
    <r>
      <rPr>
        <sz val="10"/>
        <rFont val="Calibri"/>
        <family val="2"/>
        <scheme val="minor"/>
      </rPr>
      <t xml:space="preserve"> (</t>
    </r>
    <r>
      <rPr>
        <b/>
        <sz val="10"/>
        <rFont val="Calibri"/>
        <family val="2"/>
        <scheme val="minor"/>
      </rPr>
      <t>diagnosed</t>
    </r>
    <r>
      <rPr>
        <sz val="10"/>
        <rFont val="Calibri"/>
        <family val="2"/>
        <scheme val="minor"/>
      </rPr>
      <t xml:space="preserve"> with a seizure disorder)?</t>
    </r>
  </si>
  <si>
    <r>
      <t xml:space="preserve">Does s/he have a </t>
    </r>
    <r>
      <rPr>
        <b/>
        <sz val="10"/>
        <rFont val="Calibri"/>
        <family val="2"/>
        <scheme val="minor"/>
      </rPr>
      <t>history</t>
    </r>
    <r>
      <rPr>
        <sz val="10"/>
        <rFont val="Calibri"/>
        <family val="2"/>
        <scheme val="minor"/>
      </rPr>
      <t xml:space="preserve"> of </t>
    </r>
    <r>
      <rPr>
        <b/>
        <sz val="10"/>
        <rFont val="Calibri"/>
        <family val="2"/>
        <scheme val="minor"/>
      </rPr>
      <t>STROKE</t>
    </r>
    <r>
      <rPr>
        <sz val="10"/>
        <rFont val="Calibri"/>
        <family val="2"/>
        <scheme val="minor"/>
      </rPr>
      <t xml:space="preserve"> or </t>
    </r>
    <r>
      <rPr>
        <b/>
        <sz val="10"/>
        <rFont val="Calibri"/>
        <family val="2"/>
        <scheme val="minor"/>
      </rPr>
      <t>brain</t>
    </r>
    <r>
      <rPr>
        <sz val="10"/>
        <rFont val="Calibri"/>
        <family val="2"/>
        <scheme val="minor"/>
      </rPr>
      <t xml:space="preserve"> </t>
    </r>
    <r>
      <rPr>
        <b/>
        <sz val="10"/>
        <rFont val="Calibri"/>
        <family val="2"/>
        <scheme val="minor"/>
      </rPr>
      <t>tumor</t>
    </r>
    <r>
      <rPr>
        <sz val="10"/>
        <rFont val="Calibri"/>
        <family val="2"/>
        <scheme val="minor"/>
      </rPr>
      <t>?</t>
    </r>
  </si>
  <si>
    <r>
      <t xml:space="preserve">(Non-FOCAL) has the jerking (twitching) </t>
    </r>
    <r>
      <rPr>
        <b/>
        <sz val="10"/>
        <rFont val="Calibri"/>
        <family val="2"/>
        <scheme val="minor"/>
      </rPr>
      <t>stopped</t>
    </r>
    <r>
      <rPr>
        <sz val="10"/>
        <rFont val="Calibri"/>
        <family val="2"/>
        <scheme val="minor"/>
      </rPr>
      <t xml:space="preserve"> yet?</t>
    </r>
  </si>
  <si>
    <r>
      <t xml:space="preserve">(Yes) Okay, is s/he </t>
    </r>
    <r>
      <rPr>
        <b/>
        <sz val="10"/>
        <rFont val="Calibri"/>
        <family val="2"/>
        <scheme val="minor"/>
      </rPr>
      <t>breathing right now</t>
    </r>
    <r>
      <rPr>
        <sz val="10"/>
        <rFont val="Calibri"/>
        <family val="2"/>
        <scheme val="minor"/>
      </rPr>
      <t>?</t>
    </r>
  </si>
  <si>
    <r>
      <t xml:space="preserve">(FOCAL) Is s/he </t>
    </r>
    <r>
      <rPr>
        <b/>
        <sz val="10"/>
        <rFont val="Calibri"/>
        <family val="2"/>
        <scheme val="minor"/>
      </rPr>
      <t>completely alert</t>
    </r>
    <r>
      <rPr>
        <sz val="10"/>
        <rFont val="Calibri"/>
        <family val="2"/>
        <scheme val="minor"/>
      </rPr>
      <t xml:space="preserve"> (responding appropriately)?</t>
    </r>
  </si>
  <si>
    <r>
      <t xml:space="preserve">(No) Okay, is s/he </t>
    </r>
    <r>
      <rPr>
        <b/>
        <sz val="10"/>
        <rFont val="Calibri"/>
        <family val="2"/>
        <scheme val="minor"/>
      </rPr>
      <t>breathing right now</t>
    </r>
    <r>
      <rPr>
        <sz val="10"/>
        <rFont val="Calibri"/>
        <family val="2"/>
        <scheme val="minor"/>
      </rPr>
      <t>?</t>
    </r>
  </si>
  <si>
    <r>
      <t xml:space="preserve">is s/he </t>
    </r>
    <r>
      <rPr>
        <b/>
        <sz val="10"/>
        <rFont val="Calibri"/>
        <family val="2"/>
        <scheme val="minor"/>
      </rPr>
      <t>behaving normally now</t>
    </r>
    <r>
      <rPr>
        <sz val="10"/>
        <rFont val="Calibri"/>
        <family val="2"/>
        <scheme val="minor"/>
      </rPr>
      <t>?</t>
    </r>
  </si>
  <si>
    <r>
      <t xml:space="preserve">is s/he </t>
    </r>
    <r>
      <rPr>
        <b/>
        <sz val="10"/>
        <rFont val="Calibri"/>
        <family val="2"/>
        <scheme val="minor"/>
      </rPr>
      <t>breathing normally</t>
    </r>
    <r>
      <rPr>
        <sz val="10"/>
        <rFont val="Calibri"/>
        <family val="2"/>
        <scheme val="minor"/>
      </rPr>
      <t>?</t>
    </r>
  </si>
  <si>
    <r>
      <rPr>
        <b/>
        <sz val="10"/>
        <rFont val="Calibri"/>
        <family val="2"/>
        <scheme val="minor"/>
      </rPr>
      <t>Where</t>
    </r>
    <r>
      <rPr>
        <sz val="10"/>
        <rFont val="Calibri"/>
        <family val="2"/>
        <scheme val="minor"/>
      </rPr>
      <t xml:space="preserve"> is s/he right </t>
    </r>
    <r>
      <rPr>
        <b/>
        <sz val="10"/>
        <rFont val="Calibri"/>
        <family val="2"/>
        <scheme val="minor"/>
      </rPr>
      <t>now</t>
    </r>
    <r>
      <rPr>
        <sz val="10"/>
        <rFont val="Calibri"/>
        <family val="2"/>
        <scheme val="minor"/>
      </rPr>
      <t>?</t>
    </r>
  </si>
  <si>
    <r>
      <t xml:space="preserve">Does s/he have any </t>
    </r>
    <r>
      <rPr>
        <b/>
        <sz val="10"/>
        <rFont val="Calibri"/>
        <family val="2"/>
        <scheme val="minor"/>
      </rPr>
      <t>injuries</t>
    </r>
    <r>
      <rPr>
        <sz val="10"/>
        <rFont val="Calibri"/>
        <family val="2"/>
        <scheme val="minor"/>
      </rPr>
      <t>?</t>
    </r>
  </si>
  <si>
    <r>
      <t xml:space="preserve">(Electrocution) Has the </t>
    </r>
    <r>
      <rPr>
        <b/>
        <sz val="10"/>
        <rFont val="Calibri"/>
        <family val="2"/>
        <scheme val="minor"/>
      </rPr>
      <t>power</t>
    </r>
    <r>
      <rPr>
        <sz val="10"/>
        <rFont val="Calibri"/>
        <family val="2"/>
        <scheme val="minor"/>
      </rPr>
      <t xml:space="preserve"> been </t>
    </r>
    <r>
      <rPr>
        <b/>
        <sz val="10"/>
        <rFont val="Calibri"/>
        <family val="2"/>
        <scheme val="minor"/>
      </rPr>
      <t>turned off</t>
    </r>
    <r>
      <rPr>
        <sz val="10"/>
        <rFont val="Calibri"/>
        <family val="2"/>
        <scheme val="minor"/>
      </rPr>
      <t>?</t>
    </r>
  </si>
  <si>
    <r>
      <t xml:space="preserve">(No) Is s/he </t>
    </r>
    <r>
      <rPr>
        <b/>
        <sz val="10"/>
        <rFont val="Calibri"/>
        <family val="2"/>
        <scheme val="minor"/>
      </rPr>
      <t>disconnected</t>
    </r>
    <r>
      <rPr>
        <sz val="10"/>
        <rFont val="Calibri"/>
        <family val="2"/>
        <scheme val="minor"/>
      </rPr>
      <t xml:space="preserve"> from the </t>
    </r>
    <r>
      <rPr>
        <b/>
        <sz val="10"/>
        <rFont val="Calibri"/>
        <family val="2"/>
        <scheme val="minor"/>
      </rPr>
      <t>power</t>
    </r>
    <r>
      <rPr>
        <sz val="10"/>
        <rFont val="Calibri"/>
        <family val="2"/>
        <scheme val="minor"/>
      </rPr>
      <t>?</t>
    </r>
  </si>
  <si>
    <r>
      <t xml:space="preserve">(Electrocution) </t>
    </r>
    <r>
      <rPr>
        <b/>
        <sz val="10"/>
        <rFont val="Calibri"/>
        <family val="2"/>
        <scheme val="minor"/>
      </rPr>
      <t>Where</t>
    </r>
    <r>
      <rPr>
        <sz val="10"/>
        <rFont val="Calibri"/>
        <family val="2"/>
        <scheme val="minor"/>
      </rPr>
      <t xml:space="preserve"> is s/he right </t>
    </r>
    <r>
      <rPr>
        <b/>
        <sz val="10"/>
        <rFont val="Calibri"/>
        <family val="2"/>
        <scheme val="minor"/>
      </rPr>
      <t>now</t>
    </r>
    <r>
      <rPr>
        <sz val="10"/>
        <rFont val="Calibri"/>
        <family val="2"/>
        <scheme val="minor"/>
      </rPr>
      <t>?</t>
    </r>
  </si>
  <si>
    <r>
      <t xml:space="preserve">(Suspected) Is </t>
    </r>
    <r>
      <rPr>
        <b/>
        <sz val="10"/>
        <rFont val="Calibri"/>
        <family val="2"/>
        <scheme val="minor"/>
      </rPr>
      <t>anything</t>
    </r>
    <r>
      <rPr>
        <sz val="10"/>
        <rFont val="Calibri"/>
        <family val="2"/>
        <scheme val="minor"/>
      </rPr>
      <t xml:space="preserve"> still </t>
    </r>
    <r>
      <rPr>
        <b/>
        <sz val="10"/>
        <rFont val="Calibri"/>
        <family val="2"/>
        <scheme val="minor"/>
      </rPr>
      <t>on fire</t>
    </r>
    <r>
      <rPr>
        <sz val="10"/>
        <rFont val="Calibri"/>
        <family val="2"/>
        <scheme val="minor"/>
      </rPr>
      <t>?</t>
    </r>
  </si>
  <si>
    <r>
      <t xml:space="preserve">Did s/he </t>
    </r>
    <r>
      <rPr>
        <b/>
        <sz val="10"/>
        <rFont val="Calibri"/>
        <family val="2"/>
        <scheme val="minor"/>
      </rPr>
      <t>fall</t>
    </r>
    <r>
      <rPr>
        <sz val="10"/>
        <rFont val="Calibri"/>
        <family val="2"/>
        <scheme val="minor"/>
      </rPr>
      <t xml:space="preserve"> off something when this happened?</t>
    </r>
  </si>
  <si>
    <r>
      <t xml:space="preserve">(Yes) How </t>
    </r>
    <r>
      <rPr>
        <b/>
        <sz val="10"/>
        <rFont val="Calibri"/>
        <family val="2"/>
        <scheme val="minor"/>
      </rPr>
      <t>far</t>
    </r>
    <r>
      <rPr>
        <sz val="10"/>
        <rFont val="Calibri"/>
        <family val="2"/>
        <scheme val="minor"/>
      </rPr>
      <t xml:space="preserve"> did s/he </t>
    </r>
    <r>
      <rPr>
        <b/>
        <sz val="10"/>
        <rFont val="Calibri"/>
        <family val="2"/>
        <scheme val="minor"/>
      </rPr>
      <t>fall</t>
    </r>
    <r>
      <rPr>
        <sz val="10"/>
        <rFont val="Calibri"/>
        <family val="2"/>
        <scheme val="minor"/>
      </rPr>
      <t>?</t>
    </r>
  </si>
  <si>
    <r>
      <rPr>
        <b/>
        <sz val="10"/>
        <rFont val="Calibri"/>
        <family val="2"/>
        <scheme val="minor"/>
      </rPr>
      <t>How</t>
    </r>
    <r>
      <rPr>
        <sz val="10"/>
        <rFont val="Calibri"/>
        <family val="2"/>
        <scheme val="minor"/>
      </rPr>
      <t xml:space="preserve"> did this </t>
    </r>
    <r>
      <rPr>
        <b/>
        <sz val="10"/>
        <rFont val="Calibri"/>
        <family val="2"/>
        <scheme val="minor"/>
      </rPr>
      <t>happen</t>
    </r>
    <r>
      <rPr>
        <sz val="10"/>
        <rFont val="Calibri"/>
        <family val="2"/>
        <scheme val="minor"/>
      </rPr>
      <t>?</t>
    </r>
  </si>
  <si>
    <r>
      <t xml:space="preserve">(TRAUMA) Is the </t>
    </r>
    <r>
      <rPr>
        <b/>
        <sz val="10"/>
        <rFont val="Calibri"/>
        <family val="2"/>
        <scheme val="minor"/>
      </rPr>
      <t>eyeball cut</t>
    </r>
    <r>
      <rPr>
        <sz val="10"/>
        <rFont val="Calibri"/>
        <family val="2"/>
        <scheme val="minor"/>
      </rPr>
      <t xml:space="preserve"> open or is fluid </t>
    </r>
    <r>
      <rPr>
        <b/>
        <sz val="10"/>
        <rFont val="Calibri"/>
        <family val="2"/>
        <scheme val="minor"/>
      </rPr>
      <t>leaking</t>
    </r>
    <r>
      <rPr>
        <sz val="10"/>
        <rFont val="Calibri"/>
        <family val="2"/>
        <scheme val="minor"/>
      </rPr>
      <t xml:space="preserve"> out of it?</t>
    </r>
  </si>
  <si>
    <r>
      <t xml:space="preserve">(Not ground level) How </t>
    </r>
    <r>
      <rPr>
        <b/>
        <sz val="10"/>
        <rFont val="Calibri"/>
        <family val="2"/>
        <scheme val="minor"/>
      </rPr>
      <t>far</t>
    </r>
    <r>
      <rPr>
        <sz val="10"/>
        <rFont val="Calibri"/>
        <family val="2"/>
        <scheme val="minor"/>
      </rPr>
      <t xml:space="preserve"> did s/he </t>
    </r>
    <r>
      <rPr>
        <b/>
        <sz val="10"/>
        <rFont val="Calibri"/>
        <family val="2"/>
        <scheme val="minor"/>
      </rPr>
      <t>fall</t>
    </r>
    <r>
      <rPr>
        <sz val="10"/>
        <rFont val="Calibri"/>
        <family val="2"/>
        <scheme val="minor"/>
      </rPr>
      <t>?</t>
    </r>
  </si>
  <si>
    <r>
      <t xml:space="preserve">What </t>
    </r>
    <r>
      <rPr>
        <b/>
        <sz val="10"/>
        <rFont val="Calibri"/>
        <family val="2"/>
        <scheme val="minor"/>
      </rPr>
      <t>caused</t>
    </r>
    <r>
      <rPr>
        <sz val="10"/>
        <rFont val="Calibri"/>
        <family val="2"/>
        <scheme val="minor"/>
      </rPr>
      <t xml:space="preserve"> the </t>
    </r>
    <r>
      <rPr>
        <b/>
        <sz val="10"/>
        <rFont val="Calibri"/>
        <family val="2"/>
        <scheme val="minor"/>
      </rPr>
      <t>fall</t>
    </r>
    <r>
      <rPr>
        <sz val="10"/>
        <rFont val="Calibri"/>
        <family val="2"/>
        <scheme val="minor"/>
      </rPr>
      <t>?</t>
    </r>
  </si>
  <si>
    <r>
      <t xml:space="preserve">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(spurting or pouring)?</t>
    </r>
  </si>
  <si>
    <r>
      <t xml:space="preserve">What </t>
    </r>
    <r>
      <rPr>
        <b/>
        <sz val="10"/>
        <rFont val="Calibri"/>
        <family val="2"/>
        <scheme val="minor"/>
      </rPr>
      <t>part</t>
    </r>
    <r>
      <rPr>
        <sz val="10"/>
        <rFont val="Calibri"/>
        <family val="2"/>
        <scheme val="minor"/>
      </rPr>
      <t xml:space="preserve"> of the body was </t>
    </r>
    <r>
      <rPr>
        <b/>
        <sz val="10"/>
        <rFont val="Calibri"/>
        <family val="2"/>
        <scheme val="minor"/>
      </rPr>
      <t>injured</t>
    </r>
    <r>
      <rPr>
        <sz val="10"/>
        <rFont val="Calibri"/>
        <family val="2"/>
        <scheme val="minor"/>
      </rPr>
      <t>?</t>
    </r>
  </si>
  <si>
    <r>
      <t xml:space="preserve">(Chest or Neck) Is s/he having any </t>
    </r>
    <r>
      <rPr>
        <b/>
        <sz val="10"/>
        <rFont val="Calibri"/>
        <family val="2"/>
        <scheme val="minor"/>
      </rPr>
      <t>difficulty breathing</t>
    </r>
    <r>
      <rPr>
        <sz val="10"/>
        <rFont val="Calibri"/>
        <family val="2"/>
        <scheme val="minor"/>
      </rPr>
      <t>?</t>
    </r>
  </si>
  <si>
    <r>
      <t xml:space="preserve">(&lt;10ft or Unknown) Is s/he </t>
    </r>
    <r>
      <rPr>
        <b/>
        <sz val="10"/>
        <rFont val="Calibri"/>
        <family val="2"/>
        <scheme val="minor"/>
      </rPr>
      <t>still</t>
    </r>
    <r>
      <rPr>
        <sz val="10"/>
        <rFont val="Calibri"/>
        <family val="2"/>
        <scheme val="minor"/>
      </rPr>
      <t xml:space="preserve"> on the </t>
    </r>
    <r>
      <rPr>
        <b/>
        <sz val="10"/>
        <rFont val="Calibri"/>
        <family val="2"/>
        <scheme val="minor"/>
      </rPr>
      <t>floor/ground</t>
    </r>
    <r>
      <rPr>
        <sz val="10"/>
        <rFont val="Calibri"/>
        <family val="2"/>
        <scheme val="minor"/>
      </rPr>
      <t>?</t>
    </r>
  </si>
  <si>
    <r>
      <t xml:space="preserve">Is s/he </t>
    </r>
    <r>
      <rPr>
        <b/>
        <sz val="10"/>
        <rFont val="Calibri"/>
        <family val="2"/>
        <scheme val="minor"/>
      </rPr>
      <t>breathing</t>
    </r>
    <r>
      <rPr>
        <sz val="10"/>
        <rFont val="Calibri"/>
        <family val="2"/>
        <scheme val="minor"/>
      </rPr>
      <t xml:space="preserve"> </t>
    </r>
    <r>
      <rPr>
        <b/>
        <sz val="10"/>
        <rFont val="Calibri"/>
        <family val="2"/>
        <scheme val="minor"/>
      </rPr>
      <t>normally</t>
    </r>
  </si>
  <si>
    <r>
      <t xml:space="preserve">Is s/he able to </t>
    </r>
    <r>
      <rPr>
        <b/>
        <sz val="10"/>
        <rFont val="Calibri"/>
        <family val="2"/>
        <scheme val="minor"/>
      </rPr>
      <t>talk</t>
    </r>
    <r>
      <rPr>
        <sz val="10"/>
        <rFont val="Calibri"/>
        <family val="2"/>
        <scheme val="minor"/>
      </rPr>
      <t xml:space="preserve"> </t>
    </r>
    <r>
      <rPr>
        <b/>
        <sz val="10"/>
        <rFont val="Calibri"/>
        <family val="2"/>
        <scheme val="minor"/>
      </rPr>
      <t>normally</t>
    </r>
    <r>
      <rPr>
        <sz val="10"/>
        <rFont val="Calibri"/>
        <family val="2"/>
        <scheme val="minor"/>
      </rPr>
      <t>?</t>
    </r>
  </si>
  <si>
    <r>
      <t xml:space="preserve">Was there a </t>
    </r>
    <r>
      <rPr>
        <b/>
        <sz val="10"/>
        <rFont val="Calibri"/>
        <family val="2"/>
        <scheme val="minor"/>
      </rPr>
      <t>sudden</t>
    </r>
    <r>
      <rPr>
        <sz val="10"/>
        <rFont val="Calibri"/>
        <family val="2"/>
        <scheme val="minor"/>
      </rPr>
      <t xml:space="preserve"> onset of </t>
    </r>
    <r>
      <rPr>
        <b/>
        <sz val="10"/>
        <rFont val="Calibri"/>
        <family val="2"/>
        <scheme val="minor"/>
      </rPr>
      <t>severe</t>
    </r>
    <r>
      <rPr>
        <sz val="10"/>
        <rFont val="Calibri"/>
        <family val="2"/>
        <scheme val="minor"/>
      </rPr>
      <t xml:space="preserve"> pain?</t>
    </r>
  </si>
  <si>
    <r>
      <t xml:space="preserve">Does s/he have any </t>
    </r>
    <r>
      <rPr>
        <b/>
        <sz val="10"/>
        <rFont val="Calibri"/>
        <family val="2"/>
        <scheme val="minor"/>
      </rPr>
      <t>numbness</t>
    </r>
    <r>
      <rPr>
        <sz val="10"/>
        <rFont val="Calibri"/>
        <family val="2"/>
        <scheme val="minor"/>
      </rPr>
      <t xml:space="preserve"> or </t>
    </r>
    <r>
      <rPr>
        <b/>
        <sz val="10"/>
        <rFont val="Calibri"/>
        <family val="2"/>
        <scheme val="minor"/>
      </rPr>
      <t>paralysis</t>
    </r>
    <r>
      <rPr>
        <sz val="10"/>
        <rFont val="Calibri"/>
        <family val="2"/>
        <scheme val="minor"/>
      </rPr>
      <t>?</t>
    </r>
  </si>
  <si>
    <r>
      <t>Has s/he had a recent</t>
    </r>
    <r>
      <rPr>
        <b/>
        <sz val="10"/>
        <rFont val="Calibri"/>
        <family val="2"/>
        <scheme val="minor"/>
      </rPr>
      <t xml:space="preserve"> change in behavior</t>
    </r>
    <r>
      <rPr>
        <sz val="10"/>
        <rFont val="Calibri"/>
        <family val="2"/>
        <scheme val="minor"/>
      </rPr>
      <t>?</t>
    </r>
  </si>
  <si>
    <r>
      <t xml:space="preserve">(STROKE) Exactly </t>
    </r>
    <r>
      <rPr>
        <b/>
        <sz val="10"/>
        <rFont val="Calibri"/>
        <family val="2"/>
        <scheme val="minor"/>
      </rPr>
      <t>when</t>
    </r>
    <r>
      <rPr>
        <sz val="10"/>
        <rFont val="Calibri"/>
        <family val="2"/>
        <scheme val="minor"/>
      </rPr>
      <t xml:space="preserve"> did this these symptoms (problems) </t>
    </r>
    <r>
      <rPr>
        <b/>
        <sz val="10"/>
        <rFont val="Calibri"/>
        <family val="2"/>
        <scheme val="minor"/>
      </rPr>
      <t>start</t>
    </r>
    <r>
      <rPr>
        <sz val="10"/>
        <rFont val="Calibri"/>
        <family val="2"/>
        <scheme val="minor"/>
      </rPr>
      <t>?</t>
    </r>
  </si>
  <si>
    <r>
      <t>(Unknown) When was the</t>
    </r>
    <r>
      <rPr>
        <b/>
        <sz val="10"/>
        <rFont val="Calibri"/>
        <family val="2"/>
        <scheme val="minor"/>
      </rPr>
      <t xml:space="preserve"> last time</t>
    </r>
    <r>
      <rPr>
        <sz val="10"/>
        <rFont val="Calibri"/>
        <family val="2"/>
        <scheme val="minor"/>
      </rPr>
      <t xml:space="preserve"> s/he was seen to be </t>
    </r>
    <r>
      <rPr>
        <b/>
        <sz val="10"/>
        <rFont val="Calibri"/>
        <family val="2"/>
        <scheme val="minor"/>
      </rPr>
      <t>normal</t>
    </r>
    <r>
      <rPr>
        <sz val="10"/>
        <rFont val="Calibri"/>
        <family val="2"/>
        <scheme val="minor"/>
      </rPr>
      <t>?</t>
    </r>
  </si>
  <si>
    <r>
      <t xml:space="preserve">(No&amp;Alt)Does s/he have </t>
    </r>
    <r>
      <rPr>
        <b/>
        <sz val="10"/>
        <rFont val="Calibri"/>
        <family val="2"/>
        <scheme val="minor"/>
      </rPr>
      <t>difficulity</t>
    </r>
    <r>
      <rPr>
        <sz val="10"/>
        <rFont val="Calibri"/>
        <family val="2"/>
        <scheme val="minor"/>
      </rPr>
      <t xml:space="preserve"> speaking/crying </t>
    </r>
    <r>
      <rPr>
        <b/>
        <sz val="10"/>
        <rFont val="Calibri"/>
        <family val="2"/>
        <scheme val="minor"/>
      </rPr>
      <t>between</t>
    </r>
    <r>
      <rPr>
        <sz val="10"/>
        <rFont val="Calibri"/>
        <family val="2"/>
        <scheme val="minor"/>
      </rPr>
      <t xml:space="preserve"> breaths?</t>
    </r>
  </si>
  <si>
    <r>
      <t xml:space="preserve">Does s/he have a </t>
    </r>
    <r>
      <rPr>
        <b/>
        <sz val="10"/>
        <rFont val="Calibri"/>
        <family val="2"/>
        <scheme val="minor"/>
      </rPr>
      <t>history</t>
    </r>
    <r>
      <rPr>
        <sz val="10"/>
        <rFont val="Calibri"/>
        <family val="2"/>
        <scheme val="minor"/>
      </rPr>
      <t xml:space="preserve"> of </t>
    </r>
    <r>
      <rPr>
        <b/>
        <sz val="10"/>
        <rFont val="Calibri"/>
        <family val="2"/>
        <scheme val="minor"/>
      </rPr>
      <t>heart</t>
    </r>
    <r>
      <rPr>
        <sz val="10"/>
        <rFont val="Calibri"/>
        <family val="2"/>
        <scheme val="minor"/>
      </rPr>
      <t xml:space="preserve"> </t>
    </r>
    <r>
      <rPr>
        <b/>
        <sz val="10"/>
        <rFont val="Calibri"/>
        <family val="2"/>
        <scheme val="minor"/>
      </rPr>
      <t>problems</t>
    </r>
    <r>
      <rPr>
        <sz val="10"/>
        <rFont val="Calibri"/>
        <family val="2"/>
        <scheme val="minor"/>
      </rPr>
      <t>?</t>
    </r>
  </si>
  <si>
    <r>
      <t xml:space="preserve">(A.I.C.D) Did it </t>
    </r>
    <r>
      <rPr>
        <b/>
        <sz val="10"/>
        <rFont val="Calibri"/>
        <family val="2"/>
        <scheme val="minor"/>
      </rPr>
      <t>fire</t>
    </r>
    <r>
      <rPr>
        <sz val="10"/>
        <rFont val="Calibri"/>
        <family val="2"/>
        <scheme val="minor"/>
      </rPr>
      <t xml:space="preserve"> (go off) in the </t>
    </r>
    <r>
      <rPr>
        <b/>
        <sz val="10"/>
        <rFont val="Calibri"/>
        <family val="2"/>
        <scheme val="minor"/>
      </rPr>
      <t>last 30Mins</t>
    </r>
    <r>
      <rPr>
        <sz val="10"/>
        <rFont val="Calibri"/>
        <family val="2"/>
        <scheme val="minor"/>
      </rPr>
      <t>?</t>
    </r>
  </si>
  <si>
    <r>
      <t xml:space="preserve">Does s/he have </t>
    </r>
    <r>
      <rPr>
        <b/>
        <sz val="10"/>
        <rFont val="Calibri"/>
        <family val="2"/>
        <scheme val="minor"/>
      </rPr>
      <t>chest</t>
    </r>
    <r>
      <rPr>
        <sz val="10"/>
        <rFont val="Calibri"/>
        <family val="2"/>
        <scheme val="minor"/>
      </rPr>
      <t xml:space="preserve"> </t>
    </r>
    <r>
      <rPr>
        <b/>
        <sz val="10"/>
        <rFont val="Calibri"/>
        <family val="2"/>
        <scheme val="minor"/>
      </rPr>
      <t>pain</t>
    </r>
    <r>
      <rPr>
        <sz val="10"/>
        <rFont val="Calibri"/>
        <family val="2"/>
        <scheme val="minor"/>
      </rPr>
      <t xml:space="preserve"> or </t>
    </r>
    <r>
      <rPr>
        <b/>
        <sz val="10"/>
        <rFont val="Calibri"/>
        <family val="2"/>
        <scheme val="minor"/>
      </rPr>
      <t>chest</t>
    </r>
    <r>
      <rPr>
        <sz val="10"/>
        <rFont val="Calibri"/>
        <family val="2"/>
        <scheme val="minor"/>
      </rPr>
      <t xml:space="preserve"> </t>
    </r>
    <r>
      <rPr>
        <b/>
        <sz val="10"/>
        <rFont val="Calibri"/>
        <family val="2"/>
        <scheme val="minor"/>
      </rPr>
      <t>discomfort</t>
    </r>
    <r>
      <rPr>
        <sz val="10"/>
        <rFont val="Calibri"/>
        <family val="2"/>
        <scheme val="minor"/>
      </rPr>
      <t>?</t>
    </r>
  </si>
  <si>
    <r>
      <t xml:space="preserve">Did s/he take any </t>
    </r>
    <r>
      <rPr>
        <b/>
        <sz val="10"/>
        <rFont val="Calibri"/>
        <family val="2"/>
        <scheme val="minor"/>
      </rPr>
      <t>drugs</t>
    </r>
    <r>
      <rPr>
        <sz val="10"/>
        <rFont val="Calibri"/>
        <family val="2"/>
        <scheme val="minor"/>
      </rPr>
      <t xml:space="preserve"> or </t>
    </r>
    <r>
      <rPr>
        <b/>
        <sz val="10"/>
        <rFont val="Calibri"/>
        <family val="2"/>
        <scheme val="minor"/>
      </rPr>
      <t>medications</t>
    </r>
    <r>
      <rPr>
        <sz val="10"/>
        <rFont val="Calibri"/>
        <family val="2"/>
        <scheme val="minor"/>
      </rPr>
      <t xml:space="preserve"> in the </t>
    </r>
    <r>
      <rPr>
        <b/>
        <sz val="10"/>
        <rFont val="Calibri"/>
        <family val="2"/>
        <scheme val="minor"/>
      </rPr>
      <t>past 12 hours</t>
    </r>
    <r>
      <rPr>
        <sz val="10"/>
        <rFont val="Calibri"/>
        <family val="2"/>
        <scheme val="minor"/>
      </rPr>
      <t>?</t>
    </r>
  </si>
  <si>
    <r>
      <t xml:space="preserve">I'm going to tell you how to </t>
    </r>
    <r>
      <rPr>
        <b/>
        <sz val="10"/>
        <rFont val="Calibri"/>
        <family val="2"/>
        <scheme val="minor"/>
      </rPr>
      <t>check</t>
    </r>
    <r>
      <rPr>
        <sz val="10"/>
        <rFont val="Calibri"/>
        <family val="2"/>
        <scheme val="minor"/>
      </rPr>
      <t xml:space="preserve"> her/his </t>
    </r>
    <r>
      <rPr>
        <b/>
        <sz val="10"/>
        <rFont val="Calibri"/>
        <family val="2"/>
        <scheme val="minor"/>
      </rPr>
      <t>pulse</t>
    </r>
    <r>
      <rPr>
        <sz val="10"/>
        <rFont val="Calibri"/>
        <family val="2"/>
        <scheme val="minor"/>
      </rPr>
      <t>.</t>
    </r>
  </si>
  <si>
    <r>
      <t xml:space="preserve">(&gt;35) Does s/he have </t>
    </r>
    <r>
      <rPr>
        <b/>
        <sz val="10"/>
        <rFont val="Calibri"/>
        <family val="2"/>
        <scheme val="minor"/>
      </rPr>
      <t>chest pain</t>
    </r>
    <r>
      <rPr>
        <sz val="10"/>
        <rFont val="Calibri"/>
        <family val="2"/>
        <scheme val="minor"/>
      </rPr>
      <t xml:space="preserve"> or </t>
    </r>
    <r>
      <rPr>
        <b/>
        <sz val="10"/>
        <rFont val="Calibri"/>
        <family val="2"/>
        <scheme val="minor"/>
      </rPr>
      <t>chest discomfort</t>
    </r>
    <r>
      <rPr>
        <sz val="10"/>
        <rFont val="Calibri"/>
        <family val="2"/>
        <scheme val="minor"/>
      </rPr>
      <t>?</t>
    </r>
  </si>
  <si>
    <r>
      <t xml:space="preserve">has s/he ever had a </t>
    </r>
    <r>
      <rPr>
        <b/>
        <sz val="10"/>
        <rFont val="Calibri"/>
        <family val="2"/>
        <scheme val="minor"/>
      </rPr>
      <t>heart attack</t>
    </r>
    <r>
      <rPr>
        <sz val="10"/>
        <rFont val="Calibri"/>
        <family val="2"/>
        <scheme val="minor"/>
      </rPr>
      <t xml:space="preserve"> or </t>
    </r>
    <r>
      <rPr>
        <b/>
        <sz val="10"/>
        <rFont val="Calibri"/>
        <family val="2"/>
        <scheme val="minor"/>
      </rPr>
      <t>angina</t>
    </r>
    <r>
      <rPr>
        <sz val="10"/>
        <rFont val="Calibri"/>
        <family val="2"/>
        <scheme val="minor"/>
      </rPr>
      <t xml:space="preserve"> (heart pains)</t>
    </r>
  </si>
  <si>
    <r>
      <t xml:space="preserve">(Not 1st party) Does s/he have a </t>
    </r>
    <r>
      <rPr>
        <b/>
        <sz val="10"/>
        <rFont val="Calibri"/>
        <family val="2"/>
        <scheme val="minor"/>
      </rPr>
      <t>change</t>
    </r>
    <r>
      <rPr>
        <sz val="10"/>
        <rFont val="Calibri"/>
        <family val="2"/>
        <scheme val="minor"/>
      </rPr>
      <t xml:space="preserve"> in </t>
    </r>
    <r>
      <rPr>
        <b/>
        <sz val="10"/>
        <rFont val="Calibri"/>
        <family val="2"/>
        <scheme val="minor"/>
      </rPr>
      <t>skin colo</t>
    </r>
    <r>
      <rPr>
        <sz val="10"/>
        <rFont val="Calibri"/>
        <family val="2"/>
        <scheme val="minor"/>
      </rPr>
      <t>r?</t>
    </r>
  </si>
  <si>
    <r>
      <t xml:space="preserve">What is her/his </t>
    </r>
    <r>
      <rPr>
        <b/>
        <sz val="10"/>
        <rFont val="Calibri"/>
        <family val="2"/>
        <scheme val="minor"/>
      </rPr>
      <t>skin temp.</t>
    </r>
    <r>
      <rPr>
        <sz val="10"/>
        <rFont val="Calibri"/>
        <family val="2"/>
        <scheme val="minor"/>
      </rPr>
      <t>?</t>
    </r>
  </si>
  <si>
    <r>
      <rPr>
        <b/>
        <sz val="10"/>
        <rFont val="Calibri"/>
        <family val="2"/>
        <scheme val="minor"/>
      </rPr>
      <t>Where</t>
    </r>
    <r>
      <rPr>
        <sz val="10"/>
        <rFont val="Calibri"/>
        <family val="2"/>
        <scheme val="minor"/>
      </rPr>
      <t xml:space="preserve"> is s/he </t>
    </r>
    <r>
      <rPr>
        <b/>
        <sz val="10"/>
        <rFont val="Calibri"/>
        <family val="2"/>
        <scheme val="minor"/>
      </rPr>
      <t>bleeding</t>
    </r>
    <r>
      <rPr>
        <sz val="10"/>
        <rFont val="Calibri"/>
        <family val="2"/>
        <scheme val="minor"/>
      </rPr>
      <t xml:space="preserve"> from?</t>
    </r>
  </si>
  <si>
    <r>
      <t xml:space="preserve">(Trauma) is the blood </t>
    </r>
    <r>
      <rPr>
        <b/>
        <sz val="10"/>
        <rFont val="Calibri"/>
        <family val="2"/>
        <scheme val="minor"/>
      </rPr>
      <t>spurting</t>
    </r>
    <r>
      <rPr>
        <sz val="10"/>
        <rFont val="Calibri"/>
        <family val="2"/>
        <scheme val="minor"/>
      </rPr>
      <t xml:space="preserve"> or </t>
    </r>
    <r>
      <rPr>
        <b/>
        <sz val="10"/>
        <rFont val="Calibri"/>
        <family val="2"/>
        <scheme val="minor"/>
      </rPr>
      <t>pouring</t>
    </r>
    <r>
      <rPr>
        <sz val="10"/>
        <rFont val="Calibri"/>
        <family val="2"/>
        <scheme val="minor"/>
      </rPr>
      <t xml:space="preserve"> out?</t>
    </r>
  </si>
  <si>
    <r>
      <t xml:space="preserve">(Medical) is the bleeding </t>
    </r>
    <r>
      <rPr>
        <b/>
        <sz val="10"/>
        <rFont val="Calibri"/>
        <family val="2"/>
        <scheme val="minor"/>
      </rPr>
      <t>SERIOUS</t>
    </r>
    <r>
      <rPr>
        <sz val="10"/>
        <rFont val="Calibri"/>
        <family val="2"/>
        <scheme val="minor"/>
      </rPr>
      <t>?</t>
    </r>
  </si>
  <si>
    <r>
      <t xml:space="preserve">Does s/he have a </t>
    </r>
    <r>
      <rPr>
        <b/>
        <sz val="10"/>
        <rFont val="Calibri"/>
        <family val="2"/>
        <scheme val="minor"/>
      </rPr>
      <t>bleeding disorder</t>
    </r>
    <r>
      <rPr>
        <sz val="10"/>
        <rFont val="Calibri"/>
        <family val="2"/>
        <scheme val="minor"/>
      </rPr>
      <t xml:space="preserve"> or is s/he on </t>
    </r>
    <r>
      <rPr>
        <b/>
        <sz val="10"/>
        <rFont val="Calibri"/>
        <family val="2"/>
        <scheme val="minor"/>
      </rPr>
      <t>blood thinners</t>
    </r>
  </si>
  <si>
    <r>
      <t xml:space="preserve">(No) Are there any obvious </t>
    </r>
    <r>
      <rPr>
        <b/>
        <sz val="10"/>
        <rFont val="Calibri"/>
        <family val="2"/>
        <scheme val="minor"/>
      </rPr>
      <t>injuries</t>
    </r>
    <r>
      <rPr>
        <sz val="10"/>
        <rFont val="Calibri"/>
        <family val="2"/>
        <scheme val="minor"/>
      </rPr>
      <t>?</t>
    </r>
  </si>
  <si>
    <r>
      <t xml:space="preserve">(Yes) What </t>
    </r>
    <r>
      <rPr>
        <b/>
        <sz val="10"/>
        <rFont val="Calibri"/>
        <family val="2"/>
        <scheme val="minor"/>
      </rPr>
      <t>part</t>
    </r>
    <r>
      <rPr>
        <sz val="10"/>
        <rFont val="Calibri"/>
        <family val="2"/>
        <scheme val="minor"/>
      </rPr>
      <t xml:space="preserve"> of the body is </t>
    </r>
    <r>
      <rPr>
        <b/>
        <sz val="10"/>
        <rFont val="Calibri"/>
        <family val="2"/>
        <scheme val="minor"/>
      </rPr>
      <t>trapped</t>
    </r>
    <r>
      <rPr>
        <sz val="10"/>
        <rFont val="Calibri"/>
        <family val="2"/>
        <scheme val="minor"/>
      </rPr>
      <t>?</t>
    </r>
  </si>
  <si>
    <r>
      <t>(Unknown) Where was s/he</t>
    </r>
    <r>
      <rPr>
        <b/>
        <sz val="10"/>
        <rFont val="Calibri"/>
        <family val="2"/>
        <scheme val="minor"/>
      </rPr>
      <t xml:space="preserve"> last seen</t>
    </r>
    <r>
      <rPr>
        <sz val="10"/>
        <rFont val="Calibri"/>
        <family val="2"/>
        <scheme val="minor"/>
      </rPr>
      <t>?</t>
    </r>
  </si>
  <si>
    <r>
      <t xml:space="preserve">(Above/Below)What is her/his approx. </t>
    </r>
    <r>
      <rPr>
        <b/>
        <sz val="10"/>
        <rFont val="Calibri"/>
        <family val="2"/>
        <scheme val="minor"/>
      </rPr>
      <t>distance</t>
    </r>
    <r>
      <rPr>
        <sz val="10"/>
        <rFont val="Calibri"/>
        <family val="2"/>
        <scheme val="minor"/>
      </rPr>
      <t xml:space="preserve"> from the </t>
    </r>
    <r>
      <rPr>
        <b/>
        <sz val="10"/>
        <rFont val="Calibri"/>
        <family val="2"/>
        <scheme val="minor"/>
      </rPr>
      <t>ground</t>
    </r>
    <r>
      <rPr>
        <sz val="10"/>
        <rFont val="Calibri"/>
        <family val="2"/>
        <scheme val="minor"/>
      </rPr>
      <t>?</t>
    </r>
  </si>
  <si>
    <r>
      <t xml:space="preserve">Will we have any </t>
    </r>
    <r>
      <rPr>
        <b/>
        <sz val="10"/>
        <rFont val="Calibri"/>
        <family val="2"/>
        <scheme val="minor"/>
      </rPr>
      <t>problems</t>
    </r>
    <r>
      <rPr>
        <sz val="10"/>
        <rFont val="Calibri"/>
        <family val="2"/>
        <scheme val="minor"/>
      </rPr>
      <t xml:space="preserve"> easily </t>
    </r>
    <r>
      <rPr>
        <b/>
        <sz val="10"/>
        <rFont val="Calibri"/>
        <family val="2"/>
        <scheme val="minor"/>
      </rPr>
      <t>reaching</t>
    </r>
    <r>
      <rPr>
        <sz val="10"/>
        <rFont val="Calibri"/>
        <family val="2"/>
        <scheme val="minor"/>
      </rPr>
      <t xml:space="preserve"> him/her?</t>
    </r>
  </si>
  <si>
    <r>
      <t xml:space="preserve">(Yes) What </t>
    </r>
    <r>
      <rPr>
        <b/>
        <sz val="10"/>
        <rFont val="Calibri"/>
        <family val="2"/>
        <scheme val="minor"/>
      </rPr>
      <t>problems</t>
    </r>
    <r>
      <rPr>
        <sz val="10"/>
        <rFont val="Calibri"/>
        <family val="2"/>
        <scheme val="minor"/>
      </rPr>
      <t xml:space="preserve"> will we have?</t>
    </r>
  </si>
  <si>
    <r>
      <t xml:space="preserve">(Appropriate) Was this </t>
    </r>
    <r>
      <rPr>
        <b/>
        <sz val="10"/>
        <rFont val="Calibri"/>
        <family val="2"/>
        <scheme val="minor"/>
      </rPr>
      <t>accidental</t>
    </r>
    <r>
      <rPr>
        <sz val="10"/>
        <rFont val="Calibri"/>
        <family val="2"/>
        <scheme val="minor"/>
      </rPr>
      <t xml:space="preserve"> or </t>
    </r>
    <r>
      <rPr>
        <b/>
        <sz val="10"/>
        <rFont val="Calibri"/>
        <family val="2"/>
        <scheme val="minor"/>
      </rPr>
      <t>intentional</t>
    </r>
  </si>
  <si>
    <r>
      <t xml:space="preserve">(Suspected and &gt;8) Is s/he </t>
    </r>
    <r>
      <rPr>
        <b/>
        <sz val="10"/>
        <rFont val="Calibri"/>
        <family val="2"/>
        <scheme val="minor"/>
      </rPr>
      <t>violent</t>
    </r>
    <r>
      <rPr>
        <sz val="10"/>
        <rFont val="Calibri"/>
        <family val="2"/>
        <scheme val="minor"/>
      </rPr>
      <t>?</t>
    </r>
  </si>
  <si>
    <r>
      <t xml:space="preserve">(OVERDOSE) Does s/he have a </t>
    </r>
    <r>
      <rPr>
        <b/>
        <sz val="10"/>
        <rFont val="Calibri"/>
        <family val="2"/>
        <scheme val="minor"/>
      </rPr>
      <t>weapon</t>
    </r>
    <r>
      <rPr>
        <sz val="10"/>
        <rFont val="Calibri"/>
        <family val="2"/>
        <scheme val="minor"/>
      </rPr>
      <t>?</t>
    </r>
  </si>
  <si>
    <r>
      <rPr>
        <b/>
        <sz val="10"/>
        <rFont val="Calibri"/>
        <family val="2"/>
        <scheme val="minor"/>
      </rPr>
      <t>What</t>
    </r>
    <r>
      <rPr>
        <sz val="10"/>
        <rFont val="Calibri"/>
        <family val="2"/>
        <scheme val="minor"/>
      </rPr>
      <t xml:space="preserve"> did s/he </t>
    </r>
    <r>
      <rPr>
        <b/>
        <sz val="10"/>
        <rFont val="Calibri"/>
        <family val="2"/>
        <scheme val="minor"/>
      </rPr>
      <t>take</t>
    </r>
    <r>
      <rPr>
        <sz val="10"/>
        <rFont val="Calibri"/>
        <family val="2"/>
        <scheme val="minor"/>
      </rPr>
      <t>?</t>
    </r>
  </si>
  <si>
    <r>
      <rPr>
        <b/>
        <sz val="10"/>
        <rFont val="Calibri"/>
        <family val="2"/>
        <scheme val="minor"/>
      </rPr>
      <t>When</t>
    </r>
    <r>
      <rPr>
        <sz val="10"/>
        <rFont val="Calibri"/>
        <family val="2"/>
        <scheme val="minor"/>
      </rPr>
      <t xml:space="preserve"> did s/he take it?</t>
    </r>
  </si>
  <si>
    <r>
      <t xml:space="preserve">How many </t>
    </r>
    <r>
      <rPr>
        <b/>
        <sz val="10"/>
        <rFont val="Calibri"/>
        <family val="2"/>
        <scheme val="minor"/>
      </rPr>
      <t>weeks</t>
    </r>
    <r>
      <rPr>
        <sz val="10"/>
        <rFont val="Calibri"/>
        <family val="2"/>
        <scheme val="minor"/>
      </rPr>
      <t xml:space="preserve"> (or </t>
    </r>
    <r>
      <rPr>
        <b/>
        <sz val="10"/>
        <rFont val="Calibri"/>
        <family val="2"/>
        <scheme val="minor"/>
      </rPr>
      <t>months</t>
    </r>
    <r>
      <rPr>
        <sz val="10"/>
        <rFont val="Calibri"/>
        <family val="2"/>
        <scheme val="minor"/>
      </rPr>
      <t>) pregnant is she?</t>
    </r>
  </si>
  <si>
    <r>
      <t xml:space="preserve">(&gt;6M/24Wks)Can yhou </t>
    </r>
    <r>
      <rPr>
        <b/>
        <sz val="10"/>
        <rFont val="Calibri"/>
        <family val="2"/>
        <scheme val="minor"/>
      </rPr>
      <t>see</t>
    </r>
    <r>
      <rPr>
        <sz val="10"/>
        <rFont val="Calibri"/>
        <family val="2"/>
        <scheme val="minor"/>
      </rPr>
      <t xml:space="preserve"> (</t>
    </r>
    <r>
      <rPr>
        <b/>
        <sz val="10"/>
        <rFont val="Calibri"/>
        <family val="2"/>
        <scheme val="minor"/>
      </rPr>
      <t>feel</t>
    </r>
    <r>
      <rPr>
        <sz val="10"/>
        <rFont val="Calibri"/>
        <family val="2"/>
        <scheme val="minor"/>
      </rPr>
      <t xml:space="preserve"> or </t>
    </r>
    <r>
      <rPr>
        <b/>
        <sz val="10"/>
        <rFont val="Calibri"/>
        <family val="2"/>
        <scheme val="minor"/>
      </rPr>
      <t>touch</t>
    </r>
    <r>
      <rPr>
        <sz val="10"/>
        <rFont val="Calibri"/>
        <family val="2"/>
        <scheme val="minor"/>
      </rPr>
      <t xml:space="preserve">) any part of the </t>
    </r>
    <r>
      <rPr>
        <b/>
        <sz val="10"/>
        <rFont val="Calibri"/>
        <family val="2"/>
        <scheme val="minor"/>
      </rPr>
      <t>baby</t>
    </r>
    <r>
      <rPr>
        <sz val="10"/>
        <rFont val="Calibri"/>
        <family val="2"/>
        <scheme val="minor"/>
      </rPr>
      <t xml:space="preserve"> now?</t>
    </r>
  </si>
  <si>
    <r>
      <t xml:space="preserve">(&gt;6Months/24Weeks) Is she having </t>
    </r>
    <r>
      <rPr>
        <b/>
        <sz val="10"/>
        <rFont val="Calibri"/>
        <family val="2"/>
        <scheme val="minor"/>
      </rPr>
      <t>contractions</t>
    </r>
    <r>
      <rPr>
        <sz val="10"/>
        <rFont val="Calibri"/>
        <family val="2"/>
        <scheme val="minor"/>
      </rPr>
      <t xml:space="preserve"> (labor pains)?</t>
    </r>
  </si>
  <si>
    <r>
      <t xml:space="preserve">(Yes) Is this her </t>
    </r>
    <r>
      <rPr>
        <b/>
        <sz val="10"/>
        <rFont val="Calibri"/>
        <family val="2"/>
        <scheme val="minor"/>
      </rPr>
      <t>first</t>
    </r>
    <r>
      <rPr>
        <sz val="10"/>
        <rFont val="Calibri"/>
        <family val="2"/>
        <scheme val="minor"/>
      </rPr>
      <t xml:space="preserve"> delivery?</t>
    </r>
  </si>
  <si>
    <r>
      <t xml:space="preserve">(Yes) How many </t>
    </r>
    <r>
      <rPr>
        <b/>
        <sz val="10"/>
        <rFont val="Calibri"/>
        <family val="2"/>
        <scheme val="minor"/>
      </rPr>
      <t>minutes apart</t>
    </r>
    <r>
      <rPr>
        <sz val="10"/>
        <rFont val="Calibri"/>
        <family val="2"/>
        <scheme val="minor"/>
      </rPr>
      <t xml:space="preserve"> are the contractions (labor pains)?</t>
    </r>
  </si>
  <si>
    <r>
      <t xml:space="preserve">(&lt;6 months/24weeks) Does she have </t>
    </r>
    <r>
      <rPr>
        <b/>
        <sz val="10"/>
        <rFont val="Calibri"/>
        <family val="2"/>
        <scheme val="minor"/>
      </rPr>
      <t>abdominal</t>
    </r>
    <r>
      <rPr>
        <sz val="10"/>
        <rFont val="Calibri"/>
        <family val="2"/>
        <scheme val="minor"/>
      </rPr>
      <t xml:space="preserve"> pain?</t>
    </r>
  </si>
  <si>
    <r>
      <t xml:space="preserve">Is there any </t>
    </r>
    <r>
      <rPr>
        <b/>
        <sz val="10"/>
        <rFont val="Calibri"/>
        <family val="2"/>
        <scheme val="minor"/>
      </rPr>
      <t>Serious bleeding</t>
    </r>
    <r>
      <rPr>
        <sz val="10"/>
        <rFont val="Calibri"/>
        <family val="2"/>
        <scheme val="minor"/>
      </rPr>
      <t xml:space="preserve"> (spourting or pouring)?</t>
    </r>
  </si>
  <si>
    <r>
      <t xml:space="preserve">Does she have any </t>
    </r>
    <r>
      <rPr>
        <b/>
        <sz val="10"/>
        <rFont val="Calibri"/>
        <family val="2"/>
        <scheme val="minor"/>
      </rPr>
      <t>HIGH RIS</t>
    </r>
    <r>
      <rPr>
        <sz val="10"/>
        <rFont val="Calibri"/>
        <family val="2"/>
        <scheme val="minor"/>
      </rPr>
      <t>K complications?</t>
    </r>
  </si>
  <si>
    <r>
      <t xml:space="preserve">Does s/he have a </t>
    </r>
    <r>
      <rPr>
        <b/>
        <sz val="10"/>
        <rFont val="Calibri"/>
        <family val="2"/>
        <scheme val="minor"/>
      </rPr>
      <t>weapon</t>
    </r>
    <r>
      <rPr>
        <sz val="10"/>
        <rFont val="Calibri"/>
        <family val="2"/>
        <scheme val="minor"/>
      </rPr>
      <t>?</t>
    </r>
  </si>
  <si>
    <r>
      <t>Is this a</t>
    </r>
    <r>
      <rPr>
        <b/>
        <sz val="10"/>
        <rFont val="Calibri"/>
        <family val="2"/>
        <scheme val="minor"/>
      </rPr>
      <t xml:space="preserve"> suicide attempt</t>
    </r>
    <r>
      <rPr>
        <sz val="10"/>
        <rFont val="Calibri"/>
        <family val="2"/>
        <scheme val="minor"/>
      </rPr>
      <t>?</t>
    </r>
  </si>
  <si>
    <r>
      <t xml:space="preserve">(No) Is s/he </t>
    </r>
    <r>
      <rPr>
        <b/>
        <sz val="10"/>
        <rFont val="Calibri"/>
        <family val="2"/>
        <scheme val="minor"/>
      </rPr>
      <t>thinking</t>
    </r>
    <r>
      <rPr>
        <sz val="10"/>
        <rFont val="Calibri"/>
        <family val="2"/>
        <scheme val="minor"/>
      </rPr>
      <t xml:space="preserve"> about committing </t>
    </r>
    <r>
      <rPr>
        <b/>
        <sz val="10"/>
        <rFont val="Calibri"/>
        <family val="2"/>
        <scheme val="minor"/>
      </rPr>
      <t>suicide</t>
    </r>
    <r>
      <rPr>
        <sz val="10"/>
        <rFont val="Calibri"/>
        <family val="2"/>
        <scheme val="minor"/>
      </rPr>
      <t>?</t>
    </r>
  </si>
  <si>
    <r>
      <t xml:space="preserve">(Laceration) </t>
    </r>
    <r>
      <rPr>
        <b/>
        <sz val="10"/>
        <rFont val="Calibri"/>
        <family val="2"/>
        <scheme val="minor"/>
      </rPr>
      <t>Where</t>
    </r>
    <r>
      <rPr>
        <sz val="10"/>
        <rFont val="Calibri"/>
        <family val="2"/>
        <scheme val="minor"/>
      </rPr>
      <t xml:space="preserve"> is s/he </t>
    </r>
    <r>
      <rPr>
        <b/>
        <sz val="10"/>
        <rFont val="Calibri"/>
        <family val="2"/>
        <scheme val="minor"/>
      </rPr>
      <t>cut</t>
    </r>
    <r>
      <rPr>
        <sz val="10"/>
        <rFont val="Calibri"/>
        <family val="2"/>
        <scheme val="minor"/>
      </rPr>
      <t>?</t>
    </r>
  </si>
  <si>
    <r>
      <t xml:space="preserve">(Laceration) 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(spourting or pouring)</t>
    </r>
  </si>
  <si>
    <r>
      <t xml:space="preserve">Does s/he </t>
    </r>
    <r>
      <rPr>
        <b/>
        <sz val="10"/>
        <rFont val="Calibri"/>
        <family val="2"/>
        <scheme val="minor"/>
      </rPr>
      <t>have difficulty breathing</t>
    </r>
    <r>
      <rPr>
        <sz val="10"/>
        <rFont val="Calibri"/>
        <family val="2"/>
        <scheme val="minor"/>
      </rPr>
      <t>?</t>
    </r>
  </si>
  <si>
    <r>
      <t xml:space="preserve">Is s/he </t>
    </r>
    <r>
      <rPr>
        <b/>
        <sz val="10"/>
        <rFont val="Calibri"/>
        <family val="2"/>
        <scheme val="minor"/>
      </rPr>
      <t>bleeding</t>
    </r>
    <r>
      <rPr>
        <sz val="10"/>
        <rFont val="Calibri"/>
        <family val="2"/>
        <scheme val="minor"/>
      </rPr>
      <t xml:space="preserve"> or </t>
    </r>
    <r>
      <rPr>
        <b/>
        <sz val="10"/>
        <rFont val="Calibri"/>
        <family val="2"/>
        <scheme val="minor"/>
      </rPr>
      <t>vomiting blood</t>
    </r>
    <r>
      <rPr>
        <sz val="10"/>
        <rFont val="Calibri"/>
        <family val="2"/>
        <scheme val="minor"/>
      </rPr>
      <t>?</t>
    </r>
  </si>
  <si>
    <r>
      <t xml:space="preserve">(Alert) Does s/he have any </t>
    </r>
    <r>
      <rPr>
        <b/>
        <sz val="10"/>
        <rFont val="Calibri"/>
        <family val="2"/>
        <scheme val="minor"/>
      </rPr>
      <t>pain</t>
    </r>
    <r>
      <rPr>
        <sz val="10"/>
        <rFont val="Calibri"/>
        <family val="2"/>
        <scheme val="minor"/>
      </rPr>
      <t>?</t>
    </r>
  </si>
  <si>
    <r>
      <t xml:space="preserve">(Obvious death) Do you think s/he is </t>
    </r>
    <r>
      <rPr>
        <b/>
        <sz val="10"/>
        <rFont val="Calibri"/>
        <family val="2"/>
        <scheme val="minor"/>
      </rPr>
      <t>beyond</t>
    </r>
    <r>
      <rPr>
        <sz val="10"/>
        <rFont val="Calibri"/>
        <family val="2"/>
        <scheme val="minor"/>
      </rPr>
      <t xml:space="preserve"> any </t>
    </r>
    <r>
      <rPr>
        <b/>
        <sz val="10"/>
        <rFont val="Calibri"/>
        <family val="2"/>
        <scheme val="minor"/>
      </rPr>
      <t>help</t>
    </r>
    <r>
      <rPr>
        <sz val="10"/>
        <rFont val="Calibri"/>
        <family val="2"/>
        <scheme val="minor"/>
      </rPr>
      <t>?</t>
    </r>
  </si>
  <si>
    <r>
      <t xml:space="preserve">Is the </t>
    </r>
    <r>
      <rPr>
        <b/>
        <sz val="10"/>
        <rFont val="Calibri"/>
        <family val="2"/>
        <scheme val="minor"/>
      </rPr>
      <t>assailant</t>
    </r>
    <r>
      <rPr>
        <sz val="10"/>
        <rFont val="Calibri"/>
        <family val="2"/>
        <scheme val="minor"/>
      </rPr>
      <t xml:space="preserve"> (attacker) </t>
    </r>
    <r>
      <rPr>
        <b/>
        <sz val="10"/>
        <rFont val="Calibri"/>
        <family val="2"/>
        <scheme val="minor"/>
      </rPr>
      <t>still</t>
    </r>
    <r>
      <rPr>
        <sz val="10"/>
        <rFont val="Calibri"/>
        <family val="2"/>
        <scheme val="minor"/>
      </rPr>
      <t xml:space="preserve"> </t>
    </r>
    <r>
      <rPr>
        <b/>
        <sz val="10"/>
        <rFont val="Calibri"/>
        <family val="2"/>
        <scheme val="minor"/>
      </rPr>
      <t>nearby</t>
    </r>
    <r>
      <rPr>
        <sz val="10"/>
        <rFont val="Calibri"/>
        <family val="2"/>
        <scheme val="minor"/>
      </rPr>
      <t>?</t>
    </r>
  </si>
  <si>
    <r>
      <t xml:space="preserve">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(spourting or pouring)?</t>
    </r>
  </si>
  <si>
    <r>
      <t xml:space="preserve">Is there </t>
    </r>
    <r>
      <rPr>
        <b/>
        <sz val="10"/>
        <rFont val="Calibri"/>
        <family val="2"/>
        <scheme val="minor"/>
      </rPr>
      <t>more</t>
    </r>
    <r>
      <rPr>
        <sz val="10"/>
        <rFont val="Calibri"/>
        <family val="2"/>
        <scheme val="minor"/>
      </rPr>
      <t xml:space="preserve"> than </t>
    </r>
    <r>
      <rPr>
        <b/>
        <sz val="10"/>
        <rFont val="Calibri"/>
        <family val="2"/>
        <scheme val="minor"/>
      </rPr>
      <t>one</t>
    </r>
    <r>
      <rPr>
        <sz val="10"/>
        <rFont val="Calibri"/>
        <family val="2"/>
        <scheme val="minor"/>
      </rPr>
      <t xml:space="preserve"> </t>
    </r>
    <r>
      <rPr>
        <b/>
        <sz val="10"/>
        <rFont val="Calibri"/>
        <family val="2"/>
        <scheme val="minor"/>
      </rPr>
      <t>wound</t>
    </r>
    <r>
      <rPr>
        <sz val="10"/>
        <rFont val="Calibri"/>
        <family val="2"/>
        <scheme val="minor"/>
      </rPr>
      <t>?</t>
    </r>
  </si>
  <si>
    <r>
      <t xml:space="preserve">Exactly </t>
    </r>
    <r>
      <rPr>
        <b/>
        <sz val="10"/>
        <rFont val="Calibri"/>
        <family val="2"/>
        <scheme val="minor"/>
      </rPr>
      <t>what time</t>
    </r>
    <r>
      <rPr>
        <sz val="10"/>
        <rFont val="Calibri"/>
        <family val="2"/>
        <scheme val="minor"/>
      </rPr>
      <t xml:space="preserve"> did these symptoms (problems) </t>
    </r>
    <r>
      <rPr>
        <b/>
        <sz val="10"/>
        <rFont val="Calibri"/>
        <family val="2"/>
        <scheme val="minor"/>
      </rPr>
      <t>start</t>
    </r>
    <r>
      <rPr>
        <sz val="10"/>
        <rFont val="Calibri"/>
        <family val="2"/>
        <scheme val="minor"/>
      </rPr>
      <t>?</t>
    </r>
  </si>
  <si>
    <r>
      <t xml:space="preserve">(Unk) When was the </t>
    </r>
    <r>
      <rPr>
        <b/>
        <sz val="10"/>
        <rFont val="Calibri"/>
        <family val="2"/>
        <scheme val="minor"/>
      </rPr>
      <t>last time</t>
    </r>
    <r>
      <rPr>
        <sz val="10"/>
        <rFont val="Calibri"/>
        <family val="2"/>
        <scheme val="minor"/>
      </rPr>
      <t xml:space="preserve"> s/he was </t>
    </r>
    <r>
      <rPr>
        <b/>
        <sz val="10"/>
        <rFont val="Calibri"/>
        <family val="2"/>
        <scheme val="minor"/>
      </rPr>
      <t>seen</t>
    </r>
    <r>
      <rPr>
        <sz val="10"/>
        <rFont val="Calibri"/>
        <family val="2"/>
        <scheme val="minor"/>
      </rPr>
      <t xml:space="preserve"> to be </t>
    </r>
    <r>
      <rPr>
        <b/>
        <sz val="10"/>
        <rFont val="Calibri"/>
        <family val="2"/>
        <scheme val="minor"/>
      </rPr>
      <t>normal</t>
    </r>
    <r>
      <rPr>
        <sz val="10"/>
        <rFont val="Calibri"/>
        <family val="2"/>
        <scheme val="minor"/>
      </rPr>
      <t>?</t>
    </r>
  </si>
  <si>
    <r>
      <t xml:space="preserve">Has s/he ever had a </t>
    </r>
    <r>
      <rPr>
        <b/>
        <sz val="10"/>
        <rFont val="Calibri"/>
        <family val="2"/>
        <scheme val="minor"/>
      </rPr>
      <t>STROKE</t>
    </r>
    <r>
      <rPr>
        <sz val="10"/>
        <rFont val="Calibri"/>
        <family val="2"/>
        <scheme val="minor"/>
      </rPr>
      <t xml:space="preserve"> before?</t>
    </r>
  </si>
  <si>
    <r>
      <t xml:space="preserve">(Suspected) Are there any </t>
    </r>
    <r>
      <rPr>
        <b/>
        <sz val="10"/>
        <rFont val="Calibri"/>
        <family val="2"/>
        <scheme val="minor"/>
      </rPr>
      <t>chemicals</t>
    </r>
    <r>
      <rPr>
        <sz val="10"/>
        <rFont val="Calibri"/>
        <family val="2"/>
        <scheme val="minor"/>
      </rPr>
      <t xml:space="preserve"> or other </t>
    </r>
    <r>
      <rPr>
        <b/>
        <sz val="10"/>
        <rFont val="Calibri"/>
        <family val="2"/>
        <scheme val="minor"/>
      </rPr>
      <t>Hazmat</t>
    </r>
    <r>
      <rPr>
        <sz val="10"/>
        <rFont val="Calibri"/>
        <family val="2"/>
        <scheme val="minor"/>
      </rPr>
      <t xml:space="preserve"> involved</t>
    </r>
  </si>
  <si>
    <r>
      <t xml:space="preserve">Is anyone </t>
    </r>
    <r>
      <rPr>
        <b/>
        <sz val="10"/>
        <rFont val="Calibri"/>
        <family val="2"/>
        <scheme val="minor"/>
      </rPr>
      <t>pinned</t>
    </r>
    <r>
      <rPr>
        <sz val="10"/>
        <rFont val="Calibri"/>
        <family val="2"/>
        <scheme val="minor"/>
      </rPr>
      <t xml:space="preserve"> (trapped)?</t>
    </r>
  </si>
  <si>
    <r>
      <t xml:space="preserve">(Vehicle only) Was anyone </t>
    </r>
    <r>
      <rPr>
        <b/>
        <sz val="10"/>
        <rFont val="Calibri"/>
        <family val="2"/>
        <scheme val="minor"/>
      </rPr>
      <t>thrown</t>
    </r>
    <r>
      <rPr>
        <sz val="10"/>
        <rFont val="Calibri"/>
        <family val="2"/>
        <scheme val="minor"/>
      </rPr>
      <t xml:space="preserve"> from the vehicle?</t>
    </r>
  </si>
  <si>
    <r>
      <t xml:space="preserve">Does everyone appear to be </t>
    </r>
    <r>
      <rPr>
        <b/>
        <sz val="10"/>
        <rFont val="Calibri"/>
        <family val="2"/>
        <scheme val="minor"/>
      </rPr>
      <t>completely awake</t>
    </r>
    <r>
      <rPr>
        <sz val="10"/>
        <rFont val="Calibri"/>
        <family val="2"/>
        <scheme val="minor"/>
      </rPr>
      <t xml:space="preserve"> (alert)?</t>
    </r>
  </si>
  <si>
    <r>
      <t xml:space="preserve">(Yes) Is her/his breathing </t>
    </r>
    <r>
      <rPr>
        <b/>
        <sz val="10"/>
        <rFont val="Calibri"/>
        <family val="2"/>
        <scheme val="minor"/>
      </rPr>
      <t>noisy</t>
    </r>
    <r>
      <rPr>
        <sz val="10"/>
        <rFont val="Calibri"/>
        <family val="2"/>
        <scheme val="minor"/>
      </rPr>
      <t xml:space="preserve"> (not normal)?</t>
    </r>
  </si>
  <si>
    <r>
      <t xml:space="preserve">Are there any obvious </t>
    </r>
    <r>
      <rPr>
        <b/>
        <sz val="10"/>
        <rFont val="Calibri"/>
        <family val="2"/>
        <scheme val="minor"/>
      </rPr>
      <t>injuries</t>
    </r>
    <r>
      <rPr>
        <sz val="10"/>
        <rFont val="Calibri"/>
        <family val="2"/>
        <scheme val="minor"/>
      </rPr>
      <t>?</t>
    </r>
  </si>
  <si>
    <r>
      <t xml:space="preserve">(Yes) 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(spurting or pouring)?</t>
    </r>
  </si>
  <si>
    <r>
      <t xml:space="preserve">(Chest or Neck) Is s/he having any </t>
    </r>
    <r>
      <rPr>
        <b/>
        <sz val="10"/>
        <rFont val="Calibri"/>
        <family val="2"/>
        <scheme val="minor"/>
      </rPr>
      <t>difficulity</t>
    </r>
    <r>
      <rPr>
        <sz val="10"/>
        <rFont val="Calibri"/>
        <family val="2"/>
        <scheme val="minor"/>
      </rPr>
      <t xml:space="preserve"> </t>
    </r>
    <r>
      <rPr>
        <b/>
        <sz val="10"/>
        <rFont val="Calibri"/>
        <family val="2"/>
        <scheme val="minor"/>
      </rPr>
      <t>breating</t>
    </r>
    <r>
      <rPr>
        <sz val="10"/>
        <rFont val="Calibri"/>
        <family val="2"/>
        <scheme val="minor"/>
      </rPr>
      <t>?</t>
    </r>
  </si>
  <si>
    <r>
      <t xml:space="preserve">(Not Dangerous body area only) Is it </t>
    </r>
    <r>
      <rPr>
        <b/>
        <sz val="10"/>
        <rFont val="Calibri"/>
        <family val="2"/>
        <scheme val="minor"/>
      </rPr>
      <t>obviously</t>
    </r>
    <r>
      <rPr>
        <sz val="10"/>
        <rFont val="Calibri"/>
        <family val="2"/>
        <scheme val="minor"/>
      </rPr>
      <t xml:space="preserve"> bent</t>
    </r>
    <r>
      <rPr>
        <b/>
        <sz val="10"/>
        <rFont val="Calibri"/>
        <family val="2"/>
        <scheme val="minor"/>
      </rPr>
      <t xml:space="preserve"> out of shape</t>
    </r>
    <r>
      <rPr>
        <sz val="10"/>
        <rFont val="Calibri"/>
        <family val="2"/>
        <scheme val="minor"/>
      </rPr>
      <t>?</t>
    </r>
  </si>
  <si>
    <r>
      <t xml:space="preserve">(Amputation) Have the </t>
    </r>
    <r>
      <rPr>
        <b/>
        <sz val="10"/>
        <rFont val="Calibri"/>
        <family val="2"/>
        <scheme val="minor"/>
      </rPr>
      <t>parts</t>
    </r>
    <r>
      <rPr>
        <sz val="10"/>
        <rFont val="Calibri"/>
        <family val="2"/>
        <scheme val="minor"/>
      </rPr>
      <t xml:space="preserve"> been </t>
    </r>
    <r>
      <rPr>
        <b/>
        <sz val="10"/>
        <rFont val="Calibri"/>
        <family val="2"/>
        <scheme val="minor"/>
      </rPr>
      <t>found</t>
    </r>
    <r>
      <rPr>
        <sz val="10"/>
        <rFont val="Calibri"/>
        <family val="2"/>
        <scheme val="minor"/>
      </rPr>
      <t>?</t>
    </r>
  </si>
  <si>
    <r>
      <t xml:space="preserve">Is her/his breathing </t>
    </r>
    <r>
      <rPr>
        <b/>
        <sz val="10"/>
        <rFont val="Calibri"/>
        <family val="2"/>
        <scheme val="minor"/>
      </rPr>
      <t>completely norma</t>
    </r>
    <r>
      <rPr>
        <sz val="10"/>
        <rFont val="Calibri"/>
        <family val="2"/>
        <scheme val="minor"/>
      </rPr>
      <t>l?</t>
    </r>
  </si>
  <si>
    <r>
      <t xml:space="preserve">(Initially uncon) Is s/he still </t>
    </r>
    <r>
      <rPr>
        <b/>
        <sz val="10"/>
        <rFont val="Calibri"/>
        <family val="2"/>
        <scheme val="minor"/>
      </rPr>
      <t>unconscious</t>
    </r>
    <r>
      <rPr>
        <sz val="10"/>
        <rFont val="Calibri"/>
        <family val="2"/>
        <scheme val="minor"/>
      </rPr>
      <t>?</t>
    </r>
  </si>
  <si>
    <r>
      <t xml:space="preserve">(Conscious) Is s/he </t>
    </r>
    <r>
      <rPr>
        <b/>
        <sz val="10"/>
        <rFont val="Calibri"/>
        <family val="2"/>
        <scheme val="minor"/>
      </rPr>
      <t xml:space="preserve">completely alert </t>
    </r>
    <r>
      <rPr>
        <sz val="10"/>
        <rFont val="Calibri"/>
        <family val="2"/>
        <scheme val="minor"/>
      </rPr>
      <t>(responding appropriately)</t>
    </r>
  </si>
  <si>
    <r>
      <t xml:space="preserve">(Female 12-50) Does she have </t>
    </r>
    <r>
      <rPr>
        <b/>
        <sz val="10"/>
        <rFont val="Calibri"/>
        <family val="2"/>
        <scheme val="minor"/>
      </rPr>
      <t>abdominal</t>
    </r>
    <r>
      <rPr>
        <sz val="10"/>
        <rFont val="Calibri"/>
        <family val="2"/>
        <scheme val="minor"/>
      </rPr>
      <t xml:space="preserve"> pain?</t>
    </r>
  </si>
  <si>
    <r>
      <t xml:space="preserve">Does s/he appear to be </t>
    </r>
    <r>
      <rPr>
        <b/>
        <sz val="10"/>
        <rFont val="Calibri"/>
        <family val="2"/>
        <scheme val="minor"/>
      </rPr>
      <t>completely awake</t>
    </r>
    <r>
      <rPr>
        <sz val="10"/>
        <rFont val="Calibri"/>
        <family val="2"/>
        <scheme val="minor"/>
      </rPr>
      <t xml:space="preserve"> (alert)</t>
    </r>
  </si>
  <si>
    <r>
      <t>Did you ever hear her/him</t>
    </r>
    <r>
      <rPr>
        <b/>
        <sz val="10"/>
        <rFont val="Calibri"/>
        <family val="2"/>
        <scheme val="minor"/>
      </rPr>
      <t xml:space="preserve"> talk/cry</t>
    </r>
    <r>
      <rPr>
        <sz val="10"/>
        <rFont val="Calibri"/>
        <family val="2"/>
        <scheme val="minor"/>
      </rPr>
      <t>?</t>
    </r>
  </si>
  <si>
    <r>
      <t xml:space="preserve">What is s/he </t>
    </r>
    <r>
      <rPr>
        <b/>
        <sz val="10"/>
        <rFont val="Calibri"/>
        <family val="2"/>
        <scheme val="minor"/>
      </rPr>
      <t>doing</t>
    </r>
    <r>
      <rPr>
        <sz val="10"/>
        <rFont val="Calibri"/>
        <family val="2"/>
        <scheme val="minor"/>
      </rPr>
      <t xml:space="preserve"> - standing, sitting, or lying down?</t>
    </r>
  </si>
  <si>
    <r>
      <t xml:space="preserve">(Sitting or lying) Is s/he </t>
    </r>
    <r>
      <rPr>
        <b/>
        <sz val="10"/>
        <rFont val="Calibri"/>
        <family val="2"/>
        <scheme val="minor"/>
      </rPr>
      <t>moving at all</t>
    </r>
    <r>
      <rPr>
        <sz val="10"/>
        <rFont val="Calibri"/>
        <family val="2"/>
        <scheme val="minor"/>
      </rPr>
      <t>?</t>
    </r>
  </si>
  <si>
    <r>
      <t xml:space="preserve">Where </t>
    </r>
    <r>
      <rPr>
        <b/>
        <sz val="10"/>
        <rFont val="Calibri"/>
        <family val="2"/>
        <scheme val="minor"/>
      </rPr>
      <t>exactly</t>
    </r>
    <r>
      <rPr>
        <sz val="10"/>
        <rFont val="Calibri"/>
        <family val="2"/>
        <scheme val="minor"/>
      </rPr>
      <t xml:space="preserve"> is s/he?</t>
    </r>
  </si>
  <si>
    <t>Shall we go ahead now?</t>
  </si>
  <si>
    <t>Now press down with your fist and apply firm but gentle pressure. Don't let up.</t>
  </si>
  <si>
    <t>ECHO</t>
  </si>
  <si>
    <t>Accelerator Stuck &amp; Can't Stop Vehicle</t>
  </si>
  <si>
    <t>(Automatic transmissions) Okay, shift into neutrial or "N" now.</t>
  </si>
  <si>
    <t>In Nutural - 6</t>
  </si>
  <si>
    <t>Unable to shift - 2</t>
  </si>
  <si>
    <t>Okay, put your foot on the brake first and then try shifting it into neutral again. (You may need to push the button on the side of the shift handle with your thumb to make it work."</t>
  </si>
  <si>
    <t>Still Unable to Shift - 3</t>
  </si>
  <si>
    <t>Listen, I'll tell you how to turn off your engine.</t>
  </si>
  <si>
    <t>Do you have a standard key ignition or a start/stop button?</t>
  </si>
  <si>
    <t>Standard Key - 4</t>
  </si>
  <si>
    <t>Start/Stop Button - 5</t>
  </si>
  <si>
    <t>Turn the ignition key just one click back (AAC postion) so that the engine shuts off but it doesn’t lock your steering wheel.</t>
  </si>
  <si>
    <t>Turning off the ignition will change the power breaks and steering to manual mode.</t>
  </si>
  <si>
    <t>They should still work, but will be somewhat stuffer than normal (harder to turn and press the break).</t>
  </si>
  <si>
    <t>Stopped - 8</t>
  </si>
  <si>
    <t>Repeat/Reassure</t>
  </si>
  <si>
    <t>Do not just tap the start/stop button. Push it in firmly and steadily for at least 3 seconds until the engine completely stops.</t>
  </si>
  <si>
    <t>Apply firm, constandt pressure to your break pedal gradually until you come to a safe stop.</t>
  </si>
  <si>
    <t>Carefully slow down and steer to the side of the road. Tell me when you are stopped or if anything else happens.</t>
  </si>
  <si>
    <t>Not Stopped Completely - 7</t>
  </si>
  <si>
    <t>Try to get the car stopped as best as you can.</t>
  </si>
  <si>
    <t>Tell me when you are stopped or if anything else happens.</t>
  </si>
  <si>
    <t>Are you completely off the road?</t>
  </si>
  <si>
    <t>(Automatic transmission) Okay, keeping your foot on the break, shift into park or "P" now. Turn the ignition off completely now.</t>
  </si>
  <si>
    <t>(Manual/Stick Shift) Okay, apply your emergency break now. Turn off the ignition off completely now.</t>
  </si>
  <si>
    <t>Engine Off - 9</t>
  </si>
  <si>
    <t>Are  you parked in a safe place now?</t>
  </si>
  <si>
    <t>Do not encourage them to either exit the vehicle or remain in the vehicle.</t>
  </si>
  <si>
    <t>Exiting Car - 10</t>
  </si>
  <si>
    <t>Staying in Car - 11</t>
  </si>
  <si>
    <t xml:space="preserve">Okay, turn on your hazard lights. </t>
  </si>
  <si>
    <t xml:space="preserve">Now, look carefully all around, first, then take your phone and get to a safer place. </t>
  </si>
  <si>
    <t>If the car is not in a safe place and you must get out, be very careful of passing traffic or other hazzards.</t>
  </si>
  <si>
    <t>Tell me when you are completely safe.</t>
  </si>
  <si>
    <t>Continue - 12</t>
  </si>
  <si>
    <t>Turn on your hazard lights and wait for help to arrive.</t>
  </si>
  <si>
    <t>Okay, tell me exactly where you are now.</t>
  </si>
  <si>
    <t>(address, landmarks, mile marker, exit number, etc.)</t>
  </si>
  <si>
    <t>Continue - 13</t>
  </si>
  <si>
    <t>I need a description of your vehicle (color, year, make/model, license, state/province, lights on or off).</t>
  </si>
  <si>
    <t>Continue - 14</t>
  </si>
  <si>
    <t>Stay on the line with me, and tell me immediately if anything changes for the worse or if someone comes to help you.</t>
  </si>
  <si>
    <t>(Manual/Stick Shift transmission) Okay, push in the clutch pedal first and shift into neutral or "N" now.</t>
  </si>
  <si>
    <t>Unable to shift - 3</t>
  </si>
  <si>
    <r>
      <t>(ECHO) I'm sendin the</t>
    </r>
    <r>
      <rPr>
        <b/>
        <sz val="10"/>
        <rFont val="Calibri"/>
        <family val="2"/>
        <scheme val="minor"/>
      </rPr>
      <t xml:space="preserve"> paramedics</t>
    </r>
    <r>
      <rPr>
        <sz val="10"/>
        <rFont val="Calibri"/>
        <family val="2"/>
        <scheme val="minor"/>
      </rPr>
      <t xml:space="preserve"> (ambulance) to help you now. </t>
    </r>
    <r>
      <rPr>
        <b/>
        <sz val="10"/>
        <rFont val="Calibri"/>
        <family val="2"/>
        <scheme val="minor"/>
      </rPr>
      <t>Stay on the line.</t>
    </r>
  </si>
  <si>
    <r>
      <t>(Hanging and not OBVIOUS DEATH) (</t>
    </r>
    <r>
      <rPr>
        <b/>
        <sz val="9"/>
        <rFont val="Calibri"/>
        <family val="2"/>
        <scheme val="minor"/>
      </rPr>
      <t>Cut</t>
    </r>
    <r>
      <rPr>
        <sz val="9"/>
        <rFont val="Calibri"/>
        <family val="2"/>
        <scheme val="minor"/>
      </rPr>
      <t xml:space="preserve"> her/him down immediately,) loosen the noose, then tell me if s/he's </t>
    </r>
    <r>
      <rPr>
        <b/>
        <sz val="9"/>
        <rFont val="Calibri"/>
        <family val="2"/>
        <scheme val="minor"/>
      </rPr>
      <t>breathing.</t>
    </r>
  </si>
  <si>
    <r>
      <t xml:space="preserve">(Strangulation and not OBVIOUS DEATH) </t>
    </r>
    <r>
      <rPr>
        <b/>
        <sz val="10"/>
        <rFont val="Calibri"/>
        <family val="2"/>
        <scheme val="minor"/>
      </rPr>
      <t>Loosen</t>
    </r>
    <r>
      <rPr>
        <sz val="10"/>
        <rFont val="Calibri"/>
        <family val="2"/>
        <scheme val="minor"/>
      </rPr>
      <t xml:space="preserve"> anything around the </t>
    </r>
    <r>
      <rPr>
        <b/>
        <sz val="10"/>
        <rFont val="Calibri"/>
        <family val="2"/>
        <scheme val="minor"/>
      </rPr>
      <t>neck</t>
    </r>
    <r>
      <rPr>
        <sz val="10"/>
        <rFont val="Calibri"/>
        <family val="2"/>
        <scheme val="minor"/>
      </rPr>
      <t xml:space="preserve">, then tell me if s/he's </t>
    </r>
    <r>
      <rPr>
        <b/>
        <sz val="10"/>
        <rFont val="Calibri"/>
        <family val="2"/>
        <scheme val="minor"/>
      </rPr>
      <t>breathing.</t>
    </r>
  </si>
  <si>
    <r>
      <t xml:space="preserve">(Suffocation) </t>
    </r>
    <r>
      <rPr>
        <b/>
        <sz val="10"/>
        <rFont val="Calibri"/>
        <family val="2"/>
        <scheme val="minor"/>
      </rPr>
      <t>Remove</t>
    </r>
    <r>
      <rPr>
        <sz val="10"/>
        <rFont val="Calibri"/>
        <family val="2"/>
        <scheme val="minor"/>
      </rPr>
      <t xml:space="preserve"> anything </t>
    </r>
    <r>
      <rPr>
        <b/>
        <sz val="10"/>
        <rFont val="Calibri"/>
        <family val="2"/>
        <scheme val="minor"/>
      </rPr>
      <t>covering</t>
    </r>
    <r>
      <rPr>
        <sz val="10"/>
        <rFont val="Calibri"/>
        <family val="2"/>
        <scheme val="minor"/>
      </rPr>
      <t xml:space="preserve"> the </t>
    </r>
    <r>
      <rPr>
        <b/>
        <sz val="10"/>
        <rFont val="Calibri"/>
        <family val="2"/>
        <scheme val="minor"/>
      </rPr>
      <t>face</t>
    </r>
    <r>
      <rPr>
        <sz val="10"/>
        <rFont val="Calibri"/>
        <family val="2"/>
        <scheme val="minor"/>
      </rPr>
      <t xml:space="preserve"> or </t>
    </r>
    <r>
      <rPr>
        <b/>
        <sz val="10"/>
        <rFont val="Calibri"/>
        <family val="2"/>
        <scheme val="minor"/>
      </rPr>
      <t>in</t>
    </r>
    <r>
      <rPr>
        <sz val="10"/>
        <rFont val="Calibri"/>
        <family val="2"/>
        <scheme val="minor"/>
      </rPr>
      <t xml:space="preserve"> the </t>
    </r>
    <r>
      <rPr>
        <b/>
        <sz val="10"/>
        <rFont val="Calibri"/>
        <family val="2"/>
        <scheme val="minor"/>
      </rPr>
      <t>mouth</t>
    </r>
    <r>
      <rPr>
        <sz val="10"/>
        <rFont val="Calibri"/>
        <family val="2"/>
        <scheme val="minor"/>
      </rPr>
      <t xml:space="preserve">, then tell me if s/he's </t>
    </r>
    <r>
      <rPr>
        <b/>
        <sz val="10"/>
        <rFont val="Calibri"/>
        <family val="2"/>
        <scheme val="minor"/>
      </rPr>
      <t>breathing.</t>
    </r>
  </si>
  <si>
    <r>
      <t xml:space="preserve">(Critical Caller Danger) (If it's too </t>
    </r>
    <r>
      <rPr>
        <b/>
        <sz val="10"/>
        <rFont val="Calibri"/>
        <family val="2"/>
        <scheme val="minor"/>
      </rPr>
      <t>dangerous to stay</t>
    </r>
    <r>
      <rPr>
        <sz val="10"/>
        <rFont val="Calibri"/>
        <family val="2"/>
        <scheme val="minor"/>
      </rPr>
      <t xml:space="preserve"> where you are, and you think you can leave safely,) </t>
    </r>
    <r>
      <rPr>
        <b/>
        <sz val="10"/>
        <rFont val="Calibri"/>
        <family val="2"/>
        <scheme val="minor"/>
      </rPr>
      <t>get away</t>
    </r>
    <r>
      <rPr>
        <sz val="10"/>
        <rFont val="Calibri"/>
        <family val="2"/>
        <scheme val="minor"/>
      </rPr>
      <t xml:space="preserve"> and </t>
    </r>
    <r>
      <rPr>
        <b/>
        <sz val="10"/>
        <rFont val="Calibri"/>
        <family val="2"/>
        <scheme val="minor"/>
      </rPr>
      <t>call us</t>
    </r>
    <r>
      <rPr>
        <sz val="10"/>
        <rFont val="Calibri"/>
        <family val="2"/>
        <scheme val="minor"/>
      </rPr>
      <t xml:space="preserve"> from somewhere </t>
    </r>
    <r>
      <rPr>
        <b/>
        <sz val="10"/>
        <rFont val="Calibri"/>
        <family val="2"/>
        <scheme val="minor"/>
      </rPr>
      <t>safe.</t>
    </r>
  </si>
  <si>
    <r>
      <rPr>
        <b/>
        <sz val="11"/>
        <rFont val="Calibri"/>
        <family val="2"/>
        <scheme val="minor"/>
      </rPr>
      <t>C</t>
    </r>
    <r>
      <rPr>
        <sz val="11"/>
        <rFont val="Calibri"/>
        <family val="2"/>
        <scheme val="minor"/>
      </rPr>
      <t>ourteous (10points) c</t>
    </r>
    <r>
      <rPr>
        <b/>
        <sz val="11"/>
        <rFont val="Calibri"/>
        <family val="2"/>
        <scheme val="minor"/>
      </rPr>
      <t>O</t>
    </r>
    <r>
      <rPr>
        <sz val="11"/>
        <rFont val="Calibri"/>
        <family val="2"/>
        <scheme val="minor"/>
      </rPr>
      <t xml:space="preserve">rdial (7points) </t>
    </r>
    <r>
      <rPr>
        <b/>
        <sz val="11"/>
        <rFont val="Calibri"/>
        <family val="2"/>
        <scheme val="minor"/>
      </rPr>
      <t>A</t>
    </r>
    <r>
      <rPr>
        <sz val="11"/>
        <rFont val="Calibri"/>
        <family val="2"/>
        <scheme val="minor"/>
      </rPr>
      <t xml:space="preserve">brasive (4points) </t>
    </r>
    <r>
      <rPr>
        <b/>
        <sz val="11"/>
        <rFont val="Calibri"/>
        <family val="2"/>
        <scheme val="minor"/>
      </rPr>
      <t>R</t>
    </r>
    <r>
      <rPr>
        <sz val="11"/>
        <rFont val="Calibri"/>
        <family val="2"/>
        <scheme val="minor"/>
      </rPr>
      <t>ude (0points)</t>
    </r>
  </si>
  <si>
    <r>
      <rPr>
        <b/>
        <sz val="11"/>
        <color theme="1"/>
        <rFont val="Calibri"/>
        <family val="2"/>
        <scheme val="minor"/>
      </rPr>
      <t>C</t>
    </r>
    <r>
      <rPr>
        <sz val="11"/>
        <color theme="1"/>
        <rFont val="Calibri"/>
        <family val="2"/>
        <scheme val="minor"/>
      </rPr>
      <t>ourteous (10points) c</t>
    </r>
    <r>
      <rPr>
        <b/>
        <sz val="11"/>
        <color theme="1"/>
        <rFont val="Calibri"/>
        <family val="2"/>
        <scheme val="minor"/>
      </rPr>
      <t>O</t>
    </r>
    <r>
      <rPr>
        <sz val="11"/>
        <color theme="1"/>
        <rFont val="Calibri"/>
        <family val="2"/>
        <scheme val="minor"/>
      </rPr>
      <t xml:space="preserve">rdial (7points) </t>
    </r>
    <r>
      <rPr>
        <b/>
        <sz val="11"/>
        <color theme="1"/>
        <rFont val="Calibri"/>
        <family val="2"/>
        <scheme val="minor"/>
      </rPr>
      <t>A</t>
    </r>
    <r>
      <rPr>
        <sz val="11"/>
        <color theme="1"/>
        <rFont val="Calibri"/>
        <family val="2"/>
        <scheme val="minor"/>
      </rPr>
      <t xml:space="preserve">brasive (4points) </t>
    </r>
    <r>
      <rPr>
        <b/>
        <sz val="11"/>
        <color theme="1"/>
        <rFont val="Calibri"/>
        <family val="2"/>
        <scheme val="minor"/>
      </rPr>
      <t>R</t>
    </r>
    <r>
      <rPr>
        <sz val="11"/>
        <color theme="1"/>
        <rFont val="Calibri"/>
        <family val="2"/>
        <scheme val="minor"/>
      </rPr>
      <t>ude (0points)</t>
    </r>
  </si>
  <si>
    <t>13 Diabetic Problems</t>
  </si>
  <si>
    <t>If known, where the animal belongs.</t>
  </si>
  <si>
    <t>Is the Animal being aggressive towards humans or animals?</t>
  </si>
  <si>
    <t>Description of the animal.</t>
  </si>
  <si>
    <t>Direction of travel of the animal.</t>
  </si>
  <si>
    <t>Location of the animal, in relation to the location of the CFS.</t>
  </si>
  <si>
    <t>Animal at Large</t>
  </si>
  <si>
    <t>Animal Livestock</t>
  </si>
  <si>
    <t>Animal Injured</t>
  </si>
  <si>
    <t>Animal Dead</t>
  </si>
  <si>
    <t>Fire Department Information</t>
  </si>
  <si>
    <t>Unit</t>
  </si>
  <si>
    <t>Dispatch Time</t>
  </si>
  <si>
    <t>En-route Time</t>
  </si>
  <si>
    <t>Arrived Time</t>
  </si>
  <si>
    <t>Call Metrics</t>
  </si>
  <si>
    <t>Call Received</t>
  </si>
  <si>
    <t>Recognition Cardiac</t>
  </si>
  <si>
    <t>Chest Compressions</t>
  </si>
  <si>
    <t>Received to Chest Compression</t>
  </si>
  <si>
    <t>If appropriate, shunted correctly?</t>
  </si>
  <si>
    <t>Louvier-Roby, Janet</t>
  </si>
  <si>
    <t>Has s/he traveled in the last 14 days?</t>
  </si>
  <si>
    <t>(If above is yes) confirmed travel from a known infected ("hot") area</t>
  </si>
  <si>
    <t>Contact with a person who has traveled from a known infected ("hot") area in last 14 days</t>
  </si>
  <si>
    <t>contact with someone with flu-like illness ("if so when?"0</t>
  </si>
  <si>
    <t>(if above is yes) is s/he a healthcare worker?</t>
  </si>
  <si>
    <t>Measured Body Temp &gt;= 100.4 F</t>
  </si>
  <si>
    <t>Fever (hot to the touch in room temp)</t>
  </si>
  <si>
    <t>chills</t>
  </si>
  <si>
    <t>difficulty breathing or shortness of breath</t>
  </si>
  <si>
    <t>persistent cough</t>
  </si>
  <si>
    <t xml:space="preserve">any other new respiratory problems </t>
  </si>
  <si>
    <t>EIDS Tool</t>
  </si>
  <si>
    <t>Richardson, Jodi</t>
  </si>
  <si>
    <t>Block, Susie</t>
  </si>
  <si>
    <t>Clark, Lora</t>
  </si>
  <si>
    <t>REFUSED</t>
  </si>
  <si>
    <t>UNABLE TO</t>
  </si>
  <si>
    <t>3RD PARTY</t>
  </si>
  <si>
    <t>IN PROGRESS</t>
  </si>
  <si>
    <t>UNKOWN</t>
  </si>
  <si>
    <t>Not an OHCA at time of call</t>
  </si>
  <si>
    <t>Where was the subject last seen?</t>
  </si>
  <si>
    <t>When was the subject last seen or heard from?</t>
  </si>
  <si>
    <t>What is the subjects full name and Date of Birth?</t>
  </si>
  <si>
    <t>Last direction of travel?</t>
  </si>
  <si>
    <t>What was the mode of travel</t>
  </si>
  <si>
    <t>(other than foot) Description of mode of travel.</t>
  </si>
  <si>
    <t>RP's name and phone number</t>
  </si>
  <si>
    <t>RP's address or location for officer contact.</t>
  </si>
  <si>
    <t>Subject's Description</t>
  </si>
  <si>
    <t>Runaway/Lost Child</t>
  </si>
  <si>
    <t>Missing Person</t>
  </si>
  <si>
    <t>4d</t>
  </si>
  <si>
    <t>4e</t>
  </si>
  <si>
    <t>4f</t>
  </si>
  <si>
    <t>4g</t>
  </si>
  <si>
    <t>(Appropriate) Help is on the way as requested.</t>
  </si>
  <si>
    <r>
      <t xml:space="preserve">(No STROKE symptoms mentioned)Tell me </t>
    </r>
    <r>
      <rPr>
        <b/>
        <sz val="9"/>
        <rFont val="Calibri"/>
        <family val="2"/>
        <scheme val="minor"/>
      </rPr>
      <t>why</t>
    </r>
    <r>
      <rPr>
        <sz val="9"/>
        <rFont val="Calibri"/>
        <family val="2"/>
        <scheme val="minor"/>
      </rPr>
      <t xml:space="preserve"> you think it's a </t>
    </r>
    <r>
      <rPr>
        <b/>
        <sz val="9"/>
        <rFont val="Calibri"/>
        <family val="2"/>
        <scheme val="minor"/>
      </rPr>
      <t>stroke</t>
    </r>
    <r>
      <rPr>
        <sz val="9"/>
        <rFont val="Calibri"/>
        <family val="2"/>
        <scheme val="minor"/>
      </rPr>
      <t>.</t>
    </r>
  </si>
  <si>
    <r>
      <t xml:space="preserve">(Yes) Does s/he have any </t>
    </r>
    <r>
      <rPr>
        <b/>
        <sz val="9"/>
        <rFont val="Calibri"/>
        <family val="2"/>
        <scheme val="minor"/>
      </rPr>
      <t>difficulty</t>
    </r>
    <r>
      <rPr>
        <sz val="9"/>
        <rFont val="Calibri"/>
        <family val="2"/>
        <scheme val="minor"/>
      </rPr>
      <t xml:space="preserve"> speaking/crying </t>
    </r>
    <r>
      <rPr>
        <b/>
        <sz val="9"/>
        <rFont val="Calibri"/>
        <family val="2"/>
        <scheme val="minor"/>
      </rPr>
      <t>between</t>
    </r>
    <r>
      <rPr>
        <sz val="9"/>
        <rFont val="Calibri"/>
        <family val="2"/>
        <scheme val="minor"/>
      </rPr>
      <t xml:space="preserve"> breaths?</t>
    </r>
  </si>
  <si>
    <r>
      <t xml:space="preserve">(&gt;6M/24Wks)Can yhou </t>
    </r>
    <r>
      <rPr>
        <b/>
        <sz val="9"/>
        <rFont val="Calibri"/>
        <family val="2"/>
        <scheme val="minor"/>
      </rPr>
      <t>see</t>
    </r>
    <r>
      <rPr>
        <sz val="9"/>
        <rFont val="Calibri"/>
        <family val="2"/>
        <scheme val="minor"/>
      </rPr>
      <t xml:space="preserve"> (</t>
    </r>
    <r>
      <rPr>
        <b/>
        <sz val="9"/>
        <rFont val="Calibri"/>
        <family val="2"/>
        <scheme val="minor"/>
      </rPr>
      <t>feel</t>
    </r>
    <r>
      <rPr>
        <sz val="9"/>
        <rFont val="Calibri"/>
        <family val="2"/>
        <scheme val="minor"/>
      </rPr>
      <t xml:space="preserve"> or </t>
    </r>
    <r>
      <rPr>
        <b/>
        <sz val="9"/>
        <rFont val="Calibri"/>
        <family val="2"/>
        <scheme val="minor"/>
      </rPr>
      <t>touch</t>
    </r>
    <r>
      <rPr>
        <sz val="9"/>
        <rFont val="Calibri"/>
        <family val="2"/>
        <scheme val="minor"/>
      </rPr>
      <t xml:space="preserve">) any part of the </t>
    </r>
    <r>
      <rPr>
        <b/>
        <sz val="9"/>
        <rFont val="Calibri"/>
        <family val="2"/>
        <scheme val="minor"/>
      </rPr>
      <t>baby</t>
    </r>
    <r>
      <rPr>
        <sz val="9"/>
        <rFont val="Calibri"/>
        <family val="2"/>
        <scheme val="minor"/>
      </rPr>
      <t xml:space="preserve"> now?</t>
    </r>
  </si>
  <si>
    <r>
      <t xml:space="preserve">(Underwater) </t>
    </r>
    <r>
      <rPr>
        <b/>
        <sz val="9"/>
        <rFont val="Calibri"/>
        <family val="2"/>
        <scheme val="minor"/>
      </rPr>
      <t>Do not go in the water</t>
    </r>
    <r>
      <rPr>
        <sz val="9"/>
        <rFont val="Calibri"/>
        <family val="2"/>
        <scheme val="minor"/>
      </rPr>
      <t xml:space="preserve"> unless it's </t>
    </r>
    <r>
      <rPr>
        <b/>
        <sz val="9"/>
        <rFont val="Calibri"/>
        <family val="2"/>
        <scheme val="minor"/>
      </rPr>
      <t>safe</t>
    </r>
    <r>
      <rPr>
        <sz val="9"/>
        <rFont val="Calibri"/>
        <family val="2"/>
        <scheme val="minor"/>
      </rPr>
      <t xml:space="preserve"> to do so.</t>
    </r>
  </si>
  <si>
    <t>Animal Complaint</t>
  </si>
  <si>
    <t>Animal Trapped</t>
  </si>
  <si>
    <t>Animal Vicious</t>
  </si>
  <si>
    <t>EIDS1</t>
  </si>
  <si>
    <t>EIDS2</t>
  </si>
  <si>
    <t>EIDS3</t>
  </si>
  <si>
    <t>EIDS4</t>
  </si>
  <si>
    <t>EIDS5</t>
  </si>
  <si>
    <t>EIDS6</t>
  </si>
  <si>
    <t>EIDS7</t>
  </si>
  <si>
    <t>EIDS8</t>
  </si>
  <si>
    <t>EIDS9</t>
  </si>
  <si>
    <t>EIDS10</t>
  </si>
  <si>
    <t>EIDS11</t>
  </si>
  <si>
    <t>Has s/he traveled in the last 14 days (If so, where?)</t>
  </si>
  <si>
    <t>(If above is yes) Confirmed travel from a known infected ("hot") area.</t>
  </si>
  <si>
    <t>EIDS12</t>
  </si>
  <si>
    <t>(If so, what place?)</t>
  </si>
  <si>
    <t>Contact with someone with flu-like illness (if so, when?)</t>
  </si>
  <si>
    <t>(If above is yes) Is s/he a healthcare worker?</t>
  </si>
  <si>
    <t>Measured body temperature &gt;= 100.4 F (38.0 C)</t>
  </si>
  <si>
    <t>Fever (hot to the touch in room temperature)</t>
  </si>
  <si>
    <t>Chills</t>
  </si>
  <si>
    <t>Difficulty breathing or shortness of breath</t>
  </si>
  <si>
    <t>Persistent cough</t>
  </si>
  <si>
    <t>Contact w/ person who has traveled from known "hot" area in the last 14 days</t>
  </si>
  <si>
    <t>EIDS13</t>
  </si>
  <si>
    <r>
      <t xml:space="preserve">(Person on fire) Tell her/him to </t>
    </r>
    <r>
      <rPr>
        <b/>
        <sz val="8"/>
        <rFont val="Calibri"/>
        <family val="2"/>
        <scheme val="minor"/>
      </rPr>
      <t>stop</t>
    </r>
    <r>
      <rPr>
        <sz val="8"/>
        <rFont val="Calibri"/>
        <family val="2"/>
        <scheme val="minor"/>
      </rPr>
      <t xml:space="preserve"> running, </t>
    </r>
    <r>
      <rPr>
        <b/>
        <sz val="8"/>
        <rFont val="Calibri"/>
        <family val="2"/>
        <scheme val="minor"/>
      </rPr>
      <t>drop</t>
    </r>
    <r>
      <rPr>
        <sz val="8"/>
        <rFont val="Calibri"/>
        <family val="2"/>
        <scheme val="minor"/>
      </rPr>
      <t xml:space="preserve"> to the </t>
    </r>
    <r>
      <rPr>
        <b/>
        <sz val="8"/>
        <rFont val="Calibri"/>
        <family val="2"/>
        <scheme val="minor"/>
      </rPr>
      <t>ground, cover</t>
    </r>
    <r>
      <rPr>
        <sz val="8"/>
        <rFont val="Calibri"/>
        <family val="2"/>
        <scheme val="minor"/>
      </rPr>
      <t xml:space="preserve"> her/his </t>
    </r>
    <r>
      <rPr>
        <b/>
        <sz val="8"/>
        <rFont val="Calibri"/>
        <family val="2"/>
        <scheme val="minor"/>
      </rPr>
      <t>face</t>
    </r>
    <r>
      <rPr>
        <sz val="8"/>
        <rFont val="Calibri"/>
        <family val="2"/>
        <scheme val="minor"/>
      </rPr>
      <t xml:space="preserve">, and </t>
    </r>
    <r>
      <rPr>
        <b/>
        <sz val="8"/>
        <rFont val="Calibri"/>
        <family val="2"/>
        <scheme val="minor"/>
      </rPr>
      <t xml:space="preserve">roll </t>
    </r>
    <r>
      <rPr>
        <sz val="8"/>
        <rFont val="Calibri"/>
        <family val="2"/>
        <scheme val="minor"/>
      </rPr>
      <t xml:space="preserve">around. If water is available, </t>
    </r>
    <r>
      <rPr>
        <b/>
        <sz val="8"/>
        <rFont val="Calibri"/>
        <family val="2"/>
        <scheme val="minor"/>
      </rPr>
      <t>douse</t>
    </r>
    <r>
      <rPr>
        <sz val="8"/>
        <rFont val="Calibri"/>
        <family val="2"/>
        <scheme val="minor"/>
      </rPr>
      <t xml:space="preserve"> her/him with it </t>
    </r>
    <r>
      <rPr>
        <b/>
        <sz val="8"/>
        <rFont val="Calibri"/>
        <family val="2"/>
        <scheme val="minor"/>
      </rPr>
      <t>immediately</t>
    </r>
    <r>
      <rPr>
        <sz val="8"/>
        <rFont val="Calibri"/>
        <family val="2"/>
        <scheme val="minor"/>
      </rPr>
      <t xml:space="preserve"> until the fire is completely out.</t>
    </r>
  </si>
  <si>
    <t xml:space="preserve">(Endangered) Does the subject have a cell phone? </t>
  </si>
  <si>
    <t>8a</t>
  </si>
  <si>
    <r>
      <t xml:space="preserve">(No) Is this a </t>
    </r>
    <r>
      <rPr>
        <b/>
        <sz val="10"/>
        <rFont val="Calibri"/>
        <family val="2"/>
        <scheme val="minor"/>
      </rPr>
      <t>sudden/unexpected</t>
    </r>
    <r>
      <rPr>
        <sz val="10"/>
        <rFont val="Calibri"/>
        <family val="2"/>
        <scheme val="minor"/>
      </rPr>
      <t xml:space="preserve"> change in their </t>
    </r>
    <r>
      <rPr>
        <b/>
        <sz val="10"/>
        <rFont val="Calibri"/>
        <family val="2"/>
        <scheme val="minor"/>
      </rPr>
      <t>usual</t>
    </r>
    <r>
      <rPr>
        <sz val="10"/>
        <rFont val="Calibri"/>
        <family val="2"/>
        <scheme val="minor"/>
      </rPr>
      <t xml:space="preserve"> condition?</t>
    </r>
  </si>
  <si>
    <r>
      <t xml:space="preserve">Does s/he have any </t>
    </r>
    <r>
      <rPr>
        <b/>
        <sz val="10"/>
        <rFont val="Calibri"/>
        <family val="2"/>
        <scheme val="minor"/>
      </rPr>
      <t>significant bleeding</t>
    </r>
    <r>
      <rPr>
        <sz val="10"/>
        <rFont val="Calibri"/>
        <family val="2"/>
        <scheme val="minor"/>
      </rPr>
      <t>?</t>
    </r>
  </si>
  <si>
    <r>
      <t xml:space="preserve">Does s/he have any </t>
    </r>
    <r>
      <rPr>
        <b/>
        <sz val="10"/>
        <rFont val="Calibri"/>
        <family val="2"/>
        <scheme val="minor"/>
      </rPr>
      <t>shock symptoms</t>
    </r>
    <r>
      <rPr>
        <sz val="10"/>
        <rFont val="Calibri"/>
        <family val="2"/>
        <scheme val="minor"/>
      </rPr>
      <t>?</t>
    </r>
  </si>
  <si>
    <r>
      <t xml:space="preserve">Is s/he in </t>
    </r>
    <r>
      <rPr>
        <b/>
        <sz val="10"/>
        <rFont val="Calibri"/>
        <family val="2"/>
        <scheme val="minor"/>
      </rPr>
      <t>sever pain</t>
    </r>
    <r>
      <rPr>
        <sz val="10"/>
        <rFont val="Calibri"/>
        <family val="2"/>
        <scheme val="minor"/>
      </rPr>
      <t>?</t>
    </r>
  </si>
  <si>
    <r>
      <t xml:space="preserve">(Chest pain) Coult this be a </t>
    </r>
    <r>
      <rPr>
        <b/>
        <sz val="10"/>
        <rFont val="Calibri"/>
        <family val="2"/>
        <scheme val="minor"/>
      </rPr>
      <t>MI</t>
    </r>
    <r>
      <rPr>
        <sz val="10"/>
        <rFont val="Calibri"/>
        <family val="2"/>
        <scheme val="minor"/>
      </rPr>
      <t>(heart attack)?</t>
    </r>
  </si>
  <si>
    <r>
      <t xml:space="preserve">Will any </t>
    </r>
    <r>
      <rPr>
        <b/>
        <sz val="10"/>
        <rFont val="Calibri"/>
        <family val="2"/>
        <scheme val="minor"/>
      </rPr>
      <t>special equipment</t>
    </r>
    <r>
      <rPr>
        <sz val="10"/>
        <rFont val="Calibri"/>
        <family val="2"/>
        <scheme val="minor"/>
      </rPr>
      <t xml:space="preserve"> be nessary?</t>
    </r>
  </si>
  <si>
    <r>
      <t xml:space="preserve">Will </t>
    </r>
    <r>
      <rPr>
        <b/>
        <sz val="10"/>
        <rFont val="Calibri"/>
        <family val="2"/>
        <scheme val="minor"/>
      </rPr>
      <t>additional personnel</t>
    </r>
    <r>
      <rPr>
        <sz val="10"/>
        <rFont val="Calibri"/>
        <family val="2"/>
        <scheme val="minor"/>
      </rPr>
      <t xml:space="preserve"> be nessary?</t>
    </r>
  </si>
  <si>
    <r>
      <t xml:space="preserve">(Yes) What </t>
    </r>
    <r>
      <rPr>
        <b/>
        <sz val="10"/>
        <rFont val="Calibri"/>
        <family val="2"/>
        <scheme val="minor"/>
      </rPr>
      <t>type</t>
    </r>
    <r>
      <rPr>
        <sz val="10"/>
        <rFont val="Calibri"/>
        <family val="2"/>
        <scheme val="minor"/>
      </rPr>
      <t xml:space="preserve"> of Personnel is required?</t>
    </r>
  </si>
  <si>
    <r>
      <t>(Appropriate) What's the</t>
    </r>
    <r>
      <rPr>
        <b/>
        <sz val="10"/>
        <rFont val="Calibri"/>
        <family val="2"/>
        <scheme val="minor"/>
      </rPr>
      <t xml:space="preserve"> name</t>
    </r>
    <r>
      <rPr>
        <sz val="10"/>
        <rFont val="Calibri"/>
        <family val="2"/>
        <scheme val="minor"/>
      </rPr>
      <t xml:space="preserve"> of the referring </t>
    </r>
    <r>
      <rPr>
        <b/>
        <sz val="10"/>
        <rFont val="Calibri"/>
        <family val="2"/>
        <scheme val="minor"/>
      </rPr>
      <t>doctor</t>
    </r>
    <r>
      <rPr>
        <sz val="10"/>
        <rFont val="Calibri"/>
        <family val="2"/>
        <scheme val="minor"/>
      </rPr>
      <t>?</t>
    </r>
  </si>
  <si>
    <r>
      <t xml:space="preserve">(Appropriate) What's the </t>
    </r>
    <r>
      <rPr>
        <b/>
        <sz val="10"/>
        <rFont val="Calibri"/>
        <family val="2"/>
        <scheme val="minor"/>
      </rPr>
      <t>name</t>
    </r>
    <r>
      <rPr>
        <sz val="10"/>
        <rFont val="Calibri"/>
        <family val="2"/>
        <scheme val="minor"/>
      </rPr>
      <t xml:space="preserve"> of the responsible </t>
    </r>
    <r>
      <rPr>
        <b/>
        <sz val="10"/>
        <rFont val="Calibri"/>
        <family val="2"/>
        <scheme val="minor"/>
      </rPr>
      <t>RN</t>
    </r>
    <r>
      <rPr>
        <sz val="10"/>
        <rFont val="Calibri"/>
        <family val="2"/>
        <scheme val="minor"/>
      </rPr>
      <t xml:space="preserve"> (nurse)?</t>
    </r>
  </si>
  <si>
    <r>
      <t xml:space="preserve">What's the </t>
    </r>
    <r>
      <rPr>
        <b/>
        <sz val="10"/>
        <rFont val="Calibri"/>
        <family val="2"/>
        <scheme val="minor"/>
      </rPr>
      <t>name</t>
    </r>
    <r>
      <rPr>
        <sz val="10"/>
        <rFont val="Calibri"/>
        <family val="2"/>
        <scheme val="minor"/>
      </rPr>
      <t xml:space="preserve"> of the </t>
    </r>
    <r>
      <rPr>
        <b/>
        <sz val="10"/>
        <rFont val="Calibri"/>
        <family val="2"/>
        <scheme val="minor"/>
      </rPr>
      <t>patient</t>
    </r>
    <r>
      <rPr>
        <sz val="10"/>
        <rFont val="Calibri"/>
        <family val="2"/>
        <scheme val="minor"/>
      </rPr>
      <t>?</t>
    </r>
  </si>
  <si>
    <r>
      <t xml:space="preserve">What's your </t>
    </r>
    <r>
      <rPr>
        <b/>
        <sz val="10"/>
        <rFont val="Calibri"/>
        <family val="2"/>
        <scheme val="minor"/>
      </rPr>
      <t>fax number</t>
    </r>
    <r>
      <rPr>
        <sz val="10"/>
        <rFont val="Calibri"/>
        <family val="2"/>
        <scheme val="minor"/>
      </rPr>
      <t>?</t>
    </r>
  </si>
  <si>
    <t>EIDS</t>
  </si>
  <si>
    <t>EIDS14</t>
  </si>
  <si>
    <t>EIDS15</t>
  </si>
  <si>
    <t>EIDS16</t>
  </si>
  <si>
    <t>EIDS17</t>
  </si>
  <si>
    <r>
      <t>(</t>
    </r>
    <r>
      <rPr>
        <b/>
        <sz val="8"/>
        <rFont val="Calibri"/>
        <family val="2"/>
        <scheme val="minor"/>
      </rPr>
      <t>Keep isolated</t>
    </r>
    <r>
      <rPr>
        <sz val="8"/>
        <rFont val="Calibri"/>
        <family val="2"/>
        <scheme val="minor"/>
      </rPr>
      <t>)From now on,</t>
    </r>
    <r>
      <rPr>
        <b/>
        <sz val="8"/>
        <rFont val="Calibri"/>
        <family val="2"/>
        <scheme val="minor"/>
      </rPr>
      <t>Don’t allow</t>
    </r>
    <r>
      <rPr>
        <sz val="8"/>
        <rFont val="Calibri"/>
        <family val="2"/>
        <scheme val="minor"/>
      </rPr>
      <t xml:space="preserve"> anyone to come in </t>
    </r>
    <r>
      <rPr>
        <b/>
        <sz val="8"/>
        <rFont val="Calibri"/>
        <family val="2"/>
        <scheme val="minor"/>
      </rPr>
      <t>close contact</t>
    </r>
    <r>
      <rPr>
        <sz val="8"/>
        <rFont val="Calibri"/>
        <family val="2"/>
        <scheme val="minor"/>
      </rPr>
      <t xml:space="preserve"> w/them.</t>
    </r>
  </si>
  <si>
    <r>
      <t xml:space="preserve">Has s/he traveled to </t>
    </r>
    <r>
      <rPr>
        <b/>
        <sz val="10"/>
        <rFont val="Calibri"/>
        <family val="2"/>
        <scheme val="minor"/>
      </rPr>
      <t>Seattle, San Francisco, or New York City</t>
    </r>
    <r>
      <rPr>
        <sz val="10"/>
        <rFont val="Calibri"/>
        <family val="2"/>
        <scheme val="minor"/>
      </rPr>
      <t>?</t>
    </r>
  </si>
  <si>
    <r>
      <t xml:space="preserve">(EXPECTED)Are you </t>
    </r>
    <r>
      <rPr>
        <b/>
        <sz val="9"/>
        <rFont val="Calibri"/>
        <family val="2"/>
        <scheme val="minor"/>
      </rPr>
      <t>certain</t>
    </r>
    <r>
      <rPr>
        <sz val="9"/>
        <rFont val="Calibri"/>
        <family val="2"/>
        <scheme val="minor"/>
      </rPr>
      <t xml:space="preserve"> we should </t>
    </r>
    <r>
      <rPr>
        <b/>
        <sz val="9"/>
        <rFont val="Calibri"/>
        <family val="2"/>
        <scheme val="minor"/>
      </rPr>
      <t>not</t>
    </r>
    <r>
      <rPr>
        <sz val="9"/>
        <rFont val="Calibri"/>
        <family val="2"/>
        <scheme val="minor"/>
      </rPr>
      <t xml:space="preserve"> try to </t>
    </r>
    <r>
      <rPr>
        <b/>
        <sz val="9"/>
        <rFont val="Calibri"/>
        <family val="2"/>
        <scheme val="minor"/>
      </rPr>
      <t>resuscitate</t>
    </r>
    <r>
      <rPr>
        <sz val="9"/>
        <rFont val="Calibri"/>
        <family val="2"/>
        <scheme val="minor"/>
      </rPr>
      <t xml:space="preserve"> him/her?</t>
    </r>
  </si>
  <si>
    <t>(No) Has s/he vomited blood or coffee ground material in the last 24 hours?</t>
  </si>
  <si>
    <t>CPR advised?</t>
  </si>
  <si>
    <t>(Pause to listen) Okay, keep the instructions right where you can see them, and we can easily refer back to them.</t>
  </si>
  <si>
    <t>First, remove the injector from its package or storage tube and tell me when it's out.</t>
  </si>
  <si>
    <t>Unless you have another one immediately handy, we advise you to use this one now.</t>
  </si>
  <si>
    <t>Listen carefully, you need to massage her belly again, just below the belly button.</t>
  </si>
  <si>
    <t>Keep trying to open the door.</t>
  </si>
  <si>
    <t>You must get out of the vehicle and on top of the roof.</t>
  </si>
  <si>
    <t>If possible, take the phone with you.</t>
  </si>
  <si>
    <t>Put your ear next to the baby's mouth.</t>
  </si>
  <si>
    <t>Thomas, Lawson</t>
  </si>
  <si>
    <r>
      <t xml:space="preserve">(Suspected death) Tell me please, </t>
    </r>
    <r>
      <rPr>
        <b/>
        <sz val="9"/>
        <rFont val="Calibri"/>
        <family val="2"/>
        <scheme val="minor"/>
      </rPr>
      <t>why</t>
    </r>
    <r>
      <rPr>
        <sz val="9"/>
        <rFont val="Calibri"/>
        <family val="2"/>
        <scheme val="minor"/>
      </rPr>
      <t xml:space="preserve"> does it look like s/he's </t>
    </r>
    <r>
      <rPr>
        <b/>
        <sz val="9"/>
        <rFont val="Calibri"/>
        <family val="2"/>
        <scheme val="minor"/>
      </rPr>
      <t>dead</t>
    </r>
    <r>
      <rPr>
        <sz val="9"/>
        <rFont val="Calibri"/>
        <family val="2"/>
        <scheme val="minor"/>
      </rPr>
      <t>?</t>
    </r>
  </si>
  <si>
    <t>Turn her/him gently on her/his side (left side if pregnant) when the seizure stops.</t>
  </si>
  <si>
    <t>Vehicle (Color,Year,Make,Body Style,Additional,License,State)</t>
  </si>
  <si>
    <t>Hair Color/Length/Style</t>
  </si>
  <si>
    <r>
      <t>Other Identifiable Characteristics</t>
    </r>
    <r>
      <rPr>
        <sz val="8"/>
        <color theme="1"/>
        <rFont val="Calibri"/>
        <family val="2"/>
        <scheme val="minor"/>
      </rPr>
      <t xml:space="preserve"> (facial hair, accent, tattoos,piercings,jewelry)</t>
    </r>
  </si>
  <si>
    <t>*What type? description (Pistol, Rifle, Knife, Club, ETC..)</t>
  </si>
  <si>
    <t>*Where are the weapon(s) now? Location of Weapons(s)</t>
  </si>
  <si>
    <t>*Is/Was the disturbance Physical or Verbal?</t>
  </si>
  <si>
    <t>*Suspect(s) Location?</t>
  </si>
  <si>
    <t>*Suspect(s) Description (subject w/ weapon first)</t>
  </si>
  <si>
    <t>Build/Hight/Weight</t>
  </si>
  <si>
    <t>5d</t>
  </si>
  <si>
    <t>5e</t>
  </si>
  <si>
    <t>5f</t>
  </si>
  <si>
    <t>5g</t>
  </si>
  <si>
    <t>5h</t>
  </si>
  <si>
    <t>Shelton, Stephanie</t>
  </si>
  <si>
    <t>Pinkerton, Ellaina</t>
  </si>
  <si>
    <t>Pacholski, Lynzee</t>
  </si>
  <si>
    <t>Was the caller advised about / encouraged to use the online report form?</t>
  </si>
  <si>
    <t>Where did the forgery/fraud occur?</t>
  </si>
  <si>
    <t>What type of Forgery/Fraud is it? (credit card, check, ID Theft)</t>
  </si>
  <si>
    <t>IF just occurred, was suspect description asked?</t>
  </si>
  <si>
    <t>IF just occurred, was suspect description documented in the narrative?</t>
  </si>
  <si>
    <t>What is the name of the RP/Victim?</t>
  </si>
  <si>
    <t>What is the RP/Victim’s address/location for contact?</t>
  </si>
  <si>
    <t>Where did the assault occur?</t>
  </si>
  <si>
    <t>When did the assault occure?</t>
  </si>
  <si>
    <t>Does anyone need an ambulance?</t>
  </si>
  <si>
    <t>Were there weapons involved / if so what type?</t>
  </si>
  <si>
    <t>How many people were involved?</t>
  </si>
  <si>
    <t>Was a suspect description asked?</t>
  </si>
  <si>
    <t>Where is the suspect / direction of travel?</t>
  </si>
  <si>
    <t>Where is the RP / Victim for contact?</t>
  </si>
  <si>
    <t>Assault</t>
  </si>
  <si>
    <t>Forgery / Fraud</t>
  </si>
  <si>
    <t>Wolf, Hanna</t>
  </si>
  <si>
    <t>Goldstein, Joel</t>
  </si>
  <si>
    <t>Bishop, Susannah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</si>
</sst>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 h:mm;@"/>
    <numFmt numFmtId="165" formatCode="0.0"/>
    <numFmt numFmtId="166" formatCode="0.0%"/>
    <numFmt numFmtId="167" formatCode="[h]:mm:ss;@"/>
  </numFmts>
  <fonts count="65" x14ac:knownFonts="1">
    <font>
      <sz val="11"/>
      <color theme="1"/>
      <name val="Calibri"/>
      <family val="2"/>
      <scheme val="minor"/>
    </font>
    <font>
      <b/>
      <sz val="11"/>
      <color theme="1"/>
      <name val="Calibri"/>
      <family val="2"/>
      <scheme val="minor"/>
    </font>
    <font>
      <sz val="11"/>
      <color theme="0"/>
      <name val="Calibri"/>
      <family val="2"/>
      <scheme val="minor"/>
    </font>
    <font>
      <sz val="12"/>
      <color theme="1"/>
      <name val="Times New Roman"/>
      <family val="1"/>
    </font>
    <font>
      <b/>
      <sz val="14"/>
      <color theme="1"/>
      <name val="Calibri"/>
      <family val="2"/>
      <scheme val="minor"/>
    </font>
    <font>
      <b/>
      <sz val="10"/>
      <color theme="1"/>
      <name val="Calibri"/>
      <family val="2"/>
      <scheme val="minor"/>
    </font>
    <font>
      <b/>
      <sz val="12"/>
      <color theme="1"/>
      <name val="Calibri"/>
      <family val="2"/>
      <scheme val="minor"/>
    </font>
    <font>
      <sz val="8"/>
      <color rgb="FF000000"/>
      <name val="Tahoma"/>
      <family val="2"/>
    </font>
    <font>
      <sz val="11"/>
      <color theme="2"/>
      <name val="Calibri"/>
      <family val="2"/>
      <scheme val="minor"/>
    </font>
    <font>
      <sz val="11"/>
      <color theme="0" tint="-4.9989318521683403E-2"/>
      <name val="Calibri"/>
      <family val="2"/>
      <scheme val="minor"/>
    </font>
    <font>
      <sz val="11"/>
      <color theme="1"/>
      <name val="Wingdings 2"/>
      <family val="1"/>
      <charset val="2"/>
    </font>
    <font>
      <sz val="11"/>
      <color theme="1"/>
      <name val="Cambria"/>
      <family val="1"/>
      <scheme val="major"/>
    </font>
    <font>
      <b/>
      <sz val="11"/>
      <color theme="1"/>
      <name val="Wingdings 2"/>
      <family val="1"/>
      <charset val="2"/>
    </font>
    <font>
      <b/>
      <sz val="14"/>
      <color theme="1"/>
      <name val="Cambria"/>
      <family val="1"/>
      <scheme val="major"/>
    </font>
    <font>
      <sz val="11"/>
      <name val="Calibri"/>
      <family val="2"/>
      <scheme val="minor"/>
    </font>
    <font>
      <b/>
      <sz val="14"/>
      <name val="Calibri"/>
      <family val="2"/>
      <scheme val="minor"/>
    </font>
    <font>
      <b/>
      <sz val="11"/>
      <name val="Wingdings 2"/>
      <family val="1"/>
      <charset val="2"/>
    </font>
    <font>
      <sz val="12"/>
      <name val="Times New Roman"/>
      <family val="1"/>
    </font>
    <font>
      <b/>
      <sz val="14"/>
      <name val="Cambria"/>
      <family val="1"/>
      <scheme val="major"/>
    </font>
    <font>
      <sz val="11"/>
      <name val="Cambria"/>
      <family val="1"/>
      <scheme val="major"/>
    </font>
    <font>
      <b/>
      <sz val="12"/>
      <name val="Calibri"/>
      <family val="2"/>
      <scheme val="minor"/>
    </font>
    <font>
      <sz val="11"/>
      <color theme="5" tint="0.79998168889431442"/>
      <name val="Calibri"/>
      <family val="2"/>
      <scheme val="minor"/>
    </font>
    <font>
      <sz val="11"/>
      <color theme="4" tint="0.79998168889431442"/>
      <name val="Calibri"/>
      <family val="2"/>
      <scheme val="minor"/>
    </font>
    <font>
      <b/>
      <sz val="11"/>
      <name val="Calibri"/>
      <family val="2"/>
      <scheme val="minor"/>
    </font>
    <font>
      <sz val="11"/>
      <color theme="5" tint="0.59999389629810485"/>
      <name val="Calibri"/>
      <family val="2"/>
      <scheme val="minor"/>
    </font>
    <font>
      <sz val="9"/>
      <color indexed="81"/>
      <name val="Tahoma"/>
      <family val="2"/>
    </font>
    <font>
      <b/>
      <sz val="9"/>
      <color indexed="81"/>
      <name val="Tahoma"/>
      <family val="2"/>
    </font>
    <font>
      <sz val="11"/>
      <color rgb="FF000000"/>
      <name val="Calibri"/>
      <family val="2"/>
    </font>
    <font>
      <sz val="10"/>
      <name val="Calibri"/>
      <family val="2"/>
      <scheme val="minor"/>
    </font>
    <font>
      <sz val="12"/>
      <name val="Calibri"/>
      <family val="2"/>
      <scheme val="minor"/>
    </font>
    <font>
      <b/>
      <sz val="11"/>
      <name val="Cambria"/>
      <family val="1"/>
      <scheme val="major"/>
    </font>
    <font>
      <b/>
      <sz val="14"/>
      <name val="Wingdings 2"/>
      <family val="1"/>
      <charset val="2"/>
    </font>
    <font>
      <sz val="10"/>
      <name val="Times New Roman"/>
      <family val="1"/>
    </font>
    <font>
      <sz val="10"/>
      <color theme="0"/>
      <name val="Calibri"/>
      <family val="2"/>
      <scheme val="minor"/>
    </font>
    <font>
      <b/>
      <sz val="10"/>
      <name val="Wingdings 2"/>
      <family val="1"/>
      <charset val="2"/>
    </font>
    <font>
      <b/>
      <sz val="10"/>
      <name val="Calibri"/>
      <family val="2"/>
      <scheme val="minor"/>
    </font>
    <font>
      <b/>
      <sz val="10"/>
      <color theme="6" tint="0.79998168889431442"/>
      <name val="Calibri"/>
      <family val="2"/>
      <scheme val="minor"/>
    </font>
    <font>
      <b/>
      <sz val="10"/>
      <color theme="0"/>
      <name val="Calibri"/>
      <family val="2"/>
      <scheme val="minor"/>
    </font>
    <font>
      <sz val="14"/>
      <name val="Calibri"/>
      <family val="2"/>
      <scheme val="minor"/>
    </font>
    <font>
      <sz val="12"/>
      <color theme="0"/>
      <name val="Calibri"/>
      <family val="2"/>
      <scheme val="minor"/>
    </font>
    <font>
      <sz val="10"/>
      <name val="Calibri"/>
      <family val="2"/>
    </font>
    <font>
      <sz val="10"/>
      <color theme="0"/>
      <name val="Calibri"/>
      <family val="2"/>
    </font>
    <font>
      <sz val="10"/>
      <name val="Wingdings 2"/>
      <family val="1"/>
      <charset val="2"/>
    </font>
    <font>
      <sz val="9"/>
      <name val="Calibri"/>
      <family val="2"/>
      <scheme val="minor"/>
    </font>
    <font>
      <b/>
      <sz val="9"/>
      <name val="Calibri"/>
      <family val="2"/>
      <scheme val="minor"/>
    </font>
    <font>
      <sz val="10"/>
      <color theme="6" tint="0.79998168889431442"/>
      <name val="Calibri"/>
      <family val="2"/>
      <scheme val="minor"/>
    </font>
    <font>
      <sz val="10"/>
      <color theme="6" tint="0.79998168889431442"/>
      <name val="Calibri"/>
      <family val="2"/>
    </font>
    <font>
      <sz val="11"/>
      <color rgb="FFFF0000"/>
      <name val="Calibri"/>
      <family val="2"/>
      <scheme val="minor"/>
    </font>
    <font>
      <b/>
      <sz val="11"/>
      <color theme="0"/>
      <name val="Calibri"/>
      <family val="2"/>
      <scheme val="minor"/>
    </font>
    <font>
      <b/>
      <sz val="14"/>
      <color theme="0"/>
      <name val="Calibri"/>
      <family val="2"/>
      <scheme val="minor"/>
    </font>
    <font>
      <sz val="11"/>
      <color theme="0"/>
      <name val="Cambria"/>
      <family val="1"/>
      <scheme val="major"/>
    </font>
    <font>
      <b/>
      <sz val="10"/>
      <color theme="0"/>
      <name val="Wingdings 2"/>
      <family val="1"/>
      <charset val="2"/>
    </font>
    <font>
      <b/>
      <u/>
      <sz val="11"/>
      <color theme="1"/>
      <name val="Calibri"/>
      <family val="2"/>
      <scheme val="minor"/>
    </font>
    <font>
      <sz val="11"/>
      <color theme="6" tint="0.59999389629810485"/>
      <name val="Calibri"/>
      <family val="2"/>
      <scheme val="minor"/>
    </font>
    <font>
      <sz val="11"/>
      <color theme="3" tint="0.79998168889431442"/>
      <name val="Calibri"/>
      <family val="2"/>
      <scheme val="minor"/>
    </font>
    <font>
      <sz val="10"/>
      <color theme="3" tint="0.79998168889431442"/>
      <name val="Calibri"/>
      <family val="2"/>
      <scheme val="minor"/>
    </font>
    <font>
      <sz val="8"/>
      <name val="Calibri"/>
      <family val="2"/>
      <scheme val="minor"/>
    </font>
    <font>
      <b/>
      <sz val="8"/>
      <name val="Calibri"/>
      <family val="2"/>
      <scheme val="minor"/>
    </font>
    <font>
      <sz val="9"/>
      <name val="Calibri"/>
      <family val="2"/>
    </font>
    <font>
      <b/>
      <sz val="8"/>
      <color rgb="FF000000"/>
      <name val="Calibri"/>
      <family val="2"/>
    </font>
    <font>
      <sz val="10"/>
      <color theme="6" tint="0.39997558519241921"/>
      <name val="Calibri"/>
      <family val="2"/>
      <scheme val="minor"/>
    </font>
    <font>
      <b/>
      <sz val="12"/>
      <color theme="6" tint="0.79998168889431442"/>
      <name val="Calibri"/>
      <family val="2"/>
      <scheme val="minor"/>
    </font>
    <font>
      <sz val="10"/>
      <color theme="1"/>
      <name val="Calibri"/>
      <family val="2"/>
      <scheme val="minor"/>
    </font>
    <font>
      <sz val="8"/>
      <color theme="1"/>
      <name val="Calibri"/>
      <family val="2"/>
      <scheme val="minor"/>
    </font>
    <font>
      <sz val="8"/>
      <color rgb="FF000000"/>
      <name val="Segoe UI"/>
      <charset val="1"/>
    </font>
  </fonts>
  <fills count="30">
    <fill>
      <patternFill patternType="none"/>
    </fill>
    <fill>
      <patternFill patternType="gray125"/>
    </fill>
    <fill>
      <patternFill patternType="solid">
        <fgColor theme="0" tint="-4.9989318521683403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7FCB6"/>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00"/>
        <bgColor indexed="64"/>
      </patternFill>
    </fill>
    <fill>
      <patternFill patternType="solid">
        <fgColor rgb="FF00B05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bgColor indexed="64"/>
      </patternFill>
    </fill>
    <fill>
      <patternFill patternType="solid">
        <fgColor theme="7" tint="-0.249977111117893"/>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1"/>
        <bgColor indexed="64"/>
      </patternFill>
    </fill>
    <fill>
      <patternFill patternType="solid">
        <fgColor theme="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right style="hair">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thin">
        <color auto="1"/>
      </top>
      <bottom style="thin">
        <color auto="1"/>
      </bottom>
      <diagonal/>
    </border>
    <border>
      <left/>
      <right style="medium">
        <color indexed="64"/>
      </right>
      <top/>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dashed">
        <color indexed="64"/>
      </right>
      <top style="medium">
        <color indexed="64"/>
      </top>
      <bottom style="thin">
        <color indexed="64"/>
      </bottom>
      <diagonal/>
    </border>
    <border>
      <left/>
      <right style="dashed">
        <color indexed="64"/>
      </right>
      <top style="thin">
        <color indexed="64"/>
      </top>
      <bottom style="thin">
        <color indexed="64"/>
      </bottom>
      <diagonal/>
    </border>
    <border>
      <left/>
      <right style="dotted">
        <color indexed="64"/>
      </right>
      <top style="medium">
        <color indexed="64"/>
      </top>
      <bottom style="thin">
        <color indexed="64"/>
      </bottom>
      <diagonal/>
    </border>
    <border>
      <left/>
      <right style="dotted">
        <color indexed="64"/>
      </right>
      <top style="thin">
        <color indexed="64"/>
      </top>
      <bottom style="thin">
        <color indexed="64"/>
      </bottom>
      <diagonal/>
    </border>
    <border>
      <left style="dotted">
        <color indexed="64"/>
      </left>
      <right/>
      <top style="medium">
        <color indexed="64"/>
      </top>
      <bottom style="thin">
        <color indexed="64"/>
      </bottom>
      <diagonal/>
    </border>
    <border>
      <left style="dotted">
        <color indexed="64"/>
      </left>
      <right/>
      <top style="thin">
        <color indexed="64"/>
      </top>
      <bottom style="thin">
        <color indexed="64"/>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auto="1"/>
      </left>
      <right style="thin">
        <color auto="1"/>
      </right>
      <top style="medium">
        <color indexed="64"/>
      </top>
      <bottom style="medium">
        <color auto="1"/>
      </bottom>
      <diagonal/>
    </border>
    <border>
      <left style="thin">
        <color auto="1"/>
      </left>
      <right style="thin">
        <color auto="1"/>
      </right>
      <top style="medium">
        <color indexed="64"/>
      </top>
      <bottom style="medium">
        <color auto="1"/>
      </bottom>
      <diagonal/>
    </border>
    <border>
      <left style="thin">
        <color auto="1"/>
      </left>
      <right style="medium">
        <color auto="1"/>
      </right>
      <top style="medium">
        <color indexed="64"/>
      </top>
      <bottom style="medium">
        <color auto="1"/>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996">
    <xf numFmtId="0" fontId="0" fillId="0" borderId="0" xfId="0"/>
    <xf numFmtId="0" fontId="0" fillId="0" borderId="0" xfId="0" applyAlignment="1">
      <alignment horizontal="center" vertical="center"/>
    </xf>
    <xf numFmtId="0" fontId="0" fillId="0" borderId="0" xfId="0" applyAlignment="1">
      <alignment horizontal="right"/>
    </xf>
    <xf numFmtId="0" fontId="0" fillId="0" borderId="0" xfId="0" applyAlignment="1">
      <alignment horizontal="center"/>
    </xf>
    <xf numFmtId="0" fontId="0" fillId="0" borderId="0" xfId="0" applyAlignment="1">
      <alignment horizontal="left" vertical="center"/>
    </xf>
    <xf numFmtId="0" fontId="0" fillId="0" borderId="1" xfId="0" applyBorder="1"/>
    <xf numFmtId="164" fontId="0" fillId="0" borderId="1" xfId="0" applyNumberFormat="1" applyBorder="1"/>
    <xf numFmtId="0" fontId="0" fillId="0" borderId="1" xfId="0" applyBorder="1" applyAlignment="1">
      <alignment horizontal="center"/>
    </xf>
    <xf numFmtId="0" fontId="0" fillId="0" borderId="1" xfId="0" applyBorder="1" applyAlignment="1">
      <alignment horizontal="left"/>
    </xf>
    <xf numFmtId="0" fontId="0" fillId="0" borderId="0" xfId="0" applyAlignment="1">
      <alignment horizontal="right" vertical="center"/>
    </xf>
    <xf numFmtId="49" fontId="0" fillId="0" borderId="0" xfId="0" applyNumberFormat="1" applyAlignment="1">
      <alignment horizontal="center"/>
    </xf>
    <xf numFmtId="0" fontId="2" fillId="0" borderId="0" xfId="0" applyFont="1"/>
    <xf numFmtId="49" fontId="1" fillId="0" borderId="0" xfId="0" applyNumberFormat="1" applyFont="1" applyAlignment="1">
      <alignment horizontal="right" vertical="center"/>
    </xf>
    <xf numFmtId="0" fontId="0" fillId="0" borderId="0" xfId="0" applyAlignment="1">
      <alignment horizontal="left" vertical="top" wrapText="1"/>
    </xf>
    <xf numFmtId="0" fontId="3" fillId="0" borderId="0" xfId="0" applyFont="1"/>
    <xf numFmtId="49" fontId="0" fillId="0" borderId="0" xfId="0" applyNumberFormat="1" applyAlignment="1">
      <alignment horizontal="center" vertical="center"/>
    </xf>
    <xf numFmtId="0" fontId="1" fillId="0" borderId="0" xfId="0" applyFont="1" applyAlignment="1">
      <alignment horizontal="right"/>
    </xf>
    <xf numFmtId="0" fontId="4" fillId="0" borderId="1" xfId="0" applyFont="1" applyBorder="1" applyAlignment="1">
      <alignment horizontal="center" vertical="center"/>
    </xf>
    <xf numFmtId="0" fontId="4" fillId="0" borderId="0" xfId="0" applyFont="1" applyAlignment="1">
      <alignment horizontal="right"/>
    </xf>
    <xf numFmtId="0" fontId="4" fillId="0" borderId="0" xfId="0" applyFont="1" applyAlignment="1">
      <alignment horizontal="center" vertical="center"/>
    </xf>
    <xf numFmtId="9" fontId="4" fillId="0" borderId="10" xfId="0" applyNumberFormat="1" applyFont="1" applyBorder="1"/>
    <xf numFmtId="0" fontId="2" fillId="0" borderId="0" xfId="0" applyFont="1" applyAlignment="1">
      <alignment vertical="center"/>
    </xf>
    <xf numFmtId="0" fontId="0" fillId="0" borderId="0" xfId="0" applyAlignment="1">
      <alignment horizontal="left"/>
    </xf>
    <xf numFmtId="0" fontId="6" fillId="0" borderId="1" xfId="0" applyFont="1" applyBorder="1"/>
    <xf numFmtId="0" fontId="4" fillId="0" borderId="1" xfId="0" applyFont="1" applyBorder="1" applyAlignment="1" applyProtection="1">
      <alignment horizontal="center" vertical="center"/>
      <protection locked="0"/>
    </xf>
    <xf numFmtId="1" fontId="2" fillId="0" borderId="0" xfId="0" applyNumberFormat="1" applyFont="1"/>
    <xf numFmtId="1" fontId="4" fillId="0" borderId="1" xfId="0" applyNumberFormat="1" applyFont="1" applyBorder="1" applyAlignment="1">
      <alignment horizontal="center" vertical="center"/>
    </xf>
    <xf numFmtId="165" fontId="0" fillId="0" borderId="0" xfId="0" applyNumberFormat="1" applyAlignment="1">
      <alignment horizontal="right" vertical="center"/>
    </xf>
    <xf numFmtId="165" fontId="0" fillId="0" borderId="1" xfId="0" applyNumberFormat="1" applyBorder="1"/>
    <xf numFmtId="0" fontId="0" fillId="0" borderId="10" xfId="0" applyBorder="1"/>
    <xf numFmtId="0" fontId="0" fillId="2" borderId="0" xfId="0" applyFill="1" applyAlignment="1">
      <alignment horizontal="right"/>
    </xf>
    <xf numFmtId="0" fontId="0" fillId="2" borderId="0" xfId="0" applyFill="1"/>
    <xf numFmtId="0" fontId="8" fillId="2" borderId="0" xfId="0" applyFont="1" applyFill="1"/>
    <xf numFmtId="0" fontId="3" fillId="2" borderId="0" xfId="0" applyFont="1" applyFill="1"/>
    <xf numFmtId="0" fontId="8" fillId="2" borderId="0" xfId="0" applyFont="1" applyFill="1" applyAlignment="1">
      <alignment vertical="center"/>
    </xf>
    <xf numFmtId="0" fontId="0" fillId="0" borderId="0" xfId="0" applyAlignment="1">
      <alignment vertical="top" wrapText="1"/>
    </xf>
    <xf numFmtId="0" fontId="9" fillId="2" borderId="0" xfId="0" applyFont="1" applyFill="1"/>
    <xf numFmtId="0" fontId="5" fillId="0" borderId="0" xfId="0" applyFont="1" applyAlignment="1">
      <alignment horizontal="center"/>
    </xf>
    <xf numFmtId="0" fontId="0" fillId="2" borderId="0" xfId="0" applyFill="1" applyAlignment="1">
      <alignment horizontal="right" vertical="center"/>
    </xf>
    <xf numFmtId="165" fontId="0" fillId="0" borderId="0" xfId="0" applyNumberFormat="1"/>
    <xf numFmtId="0" fontId="9" fillId="0" borderId="0" xfId="0" applyFont="1"/>
    <xf numFmtId="0" fontId="0" fillId="0" borderId="0" xfId="0" applyAlignment="1" applyProtection="1">
      <alignment horizontal="left" vertical="top" wrapText="1"/>
      <protection locked="0"/>
    </xf>
    <xf numFmtId="9" fontId="4" fillId="0" borderId="0" xfId="0" applyNumberFormat="1" applyFont="1"/>
    <xf numFmtId="0" fontId="0" fillId="0" borderId="13" xfId="0" applyBorder="1"/>
    <xf numFmtId="0" fontId="0" fillId="0" borderId="14" xfId="0" applyBorder="1"/>
    <xf numFmtId="0" fontId="0" fillId="0" borderId="15" xfId="0" applyBorder="1"/>
    <xf numFmtId="0" fontId="0" fillId="0" borderId="1" xfId="0" applyBorder="1" applyAlignment="1">
      <alignment horizontal="center" vertical="center"/>
    </xf>
    <xf numFmtId="9" fontId="4" fillId="0" borderId="16" xfId="0" applyNumberFormat="1" applyFont="1" applyBorder="1" applyProtection="1">
      <protection locked="0"/>
    </xf>
    <xf numFmtId="9" fontId="4" fillId="0" borderId="0" xfId="0" applyNumberFormat="1" applyFont="1" applyProtection="1">
      <protection locked="0"/>
    </xf>
    <xf numFmtId="0" fontId="0" fillId="0" borderId="0" xfId="0" applyAlignment="1">
      <alignment vertical="center"/>
    </xf>
    <xf numFmtId="0" fontId="10" fillId="0" borderId="0" xfId="0" applyFont="1"/>
    <xf numFmtId="0" fontId="0" fillId="0" borderId="19" xfId="0" applyBorder="1"/>
    <xf numFmtId="0" fontId="11" fillId="0" borderId="0" xfId="0" applyFont="1"/>
    <xf numFmtId="0" fontId="4" fillId="0" borderId="0" xfId="0" applyFont="1" applyAlignment="1">
      <alignment horizontal="center"/>
    </xf>
    <xf numFmtId="0" fontId="0" fillId="0" borderId="11" xfId="0" applyBorder="1" applyProtection="1">
      <protection locked="0"/>
    </xf>
    <xf numFmtId="0" fontId="0" fillId="0" borderId="12" xfId="0" applyBorder="1" applyProtection="1">
      <protection locked="0"/>
    </xf>
    <xf numFmtId="0" fontId="0" fillId="0" borderId="21" xfId="0" applyBorder="1" applyAlignment="1" applyProtection="1">
      <alignment horizontal="center"/>
      <protection locked="0"/>
    </xf>
    <xf numFmtId="0" fontId="12" fillId="0" borderId="0" xfId="0" applyFont="1" applyAlignment="1" applyProtection="1">
      <alignment horizontal="center" vertical="center"/>
      <protection locked="0"/>
    </xf>
    <xf numFmtId="0" fontId="14" fillId="0" borderId="0" xfId="0" applyFont="1"/>
    <xf numFmtId="0" fontId="0" fillId="0" borderId="10" xfId="0" applyBorder="1" applyProtection="1">
      <protection locked="0"/>
    </xf>
    <xf numFmtId="0" fontId="14" fillId="0" borderId="0" xfId="0" applyFont="1" applyAlignment="1">
      <alignment horizontal="right"/>
    </xf>
    <xf numFmtId="0" fontId="14" fillId="0" borderId="0" xfId="0" applyFont="1" applyAlignment="1">
      <alignment horizontal="center"/>
    </xf>
    <xf numFmtId="0" fontId="14" fillId="0" borderId="19" xfId="0" applyFont="1" applyBorder="1"/>
    <xf numFmtId="0" fontId="14" fillId="0" borderId="21" xfId="0" applyFont="1" applyBorder="1" applyAlignment="1" applyProtection="1">
      <alignment horizontal="center"/>
      <protection locked="0"/>
    </xf>
    <xf numFmtId="0" fontId="14" fillId="0" borderId="11" xfId="0" applyFont="1" applyBorder="1" applyProtection="1">
      <protection locked="0"/>
    </xf>
    <xf numFmtId="0" fontId="14" fillId="0" borderId="12" xfId="0" applyFont="1" applyBorder="1" applyProtection="1">
      <protection locked="0"/>
    </xf>
    <xf numFmtId="0" fontId="16" fillId="0" borderId="0" xfId="0" applyFont="1" applyAlignment="1" applyProtection="1">
      <alignment horizontal="center" vertical="center"/>
      <protection locked="0"/>
    </xf>
    <xf numFmtId="0" fontId="14" fillId="0" borderId="0" xfId="0" applyFont="1" applyAlignment="1">
      <alignment horizontal="center" vertical="center"/>
    </xf>
    <xf numFmtId="0" fontId="15" fillId="0" borderId="0" xfId="0" applyFont="1" applyAlignment="1">
      <alignment horizontal="center"/>
    </xf>
    <xf numFmtId="0" fontId="19" fillId="0" borderId="0" xfId="0" applyFont="1"/>
    <xf numFmtId="0" fontId="14" fillId="2" borderId="0" xfId="0" applyFont="1" applyFill="1" applyAlignment="1">
      <alignment horizontal="right"/>
    </xf>
    <xf numFmtId="0" fontId="14" fillId="2" borderId="0" xfId="0" applyFont="1" applyFill="1"/>
    <xf numFmtId="0" fontId="14" fillId="0" borderId="10" xfId="0" applyFont="1" applyBorder="1" applyProtection="1">
      <protection locked="0"/>
    </xf>
    <xf numFmtId="0" fontId="14" fillId="0" borderId="0" xfId="0" applyFont="1" applyAlignment="1">
      <alignment horizontal="left"/>
    </xf>
    <xf numFmtId="49" fontId="14" fillId="0" borderId="0" xfId="0" applyNumberFormat="1" applyFont="1" applyAlignment="1">
      <alignment horizontal="center"/>
    </xf>
    <xf numFmtId="0" fontId="21" fillId="0" borderId="0" xfId="0" applyFont="1" applyAlignment="1">
      <alignment vertical="center"/>
    </xf>
    <xf numFmtId="1" fontId="14" fillId="0" borderId="1" xfId="0" applyNumberFormat="1" applyFont="1" applyBorder="1"/>
    <xf numFmtId="0" fontId="14" fillId="0" borderId="1" xfId="0" applyFont="1" applyBorder="1"/>
    <xf numFmtId="0" fontId="24" fillId="5" borderId="1" xfId="0" applyFont="1" applyFill="1" applyBorder="1"/>
    <xf numFmtId="0" fontId="0" fillId="0" borderId="13"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1" fillId="0" borderId="15" xfId="0" applyFont="1" applyBorder="1"/>
    <xf numFmtId="0" fontId="1" fillId="0" borderId="14" xfId="0" applyFont="1" applyBorder="1"/>
    <xf numFmtId="0" fontId="0" fillId="0" borderId="13" xfId="0" quotePrefix="1" applyBorder="1"/>
    <xf numFmtId="0" fontId="0" fillId="0" borderId="15" xfId="0" quotePrefix="1" applyBorder="1"/>
    <xf numFmtId="0" fontId="0" fillId="0" borderId="14" xfId="0" quotePrefix="1" applyBorder="1"/>
    <xf numFmtId="0" fontId="0" fillId="0" borderId="2" xfId="0" applyBorder="1"/>
    <xf numFmtId="0" fontId="0" fillId="0" borderId="5" xfId="0" applyBorder="1"/>
    <xf numFmtId="0" fontId="0" fillId="0" borderId="7" xfId="0" applyBorder="1"/>
    <xf numFmtId="0" fontId="0" fillId="0" borderId="4" xfId="0" applyBorder="1"/>
    <xf numFmtId="0" fontId="0" fillId="0" borderId="6" xfId="0" applyBorder="1"/>
    <xf numFmtId="0" fontId="0" fillId="0" borderId="9" xfId="0" applyBorder="1"/>
    <xf numFmtId="0" fontId="14" fillId="0" borderId="13" xfId="0" applyFont="1" applyBorder="1"/>
    <xf numFmtId="0" fontId="14" fillId="0" borderId="14" xfId="0" applyFont="1" applyBorder="1"/>
    <xf numFmtId="0" fontId="0" fillId="0" borderId="13" xfId="0" applyBorder="1" applyAlignment="1">
      <alignment horizontal="center"/>
    </xf>
    <xf numFmtId="0" fontId="14" fillId="0" borderId="1" xfId="0" applyFont="1" applyBorder="1" applyAlignment="1" applyProtection="1">
      <alignment horizontal="center" vertical="center"/>
      <protection locked="0"/>
    </xf>
    <xf numFmtId="0" fontId="31" fillId="0" borderId="0" xfId="0" applyFont="1" applyAlignment="1" applyProtection="1">
      <alignment horizontal="center" vertical="center"/>
      <protection locked="0"/>
    </xf>
    <xf numFmtId="0" fontId="34" fillId="0" borderId="0" xfId="0" applyFont="1" applyAlignment="1" applyProtection="1">
      <alignment horizontal="center" vertical="center"/>
      <protection locked="0"/>
    </xf>
    <xf numFmtId="0" fontId="34" fillId="0" borderId="0" xfId="0" applyFont="1" applyAlignment="1" applyProtection="1">
      <alignment horizontal="center"/>
      <protection locked="0"/>
    </xf>
    <xf numFmtId="0" fontId="34" fillId="0" borderId="0" xfId="0" applyFont="1" applyAlignment="1" applyProtection="1">
      <alignment vertical="center"/>
      <protection locked="0"/>
    </xf>
    <xf numFmtId="0" fontId="29" fillId="6" borderId="21" xfId="0" applyFont="1" applyFill="1" applyBorder="1" applyAlignment="1" applyProtection="1">
      <alignment horizontal="center"/>
      <protection locked="0"/>
    </xf>
    <xf numFmtId="0" fontId="29" fillId="3" borderId="1" xfId="0" applyFont="1" applyFill="1" applyBorder="1" applyAlignment="1" applyProtection="1">
      <alignment horizontal="center"/>
      <protection locked="0"/>
    </xf>
    <xf numFmtId="0" fontId="29" fillId="3" borderId="1" xfId="0" applyFont="1" applyFill="1" applyBorder="1" applyAlignment="1" applyProtection="1">
      <alignment horizontal="center" vertical="center"/>
      <protection locked="0"/>
    </xf>
    <xf numFmtId="0" fontId="28" fillId="0" borderId="1" xfId="0" applyFont="1" applyBorder="1" applyAlignment="1" applyProtection="1">
      <alignment horizontal="center" vertical="center"/>
      <protection locked="0"/>
    </xf>
    <xf numFmtId="0" fontId="34" fillId="0" borderId="0" xfId="0" applyFont="1" applyAlignment="1" applyProtection="1">
      <alignment horizontal="center" vertical="center"/>
    </xf>
    <xf numFmtId="0" fontId="28" fillId="0" borderId="0" xfId="0" applyFont="1" applyAlignment="1" applyProtection="1">
      <alignment horizontal="center" vertical="center"/>
    </xf>
    <xf numFmtId="0" fontId="33" fillId="0" borderId="0" xfId="0" applyFont="1" applyProtection="1"/>
    <xf numFmtId="0" fontId="29" fillId="0" borderId="0" xfId="0" applyFont="1" applyProtection="1"/>
    <xf numFmtId="1" fontId="39" fillId="0" borderId="0" xfId="0" applyNumberFormat="1" applyFont="1" applyAlignment="1" applyProtection="1">
      <alignment horizontal="center" vertical="center"/>
    </xf>
    <xf numFmtId="49" fontId="28" fillId="0" borderId="0" xfId="0" applyNumberFormat="1" applyFont="1" applyAlignment="1" applyProtection="1">
      <alignment horizontal="center"/>
    </xf>
    <xf numFmtId="0" fontId="35" fillId="0" borderId="0" xfId="0" applyFont="1" applyAlignment="1" applyProtection="1">
      <alignment horizontal="center"/>
    </xf>
    <xf numFmtId="0" fontId="28" fillId="0" borderId="0" xfId="0" applyFont="1" applyAlignment="1" applyProtection="1">
      <alignment horizontal="right"/>
    </xf>
    <xf numFmtId="49" fontId="28" fillId="0" borderId="0" xfId="0" applyNumberFormat="1" applyFont="1" applyAlignment="1" applyProtection="1">
      <alignment horizontal="right"/>
    </xf>
    <xf numFmtId="1" fontId="39" fillId="0" borderId="0" xfId="0" applyNumberFormat="1" applyFont="1" applyProtection="1"/>
    <xf numFmtId="0" fontId="29" fillId="6" borderId="19" xfId="0" applyFont="1" applyFill="1" applyBorder="1" applyAlignment="1" applyProtection="1">
      <alignment horizontal="center"/>
    </xf>
    <xf numFmtId="0" fontId="39" fillId="0" borderId="0" xfId="0" applyFont="1" applyProtection="1"/>
    <xf numFmtId="1" fontId="29" fillId="0" borderId="0" xfId="0" applyNumberFormat="1" applyFont="1" applyProtection="1"/>
    <xf numFmtId="1" fontId="28" fillId="0" borderId="0" xfId="0" applyNumberFormat="1" applyFont="1" applyAlignment="1" applyProtection="1">
      <alignment horizontal="center"/>
    </xf>
    <xf numFmtId="1" fontId="35" fillId="0" borderId="0" xfId="0" applyNumberFormat="1" applyFont="1" applyAlignment="1" applyProtection="1">
      <alignment horizontal="center"/>
    </xf>
    <xf numFmtId="1" fontId="35" fillId="0" borderId="0" xfId="0" applyNumberFormat="1" applyFont="1" applyAlignment="1" applyProtection="1">
      <alignment horizontal="center" vertical="center"/>
    </xf>
    <xf numFmtId="1" fontId="28" fillId="0" borderId="0" xfId="0" applyNumberFormat="1" applyFont="1" applyProtection="1"/>
    <xf numFmtId="0" fontId="34" fillId="0" borderId="0" xfId="0" applyFont="1" applyProtection="1"/>
    <xf numFmtId="1" fontId="33" fillId="0" borderId="0" xfId="0" applyNumberFormat="1" applyFont="1" applyProtection="1"/>
    <xf numFmtId="2" fontId="28" fillId="0" borderId="0" xfId="0" applyNumberFormat="1" applyFont="1" applyProtection="1"/>
    <xf numFmtId="49" fontId="28" fillId="0" borderId="0" xfId="0" applyNumberFormat="1" applyFont="1" applyProtection="1"/>
    <xf numFmtId="49" fontId="28" fillId="0" borderId="5" xfId="0" applyNumberFormat="1" applyFont="1" applyBorder="1" applyAlignment="1" applyProtection="1">
      <alignment horizontal="left" vertical="center"/>
    </xf>
    <xf numFmtId="0" fontId="14" fillId="0" borderId="0" xfId="0" applyFont="1" applyProtection="1"/>
    <xf numFmtId="0" fontId="14" fillId="0" borderId="0" xfId="0" applyFont="1" applyAlignment="1" applyProtection="1">
      <alignment horizontal="center"/>
    </xf>
    <xf numFmtId="0" fontId="2" fillId="0" borderId="0" xfId="0" applyFont="1" applyProtection="1"/>
    <xf numFmtId="0" fontId="28" fillId="0" borderId="0" xfId="0" applyFont="1" applyFill="1" applyBorder="1" applyAlignment="1" applyProtection="1">
      <alignment horizontal="center"/>
    </xf>
    <xf numFmtId="0" fontId="28" fillId="3" borderId="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protection locked="0"/>
    </xf>
    <xf numFmtId="0" fontId="28" fillId="3" borderId="0" xfId="0" applyFont="1" applyFill="1" applyAlignment="1" applyProtection="1">
      <alignment horizontal="center" vertical="center"/>
    </xf>
    <xf numFmtId="0" fontId="34" fillId="3" borderId="0" xfId="0" applyFont="1" applyFill="1" applyAlignment="1" applyProtection="1">
      <alignment horizontal="center" vertical="center"/>
    </xf>
    <xf numFmtId="0" fontId="28" fillId="3" borderId="0" xfId="0" applyFont="1" applyFill="1" applyProtection="1"/>
    <xf numFmtId="0" fontId="28" fillId="8" borderId="17" xfId="0" applyFont="1" applyFill="1" applyBorder="1" applyProtection="1"/>
    <xf numFmtId="0" fontId="34" fillId="8" borderId="12" xfId="0" applyFont="1" applyFill="1" applyBorder="1" applyAlignment="1" applyProtection="1">
      <alignment horizontal="center" vertical="center"/>
    </xf>
    <xf numFmtId="0" fontId="28" fillId="3" borderId="0" xfId="0" applyFont="1" applyFill="1" applyAlignment="1" applyProtection="1"/>
    <xf numFmtId="0" fontId="28" fillId="0" borderId="0" xfId="0" applyFont="1" applyAlignment="1" applyProtection="1">
      <alignment horizontal="left" vertical="top"/>
    </xf>
    <xf numFmtId="0" fontId="28" fillId="0" borderId="2" xfId="0" applyFont="1" applyBorder="1" applyAlignment="1" applyProtection="1">
      <alignment horizontal="left" vertical="top"/>
    </xf>
    <xf numFmtId="0" fontId="28" fillId="0" borderId="3" xfId="0" applyFont="1" applyBorder="1" applyAlignment="1" applyProtection="1">
      <alignment horizontal="left" vertical="top"/>
    </xf>
    <xf numFmtId="0" fontId="28" fillId="0" borderId="3" xfId="0" applyFont="1" applyBorder="1" applyProtection="1"/>
    <xf numFmtId="0" fontId="35" fillId="0" borderId="3" xfId="0" applyFont="1" applyBorder="1" applyAlignment="1" applyProtection="1">
      <alignment horizontal="center" vertical="center"/>
    </xf>
    <xf numFmtId="0" fontId="35" fillId="0" borderId="3" xfId="0" applyFont="1" applyBorder="1" applyAlignment="1" applyProtection="1">
      <alignment vertical="center"/>
    </xf>
    <xf numFmtId="0" fontId="28" fillId="0" borderId="4" xfId="0" applyFont="1" applyBorder="1" applyAlignment="1" applyProtection="1">
      <alignment horizontal="left" vertical="top"/>
    </xf>
    <xf numFmtId="0" fontId="28" fillId="0" borderId="5" xfId="0" applyFont="1" applyBorder="1" applyAlignment="1" applyProtection="1">
      <alignment horizontal="left" vertical="top"/>
    </xf>
    <xf numFmtId="0" fontId="37" fillId="0" borderId="0" xfId="0" applyFont="1" applyAlignment="1" applyProtection="1">
      <alignment vertical="center"/>
    </xf>
    <xf numFmtId="0" fontId="28" fillId="0" borderId="6" xfId="0" applyFont="1" applyBorder="1" applyAlignment="1" applyProtection="1">
      <alignment horizontal="left" vertical="top"/>
    </xf>
    <xf numFmtId="0" fontId="29" fillId="0" borderId="7" xfId="0" applyFont="1" applyBorder="1" applyAlignment="1" applyProtection="1">
      <alignment horizontal="left" vertical="top"/>
    </xf>
    <xf numFmtId="0" fontId="29" fillId="0" borderId="8" xfId="0" applyFont="1" applyBorder="1" applyAlignment="1" applyProtection="1">
      <alignment horizontal="left" vertical="top"/>
    </xf>
    <xf numFmtId="0" fontId="20" fillId="0" borderId="8" xfId="0" applyFont="1" applyBorder="1" applyAlignment="1" applyProtection="1">
      <alignment vertical="center"/>
    </xf>
    <xf numFmtId="0" fontId="29" fillId="0" borderId="9" xfId="0" applyFont="1" applyBorder="1" applyAlignment="1" applyProtection="1">
      <alignment horizontal="left" vertical="top"/>
    </xf>
    <xf numFmtId="0" fontId="28" fillId="0" borderId="0" xfId="0" applyFont="1" applyAlignment="1" applyProtection="1">
      <alignment vertical="center"/>
    </xf>
    <xf numFmtId="0" fontId="28" fillId="0" borderId="7" xfId="0" applyFont="1" applyBorder="1" applyAlignment="1" applyProtection="1">
      <alignment horizontal="left" vertical="top"/>
    </xf>
    <xf numFmtId="0" fontId="28" fillId="0" borderId="8" xfId="0" applyFont="1" applyBorder="1" applyAlignment="1" applyProtection="1">
      <alignment horizontal="left" vertical="top"/>
    </xf>
    <xf numFmtId="0" fontId="35" fillId="0" borderId="8" xfId="0" applyFont="1" applyBorder="1" applyAlignment="1" applyProtection="1">
      <alignment vertical="center"/>
    </xf>
    <xf numFmtId="0" fontId="35" fillId="0" borderId="8" xfId="0" applyFont="1" applyBorder="1" applyAlignment="1" applyProtection="1">
      <alignment horizontal="center" vertical="center"/>
    </xf>
    <xf numFmtId="0" fontId="28" fillId="0" borderId="9" xfId="0" applyFont="1" applyBorder="1" applyAlignment="1" applyProtection="1">
      <alignment horizontal="left" vertical="top"/>
    </xf>
    <xf numFmtId="0" fontId="28" fillId="0" borderId="2" xfId="0" applyFont="1" applyBorder="1" applyAlignment="1" applyProtection="1">
      <alignment horizontal="center"/>
    </xf>
    <xf numFmtId="0" fontId="28" fillId="0" borderId="3" xfId="0" applyFont="1" applyBorder="1" applyAlignment="1" applyProtection="1">
      <alignment horizontal="center"/>
    </xf>
    <xf numFmtId="0" fontId="28" fillId="0" borderId="4" xfId="0" applyFont="1" applyBorder="1" applyAlignment="1" applyProtection="1">
      <alignment horizontal="center"/>
    </xf>
    <xf numFmtId="0" fontId="28" fillId="0" borderId="4" xfId="0" applyFont="1" applyBorder="1" applyProtection="1"/>
    <xf numFmtId="0" fontId="34" fillId="0" borderId="0" xfId="0" applyFont="1" applyAlignment="1" applyProtection="1">
      <alignment vertical="center"/>
    </xf>
    <xf numFmtId="0" fontId="34" fillId="0" borderId="8" xfId="0" applyFont="1" applyBorder="1" applyAlignment="1" applyProtection="1">
      <alignment vertical="center"/>
    </xf>
    <xf numFmtId="0" fontId="45" fillId="3" borderId="0" xfId="0" applyFont="1" applyFill="1" applyProtection="1"/>
    <xf numFmtId="0" fontId="34" fillId="0" borderId="14" xfId="0" applyFont="1" applyBorder="1" applyAlignment="1" applyProtection="1">
      <alignment horizontal="center" vertical="center"/>
      <protection locked="0"/>
    </xf>
    <xf numFmtId="0" fontId="34" fillId="0" borderId="14" xfId="0" applyFont="1" applyBorder="1" applyAlignment="1" applyProtection="1">
      <alignment horizontal="center" vertical="center"/>
    </xf>
    <xf numFmtId="0" fontId="34" fillId="3" borderId="14" xfId="0" applyFont="1" applyFill="1" applyBorder="1" applyAlignment="1" applyProtection="1">
      <alignment horizontal="center" vertical="center"/>
      <protection locked="0"/>
    </xf>
    <xf numFmtId="0" fontId="28" fillId="3" borderId="14" xfId="0" applyFont="1" applyFill="1" applyBorder="1" applyProtection="1"/>
    <xf numFmtId="0" fontId="34" fillId="3" borderId="14" xfId="0" applyFont="1" applyFill="1" applyBorder="1" applyAlignment="1" applyProtection="1">
      <alignment horizontal="center" vertical="center"/>
    </xf>
    <xf numFmtId="0" fontId="28" fillId="0" borderId="14" xfId="0" applyFont="1" applyBorder="1" applyProtection="1"/>
    <xf numFmtId="0" fontId="45" fillId="3" borderId="14" xfId="0" applyFont="1" applyFill="1" applyBorder="1" applyProtection="1"/>
    <xf numFmtId="0" fontId="34" fillId="0" borderId="14" xfId="0" applyFont="1" applyFill="1" applyBorder="1" applyAlignment="1" applyProtection="1">
      <alignment horizontal="center" vertical="center"/>
    </xf>
    <xf numFmtId="0" fontId="40" fillId="3" borderId="14" xfId="0" applyFont="1" applyFill="1" applyBorder="1" applyAlignment="1" applyProtection="1">
      <alignment vertical="center"/>
    </xf>
    <xf numFmtId="0" fontId="40" fillId="0" borderId="14" xfId="0" applyFont="1" applyBorder="1" applyAlignment="1" applyProtection="1">
      <alignment vertical="center"/>
    </xf>
    <xf numFmtId="0" fontId="40" fillId="3" borderId="14" xfId="0" applyFont="1" applyFill="1" applyBorder="1" applyAlignment="1" applyProtection="1">
      <alignment horizontal="left" vertical="center"/>
    </xf>
    <xf numFmtId="0" fontId="40" fillId="0" borderId="14" xfId="0" applyFont="1" applyBorder="1" applyAlignment="1" applyProtection="1">
      <alignment horizontal="left" vertical="center"/>
    </xf>
    <xf numFmtId="0" fontId="40" fillId="3" borderId="14" xfId="0" applyFont="1" applyFill="1" applyBorder="1" applyAlignment="1" applyProtection="1">
      <alignment vertical="center" wrapText="1"/>
    </xf>
    <xf numFmtId="0" fontId="40" fillId="0" borderId="14" xfId="0" applyFont="1" applyBorder="1" applyAlignment="1" applyProtection="1">
      <alignment vertical="center" wrapText="1"/>
    </xf>
    <xf numFmtId="0" fontId="40" fillId="3" borderId="14" xfId="0" applyFont="1" applyFill="1" applyBorder="1" applyAlignment="1" applyProtection="1">
      <alignment horizontal="left" vertical="center" wrapText="1"/>
    </xf>
    <xf numFmtId="0" fontId="40" fillId="0" borderId="14" xfId="0" applyFont="1" applyBorder="1" applyAlignment="1" applyProtection="1">
      <alignment horizontal="left" vertical="center" wrapText="1"/>
    </xf>
    <xf numFmtId="0" fontId="46" fillId="3" borderId="14" xfId="0" applyFont="1" applyFill="1" applyBorder="1" applyAlignment="1" applyProtection="1">
      <alignment vertical="center"/>
    </xf>
    <xf numFmtId="0" fontId="28" fillId="3" borderId="14" xfId="0" applyFont="1" applyFill="1" applyBorder="1" applyAlignment="1" applyProtection="1">
      <alignment horizontal="center" vertical="center"/>
    </xf>
    <xf numFmtId="0" fontId="28" fillId="0" borderId="14" xfId="0" applyFont="1" applyBorder="1" applyAlignment="1" applyProtection="1">
      <alignment horizontal="center" vertical="center"/>
    </xf>
    <xf numFmtId="0" fontId="34" fillId="0" borderId="14" xfId="0" applyFont="1" applyFill="1" applyBorder="1" applyAlignment="1" applyProtection="1">
      <alignment horizontal="center" vertical="center"/>
      <protection locked="0"/>
    </xf>
    <xf numFmtId="49" fontId="34" fillId="0" borderId="14" xfId="0" applyNumberFormat="1" applyFont="1" applyBorder="1" applyAlignment="1" applyProtection="1">
      <alignment horizontal="center" vertical="center"/>
      <protection locked="0"/>
    </xf>
    <xf numFmtId="0" fontId="34" fillId="0" borderId="14" xfId="0" applyFont="1" applyBorder="1" applyAlignment="1" applyProtection="1">
      <alignment horizontal="center"/>
      <protection locked="0"/>
    </xf>
    <xf numFmtId="0" fontId="23" fillId="0" borderId="14" xfId="0" applyFont="1" applyBorder="1" applyAlignment="1" applyProtection="1">
      <alignment horizontal="center" vertical="center"/>
    </xf>
    <xf numFmtId="0" fontId="35" fillId="3" borderId="14" xfId="0" applyFont="1" applyFill="1" applyBorder="1" applyAlignment="1" applyProtection="1">
      <alignment horizontal="center" vertical="center"/>
    </xf>
    <xf numFmtId="0" fontId="35" fillId="0" borderId="14" xfId="0" applyFont="1" applyBorder="1" applyAlignment="1" applyProtection="1">
      <alignment horizontal="center" vertical="center"/>
    </xf>
    <xf numFmtId="0" fontId="0" fillId="0" borderId="0" xfId="0"/>
    <xf numFmtId="49" fontId="0" fillId="0" borderId="0" xfId="0" applyNumberFormat="1" applyAlignment="1">
      <alignment horizontal="left"/>
    </xf>
    <xf numFmtId="0" fontId="4" fillId="0" borderId="0" xfId="0" applyFont="1" applyAlignment="1">
      <alignment horizontal="right"/>
    </xf>
    <xf numFmtId="0" fontId="0" fillId="0" borderId="0" xfId="0" applyAlignment="1">
      <alignment horizontal="center"/>
    </xf>
    <xf numFmtId="49" fontId="0" fillId="0" borderId="0" xfId="0" applyNumberFormat="1" applyAlignment="1">
      <alignment horizontal="center"/>
    </xf>
    <xf numFmtId="165" fontId="4" fillId="0" borderId="0" xfId="0" applyNumberFormat="1" applyFont="1" applyBorder="1" applyAlignment="1">
      <alignment horizontal="center"/>
    </xf>
    <xf numFmtId="0" fontId="47" fillId="0" borderId="0" xfId="0" applyFont="1"/>
    <xf numFmtId="0" fontId="0" fillId="0" borderId="0" xfId="0" applyFont="1" applyAlignment="1">
      <alignment horizontal="right"/>
    </xf>
    <xf numFmtId="0" fontId="2" fillId="0" borderId="0" xfId="0" applyFont="1" applyFill="1"/>
    <xf numFmtId="0" fontId="14" fillId="3" borderId="1" xfId="0" applyFont="1" applyFill="1" applyBorder="1" applyProtection="1">
      <protection locked="0"/>
    </xf>
    <xf numFmtId="0" fontId="14" fillId="0" borderId="37" xfId="0" applyFont="1" applyBorder="1" applyProtection="1">
      <protection locked="0"/>
    </xf>
    <xf numFmtId="0" fontId="51" fillId="0" borderId="14" xfId="0" applyFont="1" applyBorder="1" applyAlignment="1" applyProtection="1">
      <alignment horizontal="center" vertical="center"/>
    </xf>
    <xf numFmtId="0" fontId="33" fillId="0" borderId="14" xfId="0" applyFont="1" applyFill="1" applyBorder="1" applyProtection="1"/>
    <xf numFmtId="0" fontId="41" fillId="0" borderId="14" xfId="0" applyFont="1" applyFill="1" applyBorder="1" applyAlignment="1" applyProtection="1">
      <alignment vertical="center"/>
    </xf>
    <xf numFmtId="0" fontId="33" fillId="0" borderId="14" xfId="0" applyFont="1" applyBorder="1" applyAlignment="1" applyProtection="1">
      <alignment horizontal="center" vertical="center"/>
    </xf>
    <xf numFmtId="0" fontId="33" fillId="0" borderId="0" xfId="0" applyFont="1" applyFill="1" applyProtection="1"/>
    <xf numFmtId="0" fontId="51" fillId="0" borderId="0" xfId="0" applyFont="1" applyAlignment="1" applyProtection="1">
      <alignment horizontal="center" vertical="center"/>
    </xf>
    <xf numFmtId="0" fontId="51" fillId="0" borderId="14" xfId="0" applyFont="1" applyFill="1" applyBorder="1" applyAlignment="1" applyProtection="1">
      <alignment horizontal="center" vertical="center"/>
    </xf>
    <xf numFmtId="0" fontId="33" fillId="0" borderId="14" xfId="0" applyFont="1" applyFill="1" applyBorder="1" applyAlignment="1" applyProtection="1">
      <alignment horizontal="center" vertical="center"/>
    </xf>
    <xf numFmtId="0" fontId="36" fillId="0" borderId="0" xfId="0" applyFont="1" applyAlignment="1" applyProtection="1">
      <alignment vertical="center"/>
    </xf>
    <xf numFmtId="0" fontId="33" fillId="29" borderId="0" xfId="0" applyFont="1" applyFill="1" applyProtection="1"/>
    <xf numFmtId="0" fontId="45" fillId="3" borderId="14" xfId="0" applyFont="1" applyFill="1" applyBorder="1" applyAlignment="1" applyProtection="1">
      <alignment horizontal="center" vertical="center"/>
    </xf>
    <xf numFmtId="0" fontId="33" fillId="0" borderId="0" xfId="0" applyFont="1" applyAlignment="1" applyProtection="1">
      <alignment horizontal="center" vertical="center"/>
    </xf>
    <xf numFmtId="0" fontId="45" fillId="0" borderId="0" xfId="0" applyFont="1" applyAlignment="1" applyProtection="1">
      <alignment horizontal="center" vertical="center"/>
    </xf>
    <xf numFmtId="0" fontId="39" fillId="29" borderId="0" xfId="0" applyFont="1" applyFill="1" applyProtection="1"/>
    <xf numFmtId="1" fontId="39" fillId="29" borderId="0" xfId="0" applyNumberFormat="1" applyFont="1" applyFill="1" applyAlignment="1" applyProtection="1">
      <alignment horizontal="center" vertical="center"/>
    </xf>
    <xf numFmtId="1" fontId="39" fillId="29" borderId="0" xfId="0" applyNumberFormat="1" applyFont="1" applyFill="1" applyProtection="1"/>
    <xf numFmtId="0" fontId="0" fillId="0" borderId="48" xfId="0" applyBorder="1"/>
    <xf numFmtId="0" fontId="0" fillId="0" borderId="49" xfId="0" applyBorder="1"/>
    <xf numFmtId="0" fontId="0" fillId="0" borderId="50" xfId="0" applyBorder="1"/>
    <xf numFmtId="0" fontId="52" fillId="0" borderId="0" xfId="0" applyFont="1"/>
    <xf numFmtId="0" fontId="0" fillId="0" borderId="14" xfId="0" applyFill="1" applyBorder="1"/>
    <xf numFmtId="0" fontId="0" fillId="0" borderId="0" xfId="0"/>
    <xf numFmtId="0" fontId="54" fillId="4" borderId="0" xfId="0" applyFont="1" applyFill="1"/>
    <xf numFmtId="0" fontId="55" fillId="4" borderId="0" xfId="0" applyFont="1" applyFill="1"/>
    <xf numFmtId="0" fontId="54" fillId="4" borderId="0" xfId="0" applyFont="1" applyFill="1" applyProtection="1"/>
    <xf numFmtId="0" fontId="0" fillId="0" borderId="0" xfId="0" applyAlignment="1" applyProtection="1">
      <alignment horizontal="right"/>
    </xf>
    <xf numFmtId="0" fontId="12" fillId="0" borderId="0" xfId="0" applyFont="1" applyAlignment="1" applyProtection="1">
      <alignment horizontal="center" vertical="center"/>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center"/>
    </xf>
    <xf numFmtId="0" fontId="0" fillId="0" borderId="0" xfId="0" applyAlignment="1" applyProtection="1">
      <alignment horizontal="left"/>
    </xf>
    <xf numFmtId="49" fontId="0" fillId="0" borderId="0" xfId="0" applyNumberFormat="1" applyAlignment="1" applyProtection="1">
      <alignment horizontal="left"/>
    </xf>
    <xf numFmtId="49" fontId="0" fillId="0" borderId="0" xfId="0" applyNumberFormat="1" applyAlignment="1" applyProtection="1">
      <alignment horizontal="center"/>
    </xf>
    <xf numFmtId="0" fontId="4" fillId="0" borderId="0" xfId="0" applyFont="1" applyAlignment="1" applyProtection="1">
      <alignment horizontal="center"/>
    </xf>
    <xf numFmtId="0" fontId="22" fillId="0" borderId="0" xfId="0" applyFont="1" applyAlignment="1" applyProtection="1">
      <alignment vertical="center"/>
    </xf>
    <xf numFmtId="0" fontId="6" fillId="0" borderId="0" xfId="0" applyFont="1" applyAlignment="1" applyProtection="1">
      <alignment horizontal="center"/>
    </xf>
    <xf numFmtId="0" fontId="0" fillId="0" borderId="0" xfId="0" applyFont="1" applyAlignment="1" applyProtection="1">
      <alignment horizontal="right"/>
    </xf>
    <xf numFmtId="0" fontId="0" fillId="0" borderId="0" xfId="0" applyFont="1" applyProtection="1"/>
    <xf numFmtId="0" fontId="54" fillId="4" borderId="10" xfId="0" applyFont="1" applyFill="1" applyBorder="1" applyAlignment="1" applyProtection="1">
      <alignment vertical="center"/>
      <protection locked="0"/>
    </xf>
    <xf numFmtId="0" fontId="28" fillId="0" borderId="5" xfId="0" applyFont="1" applyBorder="1" applyAlignment="1" applyProtection="1">
      <alignment horizontal="center" vertical="top"/>
    </xf>
    <xf numFmtId="0" fontId="28" fillId="0" borderId="6" xfId="0" applyFont="1" applyBorder="1" applyAlignment="1" applyProtection="1">
      <alignment horizontal="center" vertical="top"/>
    </xf>
    <xf numFmtId="0" fontId="35" fillId="0" borderId="0" xfId="0" applyFont="1" applyAlignment="1" applyProtection="1">
      <alignment horizontal="center" vertical="center"/>
    </xf>
    <xf numFmtId="0" fontId="28" fillId="28" borderId="0" xfId="0" applyFont="1" applyFill="1" applyAlignment="1" applyProtection="1">
      <alignment horizontal="center"/>
    </xf>
    <xf numFmtId="0" fontId="57" fillId="0" borderId="0" xfId="0" applyFont="1" applyAlignment="1" applyProtection="1">
      <alignment horizontal="center"/>
    </xf>
    <xf numFmtId="0" fontId="28" fillId="0" borderId="0" xfId="0" applyFont="1" applyAlignment="1" applyProtection="1"/>
    <xf numFmtId="1" fontId="14" fillId="0" borderId="1" xfId="0" applyNumberFormat="1" applyFont="1" applyBorder="1" applyProtection="1"/>
    <xf numFmtId="0" fontId="23" fillId="0" borderId="0" xfId="0" applyFont="1" applyBorder="1" applyAlignment="1" applyProtection="1"/>
    <xf numFmtId="0" fontId="14" fillId="0" borderId="1" xfId="0" applyFont="1" applyBorder="1" applyProtection="1"/>
    <xf numFmtId="0" fontId="29" fillId="0" borderId="0" xfId="0" applyFont="1" applyAlignment="1" applyProtection="1">
      <alignment horizontal="left" vertical="center"/>
    </xf>
    <xf numFmtId="1" fontId="14" fillId="0" borderId="0" xfId="0" applyNumberFormat="1" applyFont="1" applyProtection="1"/>
    <xf numFmtId="0" fontId="15" fillId="0" borderId="0" xfId="0" applyFont="1" applyAlignment="1" applyProtection="1">
      <alignment horizontal="left" vertical="center"/>
    </xf>
    <xf numFmtId="0" fontId="29" fillId="0" borderId="0" xfId="0" applyFont="1" applyAlignment="1" applyProtection="1">
      <alignment horizontal="center" vertical="center"/>
    </xf>
    <xf numFmtId="0" fontId="29" fillId="0" borderId="14" xfId="0" applyFont="1" applyBorder="1" applyAlignment="1" applyProtection="1">
      <alignment horizontal="center" vertical="center"/>
    </xf>
    <xf numFmtId="0" fontId="28" fillId="0" borderId="0" xfId="0" applyFont="1" applyFill="1" applyProtection="1"/>
    <xf numFmtId="0" fontId="49" fillId="0" borderId="0" xfId="0" applyFont="1" applyProtection="1"/>
    <xf numFmtId="0" fontId="50" fillId="0" borderId="0" xfId="0" applyFont="1" applyProtection="1"/>
    <xf numFmtId="0" fontId="48" fillId="0" borderId="0" xfId="0" applyFont="1" applyAlignment="1" applyProtection="1">
      <alignment horizontal="right"/>
    </xf>
    <xf numFmtId="0" fontId="23" fillId="0" borderId="0" xfId="0" applyFont="1" applyAlignment="1" applyProtection="1">
      <alignment horizontal="right"/>
    </xf>
    <xf numFmtId="0" fontId="23" fillId="0" borderId="0" xfId="0" applyFont="1" applyAlignment="1" applyProtection="1">
      <alignment horizontal="center"/>
    </xf>
    <xf numFmtId="0" fontId="30" fillId="0" borderId="0" xfId="0" applyFont="1" applyProtection="1"/>
    <xf numFmtId="0" fontId="19" fillId="0" borderId="0" xfId="0" applyFont="1" applyProtection="1"/>
    <xf numFmtId="0" fontId="18" fillId="0" borderId="0" xfId="0" applyFont="1" applyAlignment="1" applyProtection="1">
      <alignment horizontal="center" vertical="center"/>
    </xf>
    <xf numFmtId="0" fontId="29" fillId="0" borderId="0" xfId="0" applyFont="1" applyAlignment="1" applyProtection="1">
      <alignment horizontal="left" vertical="top"/>
    </xf>
    <xf numFmtId="0" fontId="20" fillId="0" borderId="35" xfId="0" applyFont="1" applyBorder="1" applyAlignment="1" applyProtection="1">
      <alignment horizontal="center" vertical="center"/>
    </xf>
    <xf numFmtId="0" fontId="20" fillId="0" borderId="0" xfId="0" applyFont="1" applyAlignment="1" applyProtection="1">
      <alignment vertical="center"/>
    </xf>
    <xf numFmtId="0" fontId="14" fillId="0" borderId="2" xfId="0" applyFont="1" applyBorder="1" applyAlignment="1" applyProtection="1">
      <alignment horizontal="left" vertical="top"/>
    </xf>
    <xf numFmtId="0" fontId="14" fillId="0" borderId="3" xfId="0" applyFont="1" applyBorder="1" applyAlignment="1" applyProtection="1">
      <alignment horizontal="left" vertical="top"/>
    </xf>
    <xf numFmtId="0" fontId="14" fillId="0" borderId="3" xfId="0" applyFont="1" applyBorder="1" applyProtection="1"/>
    <xf numFmtId="0" fontId="15" fillId="0" borderId="3" xfId="0" applyFont="1" applyBorder="1" applyAlignment="1" applyProtection="1">
      <alignment horizontal="center" vertical="center"/>
    </xf>
    <xf numFmtId="0" fontId="15" fillId="0" borderId="3" xfId="0" applyFont="1" applyBorder="1" applyAlignment="1" applyProtection="1">
      <alignment vertical="center"/>
    </xf>
    <xf numFmtId="0" fontId="14" fillId="0" borderId="4" xfId="0" applyFont="1" applyBorder="1" applyAlignment="1" applyProtection="1">
      <alignment horizontal="left" vertical="top"/>
    </xf>
    <xf numFmtId="0" fontId="35" fillId="0" borderId="0" xfId="0" applyFont="1" applyAlignment="1" applyProtection="1">
      <alignment vertical="center"/>
    </xf>
    <xf numFmtId="0" fontId="14" fillId="0" borderId="0" xfId="0" applyFont="1" applyAlignment="1" applyProtection="1">
      <alignment horizontal="left" vertical="top"/>
    </xf>
    <xf numFmtId="0" fontId="29" fillId="0" borderId="0" xfId="0" applyFont="1" applyAlignment="1" applyProtection="1">
      <alignment vertical="center"/>
    </xf>
    <xf numFmtId="0" fontId="14" fillId="0" borderId="6" xfId="0" applyFont="1" applyBorder="1" applyAlignment="1" applyProtection="1">
      <alignment horizontal="left" vertical="center"/>
    </xf>
    <xf numFmtId="0" fontId="14" fillId="0" borderId="7" xfId="0" applyFont="1" applyBorder="1" applyAlignment="1" applyProtection="1">
      <alignment horizontal="left" vertical="top"/>
    </xf>
    <xf numFmtId="0" fontId="14" fillId="0" borderId="8" xfId="0" applyFont="1" applyBorder="1" applyAlignment="1" applyProtection="1">
      <alignment horizontal="left" vertical="top"/>
    </xf>
    <xf numFmtId="0" fontId="15" fillId="0" borderId="8" xfId="0" applyFont="1" applyBorder="1" applyAlignment="1" applyProtection="1">
      <alignment vertical="center"/>
    </xf>
    <xf numFmtId="0" fontId="15" fillId="0" borderId="8" xfId="0" applyFont="1" applyBorder="1" applyAlignment="1" applyProtection="1">
      <alignment horizontal="center" vertical="center"/>
    </xf>
    <xf numFmtId="0" fontId="14" fillId="0" borderId="9" xfId="0" applyFont="1" applyBorder="1" applyAlignment="1" applyProtection="1">
      <alignment horizontal="left" vertical="top"/>
    </xf>
    <xf numFmtId="0" fontId="20" fillId="0" borderId="14" xfId="0" applyFont="1" applyBorder="1" applyAlignment="1" applyProtection="1">
      <alignment horizontal="center" vertical="center"/>
    </xf>
    <xf numFmtId="0" fontId="20" fillId="0" borderId="0" xfId="0" applyFont="1" applyBorder="1" applyAlignment="1" applyProtection="1">
      <alignment horizontal="center" vertical="center"/>
    </xf>
    <xf numFmtId="0" fontId="2" fillId="0" borderId="0" xfId="0" quotePrefix="1" applyFont="1" applyProtection="1"/>
    <xf numFmtId="0" fontId="28" fillId="6" borderId="0" xfId="0" applyFont="1" applyFill="1" applyProtection="1"/>
    <xf numFmtId="0" fontId="28" fillId="0" borderId="0" xfId="0" applyFont="1" applyAlignment="1" applyProtection="1">
      <alignment vertical="top" wrapText="1"/>
    </xf>
    <xf numFmtId="0" fontId="37" fillId="0" borderId="0" xfId="0" applyFont="1" applyAlignment="1" applyProtection="1">
      <alignment horizontal="center" vertical="center"/>
    </xf>
    <xf numFmtId="0" fontId="28" fillId="7" borderId="0" xfId="0" applyFont="1" applyFill="1" applyAlignment="1" applyProtection="1">
      <alignment horizontal="right"/>
    </xf>
    <xf numFmtId="0" fontId="28" fillId="6" borderId="0" xfId="0" applyFont="1" applyFill="1" applyAlignment="1" applyProtection="1">
      <alignment wrapText="1"/>
    </xf>
    <xf numFmtId="0" fontId="28" fillId="0" borderId="0" xfId="0" applyFont="1" applyAlignment="1" applyProtection="1">
      <alignment wrapText="1"/>
    </xf>
    <xf numFmtId="0" fontId="28" fillId="0" borderId="2" xfId="0" applyFont="1" applyBorder="1" applyAlignment="1" applyProtection="1">
      <alignment horizontal="right"/>
    </xf>
    <xf numFmtId="0" fontId="28" fillId="6" borderId="4" xfId="0" applyFont="1" applyFill="1" applyBorder="1" applyProtection="1"/>
    <xf numFmtId="0" fontId="28" fillId="0" borderId="5" xfId="0" applyFont="1" applyBorder="1" applyAlignment="1" applyProtection="1">
      <alignment horizontal="right"/>
    </xf>
    <xf numFmtId="0" fontId="28" fillId="0" borderId="6" xfId="0" applyFont="1" applyBorder="1" applyProtection="1"/>
    <xf numFmtId="0" fontId="28" fillId="7" borderId="5" xfId="0" applyFont="1" applyFill="1" applyBorder="1" applyAlignment="1" applyProtection="1">
      <alignment horizontal="right"/>
    </xf>
    <xf numFmtId="0" fontId="28" fillId="6" borderId="6" xfId="0" applyFont="1" applyFill="1" applyBorder="1" applyProtection="1"/>
    <xf numFmtId="0" fontId="28" fillId="7" borderId="7" xfId="0" applyFont="1" applyFill="1" applyBorder="1" applyAlignment="1" applyProtection="1">
      <alignment horizontal="right"/>
    </xf>
    <xf numFmtId="0" fontId="28" fillId="0" borderId="9" xfId="0" applyFont="1" applyBorder="1" applyProtection="1"/>
    <xf numFmtId="0" fontId="28" fillId="11" borderId="11" xfId="0" applyFont="1" applyFill="1" applyBorder="1" applyAlignment="1" applyProtection="1">
      <alignment horizontal="right"/>
    </xf>
    <xf numFmtId="0" fontId="28" fillId="11" borderId="17" xfId="0" applyFont="1" applyFill="1" applyBorder="1" applyProtection="1"/>
    <xf numFmtId="0" fontId="28" fillId="11" borderId="12" xfId="0" applyFont="1" applyFill="1" applyBorder="1" applyProtection="1"/>
    <xf numFmtId="0" fontId="28" fillId="0" borderId="7" xfId="0" applyFont="1" applyBorder="1" applyAlignment="1" applyProtection="1">
      <alignment horizontal="right"/>
    </xf>
    <xf numFmtId="0" fontId="28" fillId="0" borderId="8" xfId="0" applyFont="1" applyBorder="1" applyProtection="1"/>
    <xf numFmtId="0" fontId="40" fillId="0" borderId="6" xfId="0" applyFont="1" applyBorder="1" applyAlignment="1" applyProtection="1">
      <alignment vertical="center"/>
    </xf>
    <xf numFmtId="0" fontId="40" fillId="0" borderId="6" xfId="0" applyFont="1" applyBorder="1" applyAlignment="1" applyProtection="1">
      <alignment horizontal="left" vertical="center"/>
    </xf>
    <xf numFmtId="0" fontId="40" fillId="0" borderId="6" xfId="0" applyFont="1" applyBorder="1" applyAlignment="1" applyProtection="1">
      <alignment vertical="center" wrapText="1"/>
    </xf>
    <xf numFmtId="0" fontId="40" fillId="0" borderId="6" xfId="0" applyFont="1" applyBorder="1" applyAlignment="1" applyProtection="1">
      <alignment horizontal="left" vertical="center" wrapText="1"/>
    </xf>
    <xf numFmtId="0" fontId="40" fillId="7" borderId="5" xfId="0" applyFont="1" applyFill="1" applyBorder="1" applyAlignment="1" applyProtection="1">
      <alignment vertical="center"/>
    </xf>
    <xf numFmtId="0" fontId="32" fillId="0" borderId="5" xfId="0" applyFont="1" applyBorder="1" applyProtection="1"/>
    <xf numFmtId="0" fontId="32" fillId="0" borderId="0" xfId="0" applyFont="1" applyProtection="1"/>
    <xf numFmtId="0" fontId="40" fillId="0" borderId="2" xfId="0" applyFont="1" applyBorder="1" applyAlignment="1" applyProtection="1">
      <alignment horizontal="right" vertical="center"/>
    </xf>
    <xf numFmtId="0" fontId="32" fillId="0" borderId="5" xfId="0" applyFont="1" applyBorder="1" applyAlignment="1" applyProtection="1">
      <alignment vertical="center"/>
    </xf>
    <xf numFmtId="0" fontId="32" fillId="0" borderId="0" xfId="0" applyFont="1" applyAlignment="1" applyProtection="1">
      <alignment vertical="center"/>
    </xf>
    <xf numFmtId="0" fontId="32" fillId="0" borderId="7" xfId="0" applyFont="1" applyBorder="1" applyAlignment="1" applyProtection="1">
      <alignment vertical="center"/>
    </xf>
    <xf numFmtId="0" fontId="32" fillId="0" borderId="8" xfId="0" applyFont="1" applyBorder="1" applyAlignment="1" applyProtection="1">
      <alignment vertical="center"/>
    </xf>
    <xf numFmtId="0" fontId="40" fillId="0" borderId="5" xfId="0" applyFont="1" applyBorder="1" applyAlignment="1" applyProtection="1">
      <alignment horizontal="right" vertical="center"/>
    </xf>
    <xf numFmtId="0" fontId="28" fillId="7" borderId="5" xfId="0" applyFont="1" applyFill="1" applyBorder="1" applyProtection="1"/>
    <xf numFmtId="0" fontId="32" fillId="0" borderId="7" xfId="0" applyFont="1" applyBorder="1" applyProtection="1"/>
    <xf numFmtId="0" fontId="32" fillId="0" borderId="8" xfId="0" applyFont="1" applyBorder="1" applyProtection="1"/>
    <xf numFmtId="0" fontId="28" fillId="0" borderId="5" xfId="0" applyFont="1" applyBorder="1" applyProtection="1"/>
    <xf numFmtId="0" fontId="32" fillId="0" borderId="0" xfId="0" applyFont="1" applyBorder="1" applyProtection="1"/>
    <xf numFmtId="0" fontId="28" fillId="0" borderId="0" xfId="0" applyFont="1" applyBorder="1" applyProtection="1"/>
    <xf numFmtId="0" fontId="40" fillId="7" borderId="2" xfId="0" applyFont="1" applyFill="1" applyBorder="1" applyAlignment="1" applyProtection="1">
      <alignment horizontal="right" vertical="center"/>
    </xf>
    <xf numFmtId="0" fontId="40" fillId="7" borderId="5" xfId="0" applyFont="1" applyFill="1" applyBorder="1" applyAlignment="1" applyProtection="1">
      <alignment horizontal="right" vertical="center"/>
    </xf>
    <xf numFmtId="0" fontId="32" fillId="7" borderId="5" xfId="0" applyFont="1" applyFill="1" applyBorder="1" applyProtection="1"/>
    <xf numFmtId="0" fontId="40" fillId="7" borderId="0" xfId="0" applyFont="1" applyFill="1" applyAlignment="1" applyProtection="1">
      <alignment vertical="center"/>
    </xf>
    <xf numFmtId="0" fontId="40" fillId="0" borderId="2" xfId="0" applyFont="1" applyBorder="1" applyAlignment="1" applyProtection="1">
      <alignment vertical="center"/>
    </xf>
    <xf numFmtId="0" fontId="40" fillId="0" borderId="5" xfId="0" applyFont="1" applyBorder="1" applyAlignment="1" applyProtection="1">
      <alignment vertical="center"/>
    </xf>
    <xf numFmtId="0" fontId="28" fillId="25" borderId="4" xfId="0" applyFont="1" applyFill="1" applyBorder="1" applyAlignment="1" applyProtection="1">
      <alignment horizontal="center"/>
    </xf>
    <xf numFmtId="0" fontId="40" fillId="8" borderId="11" xfId="0" applyFont="1" applyFill="1" applyBorder="1" applyAlignment="1" applyProtection="1">
      <alignment horizontal="left" vertical="center"/>
    </xf>
    <xf numFmtId="0" fontId="40" fillId="8" borderId="17" xfId="0" applyFont="1" applyFill="1" applyBorder="1" applyAlignment="1" applyProtection="1">
      <alignment horizontal="left" vertical="center"/>
    </xf>
    <xf numFmtId="0" fontId="28" fillId="8" borderId="12" xfId="0" applyFont="1" applyFill="1" applyBorder="1" applyProtection="1"/>
    <xf numFmtId="0" fontId="28" fillId="6" borderId="3" xfId="0" applyFont="1" applyFill="1" applyBorder="1" applyProtection="1"/>
    <xf numFmtId="0" fontId="28" fillId="6" borderId="0" xfId="0" applyFont="1" applyFill="1" applyBorder="1" applyProtection="1"/>
    <xf numFmtId="0" fontId="40" fillId="0" borderId="0" xfId="0" applyFont="1" applyAlignment="1" applyProtection="1">
      <alignment vertical="center" wrapText="1"/>
    </xf>
    <xf numFmtId="0" fontId="32" fillId="0" borderId="2" xfId="0" applyFont="1" applyBorder="1" applyProtection="1"/>
    <xf numFmtId="0" fontId="40" fillId="13" borderId="11" xfId="0" applyFont="1" applyFill="1" applyBorder="1" applyAlignment="1" applyProtection="1">
      <alignment horizontal="left" vertical="center"/>
    </xf>
    <xf numFmtId="0" fontId="40" fillId="13" borderId="17" xfId="0" applyFont="1" applyFill="1" applyBorder="1" applyAlignment="1" applyProtection="1">
      <alignment horizontal="left" vertical="center"/>
    </xf>
    <xf numFmtId="0" fontId="28" fillId="13" borderId="17" xfId="0" applyFont="1" applyFill="1" applyBorder="1" applyProtection="1"/>
    <xf numFmtId="0" fontId="40" fillId="7" borderId="7" xfId="0" applyFont="1" applyFill="1" applyBorder="1" applyAlignment="1" applyProtection="1">
      <alignment vertical="center"/>
    </xf>
    <xf numFmtId="0" fontId="28" fillId="6" borderId="9" xfId="0" applyFont="1" applyFill="1" applyBorder="1" applyProtection="1"/>
    <xf numFmtId="0" fontId="32" fillId="7" borderId="7" xfId="0" applyFont="1" applyFill="1" applyBorder="1" applyProtection="1"/>
    <xf numFmtId="0" fontId="40" fillId="12" borderId="11" xfId="0" applyFont="1" applyFill="1" applyBorder="1" applyAlignment="1" applyProtection="1">
      <alignment horizontal="left" vertical="center"/>
    </xf>
    <xf numFmtId="0" fontId="40" fillId="12" borderId="17" xfId="0" applyFont="1" applyFill="1" applyBorder="1" applyAlignment="1" applyProtection="1">
      <alignment horizontal="left" vertical="center"/>
    </xf>
    <xf numFmtId="0" fontId="28" fillId="12" borderId="17" xfId="0" applyFont="1" applyFill="1" applyBorder="1" applyProtection="1"/>
    <xf numFmtId="0" fontId="28" fillId="12" borderId="12" xfId="0" applyFont="1" applyFill="1" applyBorder="1" applyProtection="1"/>
    <xf numFmtId="0" fontId="40" fillId="10" borderId="11" xfId="0" applyFont="1" applyFill="1" applyBorder="1" applyAlignment="1" applyProtection="1">
      <alignment horizontal="left" vertical="center"/>
    </xf>
    <xf numFmtId="0" fontId="40" fillId="10" borderId="17" xfId="0" applyFont="1" applyFill="1" applyBorder="1" applyAlignment="1" applyProtection="1">
      <alignment horizontal="left" vertical="center"/>
    </xf>
    <xf numFmtId="0" fontId="28" fillId="10" borderId="17" xfId="0" applyFont="1" applyFill="1" applyBorder="1" applyProtection="1"/>
    <xf numFmtId="0" fontId="28" fillId="10" borderId="12" xfId="0" applyFont="1" applyFill="1" applyBorder="1" applyProtection="1"/>
    <xf numFmtId="0" fontId="40" fillId="0" borderId="0" xfId="0" applyFont="1" applyAlignment="1" applyProtection="1">
      <alignment vertical="center"/>
    </xf>
    <xf numFmtId="0" fontId="40" fillId="8" borderId="11" xfId="0" applyFont="1" applyFill="1" applyBorder="1" applyAlignment="1" applyProtection="1">
      <alignment vertical="center"/>
    </xf>
    <xf numFmtId="0" fontId="40" fillId="8" borderId="17" xfId="0" applyFont="1" applyFill="1" applyBorder="1" applyAlignment="1" applyProtection="1">
      <alignment vertical="center"/>
    </xf>
    <xf numFmtId="0" fontId="32" fillId="8" borderId="17" xfId="0" applyFont="1" applyFill="1" applyBorder="1" applyProtection="1"/>
    <xf numFmtId="0" fontId="32" fillId="0" borderId="3" xfId="0" applyFont="1" applyBorder="1" applyProtection="1"/>
    <xf numFmtId="0" fontId="40" fillId="25" borderId="2" xfId="0" applyFont="1" applyFill="1" applyBorder="1" applyAlignment="1" applyProtection="1">
      <alignment vertical="center"/>
    </xf>
    <xf numFmtId="0" fontId="40" fillId="25" borderId="3" xfId="0" applyFont="1" applyFill="1" applyBorder="1" applyAlignment="1" applyProtection="1">
      <alignment vertical="center"/>
    </xf>
    <xf numFmtId="0" fontId="32" fillId="25" borderId="3" xfId="0" applyFont="1" applyFill="1" applyBorder="1" applyProtection="1"/>
    <xf numFmtId="0" fontId="28" fillId="25" borderId="3" xfId="0" applyFont="1" applyFill="1" applyBorder="1" applyProtection="1"/>
    <xf numFmtId="0" fontId="28" fillId="25" borderId="4" xfId="0" applyFont="1" applyFill="1" applyBorder="1" applyProtection="1"/>
    <xf numFmtId="0" fontId="40" fillId="0" borderId="3" xfId="0" applyFont="1" applyBorder="1" applyAlignment="1" applyProtection="1">
      <alignment vertical="center"/>
    </xf>
    <xf numFmtId="0" fontId="28" fillId="14" borderId="11" xfId="0" applyFont="1" applyFill="1" applyBorder="1" applyAlignment="1" applyProtection="1">
      <alignment horizontal="left"/>
    </xf>
    <xf numFmtId="0" fontId="28" fillId="14" borderId="17" xfId="0" applyFont="1" applyFill="1" applyBorder="1" applyAlignment="1" applyProtection="1">
      <alignment horizontal="left"/>
    </xf>
    <xf numFmtId="0" fontId="28" fillId="14" borderId="12" xfId="0" applyFont="1" applyFill="1" applyBorder="1" applyProtection="1"/>
    <xf numFmtId="0" fontId="28" fillId="7" borderId="0" xfId="0" applyFont="1" applyFill="1" applyProtection="1"/>
    <xf numFmtId="0" fontId="28" fillId="15" borderId="11" xfId="0" applyFont="1" applyFill="1" applyBorder="1" applyAlignment="1" applyProtection="1">
      <alignment horizontal="left"/>
    </xf>
    <xf numFmtId="0" fontId="28" fillId="15" borderId="17" xfId="0" applyFont="1" applyFill="1" applyBorder="1" applyAlignment="1" applyProtection="1">
      <alignment horizontal="left"/>
    </xf>
    <xf numFmtId="0" fontId="28" fillId="15" borderId="12" xfId="0" applyFont="1" applyFill="1" applyBorder="1" applyAlignment="1" applyProtection="1">
      <alignment horizontal="left"/>
    </xf>
    <xf numFmtId="0" fontId="28" fillId="16" borderId="11" xfId="0" applyFont="1" applyFill="1" applyBorder="1" applyAlignment="1" applyProtection="1">
      <alignment horizontal="left"/>
    </xf>
    <xf numFmtId="0" fontId="28" fillId="16" borderId="17" xfId="0" applyFont="1" applyFill="1" applyBorder="1" applyAlignment="1" applyProtection="1">
      <alignment horizontal="left"/>
    </xf>
    <xf numFmtId="0" fontId="28" fillId="16" borderId="12" xfId="0" applyFont="1" applyFill="1" applyBorder="1" applyAlignment="1" applyProtection="1">
      <alignment horizontal="left"/>
    </xf>
    <xf numFmtId="0" fontId="28" fillId="8" borderId="0" xfId="0" applyFont="1" applyFill="1" applyAlignment="1" applyProtection="1">
      <alignment horizontal="right"/>
    </xf>
    <xf numFmtId="0" fontId="28" fillId="19" borderId="0" xfId="0" applyFont="1" applyFill="1" applyAlignment="1" applyProtection="1">
      <alignment horizontal="left"/>
    </xf>
    <xf numFmtId="0" fontId="28" fillId="19" borderId="0" xfId="0" applyFont="1" applyFill="1" applyBorder="1" applyProtection="1"/>
    <xf numFmtId="0" fontId="28" fillId="11" borderId="0" xfId="0" applyFont="1" applyFill="1" applyProtection="1"/>
    <xf numFmtId="0" fontId="28" fillId="15" borderId="0" xfId="0" applyFont="1" applyFill="1" applyProtection="1"/>
    <xf numFmtId="0" fontId="28" fillId="25" borderId="0" xfId="0" applyFont="1" applyFill="1" applyAlignment="1" applyProtection="1">
      <alignment horizontal="center"/>
    </xf>
    <xf numFmtId="0" fontId="28" fillId="25" borderId="6" xfId="0" applyFont="1" applyFill="1" applyBorder="1" applyAlignment="1" applyProtection="1">
      <alignment horizontal="center"/>
    </xf>
    <xf numFmtId="0" fontId="28" fillId="25" borderId="0" xfId="0" applyFont="1" applyFill="1" applyProtection="1"/>
    <xf numFmtId="0" fontId="28" fillId="11" borderId="12" xfId="0" applyFont="1" applyFill="1" applyBorder="1" applyAlignment="1" applyProtection="1">
      <alignment horizontal="center"/>
    </xf>
    <xf numFmtId="0" fontId="28" fillId="21" borderId="0" xfId="0" applyFont="1" applyFill="1" applyAlignment="1" applyProtection="1">
      <alignment horizontal="center"/>
    </xf>
    <xf numFmtId="0" fontId="28" fillId="14" borderId="11" xfId="0" applyFont="1" applyFill="1" applyBorder="1" applyAlignment="1" applyProtection="1"/>
    <xf numFmtId="0" fontId="28" fillId="14" borderId="17" xfId="0" applyFont="1" applyFill="1" applyBorder="1" applyAlignment="1" applyProtection="1"/>
    <xf numFmtId="0" fontId="28" fillId="14" borderId="17" xfId="0" applyFont="1" applyFill="1" applyBorder="1" applyAlignment="1" applyProtection="1">
      <alignment horizontal="center"/>
    </xf>
    <xf numFmtId="0" fontId="28" fillId="14" borderId="12" xfId="0" applyFont="1" applyFill="1" applyBorder="1" applyAlignment="1" applyProtection="1">
      <alignment horizontal="center"/>
    </xf>
    <xf numFmtId="0" fontId="28" fillId="12" borderId="3" xfId="0" applyFont="1" applyFill="1" applyBorder="1" applyProtection="1"/>
    <xf numFmtId="0" fontId="28" fillId="12" borderId="4" xfId="0" applyFont="1" applyFill="1" applyBorder="1" applyProtection="1"/>
    <xf numFmtId="0" fontId="28" fillId="11" borderId="6" xfId="0" applyFont="1" applyFill="1" applyBorder="1" applyProtection="1"/>
    <xf numFmtId="0" fontId="28" fillId="0" borderId="2" xfId="0" applyFont="1" applyBorder="1" applyProtection="1"/>
    <xf numFmtId="0" fontId="28" fillId="23" borderId="5" xfId="0" applyFont="1" applyFill="1" applyBorder="1" applyProtection="1"/>
    <xf numFmtId="0" fontId="28" fillId="4" borderId="5" xfId="0" applyFont="1" applyFill="1" applyBorder="1" applyAlignment="1" applyProtection="1">
      <alignment horizontal="right"/>
    </xf>
    <xf numFmtId="0" fontId="28" fillId="24" borderId="11" xfId="0" applyFont="1" applyFill="1" applyBorder="1" applyAlignment="1" applyProtection="1"/>
    <xf numFmtId="0" fontId="28" fillId="24" borderId="17" xfId="0" applyFont="1" applyFill="1" applyBorder="1" applyAlignment="1" applyProtection="1"/>
    <xf numFmtId="0" fontId="28" fillId="24" borderId="17" xfId="0" applyFont="1" applyFill="1" applyBorder="1" applyAlignment="1" applyProtection="1">
      <alignment horizontal="center"/>
    </xf>
    <xf numFmtId="0" fontId="28" fillId="24" borderId="12" xfId="0" applyFont="1" applyFill="1" applyBorder="1" applyAlignment="1" applyProtection="1">
      <alignment horizontal="center"/>
    </xf>
    <xf numFmtId="0" fontId="28" fillId="23" borderId="5" xfId="0" applyFont="1" applyFill="1" applyBorder="1" applyAlignment="1" applyProtection="1">
      <alignment horizontal="right"/>
    </xf>
    <xf numFmtId="0" fontId="28" fillId="0" borderId="7" xfId="0" applyFont="1" applyBorder="1" applyProtection="1"/>
    <xf numFmtId="0" fontId="28" fillId="0" borderId="8" xfId="0" applyFont="1" applyBorder="1" applyAlignment="1" applyProtection="1">
      <alignment wrapText="1"/>
    </xf>
    <xf numFmtId="0" fontId="28" fillId="2" borderId="11" xfId="0" applyFont="1" applyFill="1" applyBorder="1" applyAlignment="1" applyProtection="1">
      <alignment horizontal="left"/>
    </xf>
    <xf numFmtId="0" fontId="28" fillId="2" borderId="17" xfId="0" applyFont="1" applyFill="1" applyBorder="1" applyAlignment="1" applyProtection="1">
      <alignment horizontal="left"/>
    </xf>
    <xf numFmtId="0" fontId="28" fillId="2" borderId="17" xfId="0" applyFont="1" applyFill="1" applyBorder="1" applyProtection="1"/>
    <xf numFmtId="0" fontId="28" fillId="2" borderId="12" xfId="0" applyFont="1" applyFill="1" applyBorder="1" applyProtection="1"/>
    <xf numFmtId="0" fontId="28" fillId="7" borderId="0" xfId="0" applyFont="1" applyFill="1" applyBorder="1" applyProtection="1"/>
    <xf numFmtId="0" fontId="28" fillId="7" borderId="8" xfId="0" applyFont="1" applyFill="1" applyBorder="1" applyProtection="1"/>
    <xf numFmtId="0" fontId="28" fillId="0" borderId="0" xfId="0" applyFont="1" applyBorder="1" applyAlignment="1" applyProtection="1">
      <alignment horizontal="right"/>
    </xf>
    <xf numFmtId="0" fontId="28" fillId="0" borderId="0" xfId="0" applyFont="1" applyFill="1" applyBorder="1" applyAlignment="1" applyProtection="1"/>
    <xf numFmtId="0" fontId="28" fillId="0" borderId="0" xfId="0" applyFont="1" applyBorder="1" applyAlignment="1" applyProtection="1"/>
    <xf numFmtId="0" fontId="28" fillId="6" borderId="4" xfId="0" applyFont="1" applyFill="1" applyBorder="1" applyAlignment="1" applyProtection="1"/>
    <xf numFmtId="0" fontId="42" fillId="0" borderId="0" xfId="0" applyFont="1" applyAlignment="1" applyProtection="1"/>
    <xf numFmtId="0" fontId="28" fillId="0" borderId="6" xfId="0" applyFont="1" applyFill="1" applyBorder="1" applyAlignment="1" applyProtection="1">
      <alignment horizontal="center"/>
    </xf>
    <xf numFmtId="0" fontId="28" fillId="0" borderId="8" xfId="0" applyFont="1" applyFill="1" applyBorder="1" applyAlignment="1" applyProtection="1"/>
    <xf numFmtId="0" fontId="28" fillId="0" borderId="8" xfId="0" applyFont="1" applyFill="1" applyBorder="1" applyAlignment="1" applyProtection="1">
      <alignment horizontal="left"/>
    </xf>
    <xf numFmtId="0" fontId="28" fillId="0" borderId="6" xfId="0" applyFont="1" applyBorder="1" applyAlignment="1" applyProtection="1"/>
    <xf numFmtId="0" fontId="28" fillId="6" borderId="6" xfId="0" applyFont="1" applyFill="1" applyBorder="1" applyAlignment="1" applyProtection="1"/>
    <xf numFmtId="0" fontId="28" fillId="28" borderId="0" xfId="0" applyFont="1" applyFill="1" applyAlignment="1" applyProtection="1">
      <alignment horizontal="left"/>
    </xf>
    <xf numFmtId="0" fontId="28" fillId="20" borderId="0" xfId="0" applyFont="1" applyFill="1" applyAlignment="1" applyProtection="1">
      <alignment horizontal="left"/>
    </xf>
    <xf numFmtId="0" fontId="28" fillId="20" borderId="0" xfId="0" applyFont="1" applyFill="1" applyProtection="1"/>
    <xf numFmtId="0" fontId="28" fillId="12" borderId="8" xfId="0" applyFont="1" applyFill="1" applyBorder="1" applyProtection="1"/>
    <xf numFmtId="0" fontId="28" fillId="10" borderId="0" xfId="0" applyFont="1" applyFill="1" applyAlignment="1" applyProtection="1">
      <alignment horizontal="left"/>
    </xf>
    <xf numFmtId="0" fontId="28" fillId="0" borderId="17" xfId="0" applyFont="1" applyBorder="1" applyAlignment="1" applyProtection="1">
      <alignment horizontal="right"/>
    </xf>
    <xf numFmtId="0" fontId="28" fillId="0" borderId="17" xfId="0" applyFont="1" applyBorder="1" applyAlignment="1" applyProtection="1">
      <alignment horizontal="center"/>
    </xf>
    <xf numFmtId="0" fontId="36" fillId="3" borderId="14" xfId="0" applyFont="1" applyFill="1" applyBorder="1" applyAlignment="1" applyProtection="1">
      <alignment horizontal="center"/>
    </xf>
    <xf numFmtId="0" fontId="37" fillId="0" borderId="14" xfId="0" applyFont="1" applyFill="1" applyBorder="1" applyAlignment="1" applyProtection="1">
      <alignment horizontal="center"/>
    </xf>
    <xf numFmtId="0" fontId="33" fillId="0" borderId="14" xfId="0" applyFont="1" applyBorder="1" applyProtection="1"/>
    <xf numFmtId="0" fontId="14" fillId="0" borderId="0" xfId="0" applyFont="1" applyAlignment="1" applyProtection="1">
      <alignment horizontal="left" vertical="top" wrapText="1"/>
    </xf>
    <xf numFmtId="0" fontId="14" fillId="22" borderId="33" xfId="0" applyFont="1" applyFill="1" applyBorder="1" applyProtection="1"/>
    <xf numFmtId="0" fontId="14" fillId="4" borderId="41" xfId="0" applyFont="1" applyFill="1" applyBorder="1" applyProtection="1"/>
    <xf numFmtId="0" fontId="14" fillId="0" borderId="41" xfId="0" applyFont="1" applyBorder="1" applyProtection="1"/>
    <xf numFmtId="0" fontId="14" fillId="4" borderId="28" xfId="0" applyFont="1" applyFill="1" applyBorder="1" applyProtection="1"/>
    <xf numFmtId="0" fontId="34" fillId="0" borderId="6" xfId="0" applyFont="1" applyBorder="1" applyAlignment="1" applyProtection="1">
      <alignment horizontal="center" vertical="center"/>
      <protection locked="0"/>
    </xf>
    <xf numFmtId="0" fontId="34" fillId="0" borderId="9" xfId="0" applyFont="1" applyBorder="1" applyAlignment="1" applyProtection="1">
      <alignment horizontal="center" vertical="center"/>
      <protection locked="0"/>
    </xf>
    <xf numFmtId="0" fontId="34" fillId="0" borderId="8" xfId="0" applyFont="1" applyBorder="1" applyAlignment="1" applyProtection="1">
      <alignment horizontal="center" vertical="center"/>
      <protection locked="0"/>
    </xf>
    <xf numFmtId="0" fontId="28" fillId="13" borderId="0" xfId="0" applyFont="1" applyFill="1" applyAlignment="1" applyProtection="1">
      <alignment horizontal="right"/>
    </xf>
    <xf numFmtId="0" fontId="28" fillId="13" borderId="0" xfId="0" applyFont="1" applyFill="1" applyProtection="1"/>
    <xf numFmtId="0" fontId="34" fillId="13" borderId="0" xfId="0" applyFont="1" applyFill="1" applyAlignment="1" applyProtection="1">
      <alignment horizontal="center" vertical="center"/>
    </xf>
    <xf numFmtId="0" fontId="28" fillId="3" borderId="14" xfId="0" applyFont="1" applyFill="1" applyBorder="1" applyProtection="1">
      <protection locked="0"/>
    </xf>
    <xf numFmtId="1" fontId="29" fillId="0" borderId="0" xfId="0" applyNumberFormat="1" applyFont="1" applyAlignment="1" applyProtection="1">
      <alignment horizontal="center" vertical="center"/>
    </xf>
    <xf numFmtId="1" fontId="43" fillId="0" borderId="1" xfId="0" applyNumberFormat="1" applyFont="1" applyBorder="1" applyAlignment="1" applyProtection="1">
      <alignment horizontal="center"/>
    </xf>
    <xf numFmtId="0" fontId="28" fillId="0" borderId="21" xfId="0" applyFont="1" applyBorder="1" applyAlignment="1" applyProtection="1">
      <alignment horizontal="center"/>
      <protection locked="0"/>
    </xf>
    <xf numFmtId="0" fontId="28" fillId="25" borderId="3" xfId="0" applyFont="1" applyFill="1" applyBorder="1" applyAlignment="1" applyProtection="1">
      <alignment horizontal="center"/>
    </xf>
    <xf numFmtId="0" fontId="28" fillId="11" borderId="17" xfId="0" applyFont="1" applyFill="1" applyBorder="1" applyAlignment="1" applyProtection="1">
      <alignment horizontal="center"/>
    </xf>
    <xf numFmtId="0" fontId="28" fillId="0" borderId="0" xfId="0" applyFont="1" applyFill="1" applyBorder="1" applyAlignment="1" applyProtection="1">
      <alignment horizontal="left"/>
    </xf>
    <xf numFmtId="0" fontId="28" fillId="0" borderId="0" xfId="0" applyFont="1" applyAlignment="1" applyProtection="1">
      <alignment horizontal="left"/>
    </xf>
    <xf numFmtId="0" fontId="28" fillId="16" borderId="8" xfId="0" applyFont="1" applyFill="1" applyBorder="1" applyAlignment="1" applyProtection="1">
      <alignment horizontal="center"/>
    </xf>
    <xf numFmtId="0" fontId="14" fillId="3" borderId="1" xfId="0" applyFont="1" applyFill="1" applyBorder="1" applyAlignment="1" applyProtection="1">
      <alignment horizontal="center"/>
      <protection locked="0"/>
    </xf>
    <xf numFmtId="0" fontId="40" fillId="11" borderId="11" xfId="0" applyFont="1" applyFill="1" applyBorder="1" applyAlignment="1" applyProtection="1">
      <alignment horizontal="left" vertical="center"/>
    </xf>
    <xf numFmtId="0" fontId="40" fillId="11" borderId="17" xfId="0" applyFont="1" applyFill="1" applyBorder="1" applyAlignment="1" applyProtection="1">
      <alignment horizontal="left" vertical="center"/>
    </xf>
    <xf numFmtId="0" fontId="28" fillId="0" borderId="0" xfId="0" applyFont="1" applyAlignment="1" applyProtection="1">
      <alignment horizontal="left" wrapText="1"/>
    </xf>
    <xf numFmtId="49" fontId="28" fillId="0" borderId="0" xfId="0" applyNumberFormat="1" applyFont="1" applyAlignment="1" applyProtection="1">
      <alignment horizontal="left"/>
    </xf>
    <xf numFmtId="0" fontId="14" fillId="22" borderId="1" xfId="0" applyFont="1" applyFill="1" applyBorder="1" applyAlignment="1" applyProtection="1">
      <alignment horizontal="center"/>
    </xf>
    <xf numFmtId="21" fontId="14" fillId="0" borderId="1" xfId="0" applyNumberFormat="1" applyFont="1" applyBorder="1" applyAlignment="1" applyProtection="1">
      <alignment horizontal="center"/>
      <protection locked="0"/>
    </xf>
    <xf numFmtId="0" fontId="14" fillId="0" borderId="1" xfId="0" applyFont="1" applyBorder="1" applyAlignment="1" applyProtection="1">
      <alignment horizontal="center"/>
      <protection locked="0"/>
    </xf>
    <xf numFmtId="0" fontId="28" fillId="0" borderId="0" xfId="0" applyFont="1" applyProtection="1"/>
    <xf numFmtId="0" fontId="28" fillId="0" borderId="0" xfId="0" applyFont="1" applyAlignment="1" applyProtection="1">
      <alignment horizontal="left" vertical="top" wrapText="1"/>
    </xf>
    <xf numFmtId="0" fontId="28" fillId="0" borderId="8" xfId="0" applyFont="1" applyBorder="1" applyAlignment="1" applyProtection="1">
      <alignment horizontal="left"/>
    </xf>
    <xf numFmtId="0" fontId="20" fillId="0" borderId="8" xfId="0" applyFont="1" applyBorder="1" applyAlignment="1" applyProtection="1">
      <alignment horizontal="center" vertical="center"/>
    </xf>
    <xf numFmtId="0" fontId="28" fillId="0" borderId="5" xfId="0" applyFont="1" applyBorder="1" applyAlignment="1" applyProtection="1">
      <alignment horizontal="left"/>
    </xf>
    <xf numFmtId="0" fontId="28" fillId="0" borderId="7" xfId="0" applyFont="1" applyBorder="1" applyAlignment="1" applyProtection="1">
      <alignment horizontal="left"/>
    </xf>
    <xf numFmtId="0" fontId="20" fillId="0" borderId="0" xfId="0" applyFont="1" applyAlignment="1" applyProtection="1">
      <alignment horizontal="center" vertical="center"/>
    </xf>
    <xf numFmtId="0" fontId="20" fillId="0" borderId="30" xfId="0" applyFont="1" applyBorder="1" applyAlignment="1" applyProtection="1">
      <alignment horizontal="center" vertical="center"/>
    </xf>
    <xf numFmtId="0" fontId="14" fillId="0" borderId="0" xfId="0" applyFont="1" applyAlignment="1" applyProtection="1">
      <alignment horizontal="center"/>
    </xf>
    <xf numFmtId="0" fontId="14" fillId="0" borderId="11" xfId="0" applyFont="1" applyBorder="1" applyAlignment="1" applyProtection="1">
      <alignment horizontal="center"/>
      <protection locked="0"/>
    </xf>
    <xf numFmtId="0" fontId="28" fillId="0" borderId="0" xfId="0" applyFont="1" applyAlignment="1" applyProtection="1">
      <alignment horizontal="center"/>
    </xf>
    <xf numFmtId="0" fontId="14" fillId="0" borderId="0" xfId="0" applyFont="1" applyAlignment="1" applyProtection="1">
      <alignment horizontal="right"/>
    </xf>
    <xf numFmtId="0" fontId="14" fillId="0" borderId="0" xfId="0" applyFont="1" applyAlignment="1" applyProtection="1">
      <alignment horizontal="left"/>
    </xf>
    <xf numFmtId="0" fontId="14" fillId="0" borderId="19" xfId="0" applyFont="1" applyBorder="1" applyProtection="1"/>
    <xf numFmtId="0" fontId="33" fillId="0" borderId="0" xfId="0" applyFont="1"/>
    <xf numFmtId="0" fontId="28" fillId="0" borderId="0" xfId="0" applyFont="1" applyFill="1" applyAlignment="1" applyProtection="1"/>
    <xf numFmtId="0" fontId="14" fillId="0" borderId="0" xfId="0" applyFont="1" applyProtection="1">
      <protection locked="0"/>
    </xf>
    <xf numFmtId="0" fontId="34" fillId="0" borderId="0" xfId="0" applyFont="1" applyAlignment="1" applyProtection="1">
      <alignment horizontal="center"/>
    </xf>
    <xf numFmtId="0" fontId="60" fillId="3" borderId="0" xfId="0" applyFont="1" applyFill="1" applyProtection="1"/>
    <xf numFmtId="0" fontId="53" fillId="3" borderId="0" xfId="0" applyFont="1" applyFill="1" applyAlignment="1" applyProtection="1">
      <alignment vertical="center"/>
      <protection locked="0"/>
    </xf>
    <xf numFmtId="0" fontId="60" fillId="0" borderId="0" xfId="0" applyFont="1" applyProtection="1"/>
    <xf numFmtId="0" fontId="61" fillId="0" borderId="8" xfId="0" applyFont="1" applyBorder="1" applyAlignment="1" applyProtection="1">
      <alignment vertical="center"/>
    </xf>
    <xf numFmtId="0" fontId="28" fillId="3" borderId="6" xfId="0" applyFont="1" applyFill="1" applyBorder="1" applyAlignment="1" applyProtection="1">
      <alignment horizontal="left" vertical="top"/>
    </xf>
    <xf numFmtId="0" fontId="36" fillId="3" borderId="0" xfId="0" applyFont="1" applyFill="1" applyAlignment="1" applyProtection="1">
      <alignment vertical="center"/>
    </xf>
    <xf numFmtId="0" fontId="29" fillId="3" borderId="8" xfId="0" applyFont="1" applyFill="1" applyBorder="1" applyAlignment="1" applyProtection="1">
      <alignment horizontal="left" vertical="top"/>
    </xf>
    <xf numFmtId="0" fontId="20" fillId="3" borderId="8" xfId="0" applyFont="1" applyFill="1" applyBorder="1" applyAlignment="1" applyProtection="1">
      <alignment vertical="center"/>
    </xf>
    <xf numFmtId="0" fontId="20" fillId="3" borderId="8" xfId="0" applyFont="1" applyFill="1" applyBorder="1" applyAlignment="1" applyProtection="1">
      <alignment horizontal="center" vertical="center"/>
    </xf>
    <xf numFmtId="0" fontId="29" fillId="3" borderId="9" xfId="0" applyFont="1" applyFill="1" applyBorder="1" applyAlignment="1" applyProtection="1">
      <alignment horizontal="left" vertical="top"/>
    </xf>
    <xf numFmtId="0" fontId="29" fillId="3" borderId="7" xfId="0" applyFont="1" applyFill="1" applyBorder="1" applyAlignment="1" applyProtection="1">
      <alignment horizontal="left" vertical="top"/>
    </xf>
    <xf numFmtId="0" fontId="28" fillId="3" borderId="5" xfId="0" applyFont="1" applyFill="1" applyBorder="1" applyAlignment="1" applyProtection="1">
      <alignment horizontal="left" vertical="top"/>
    </xf>
    <xf numFmtId="0" fontId="0" fillId="0" borderId="0" xfId="0"/>
    <xf numFmtId="0" fontId="15" fillId="0" borderId="0" xfId="0" applyFont="1" applyAlignment="1" applyProtection="1">
      <alignment horizontal="center"/>
    </xf>
    <xf numFmtId="0" fontId="0" fillId="0" borderId="0" xfId="0" applyProtection="1"/>
    <xf numFmtId="0" fontId="0" fillId="0" borderId="0" xfId="0"/>
    <xf numFmtId="0" fontId="15" fillId="0" borderId="0" xfId="0" applyFont="1" applyBorder="1" applyAlignment="1" applyProtection="1">
      <alignment horizontal="center"/>
    </xf>
    <xf numFmtId="165" fontId="15" fillId="0" borderId="0" xfId="0" applyNumberFormat="1" applyFont="1" applyBorder="1" applyAlignment="1" applyProtection="1">
      <alignment horizontal="center"/>
    </xf>
    <xf numFmtId="0" fontId="55" fillId="4" borderId="0" xfId="0" applyFont="1" applyFill="1" applyProtection="1"/>
    <xf numFmtId="0" fontId="47" fillId="0" borderId="0" xfId="0" applyFont="1" applyProtection="1"/>
    <xf numFmtId="0" fontId="8" fillId="0" borderId="0" xfId="0" applyFont="1" applyFill="1" applyProtection="1"/>
    <xf numFmtId="0" fontId="4" fillId="0" borderId="0" xfId="0" applyFont="1" applyAlignment="1" applyProtection="1">
      <alignment horizontal="right"/>
    </xf>
    <xf numFmtId="165" fontId="4" fillId="0" borderId="0" xfId="0" applyNumberFormat="1" applyFont="1" applyBorder="1" applyAlignment="1" applyProtection="1">
      <alignment horizontal="center"/>
    </xf>
    <xf numFmtId="0" fontId="0" fillId="0" borderId="0" xfId="0"/>
    <xf numFmtId="49" fontId="0" fillId="0" borderId="0" xfId="0" applyNumberFormat="1" applyAlignment="1">
      <alignment horizontal="left"/>
    </xf>
    <xf numFmtId="0" fontId="4" fillId="0" borderId="0" xfId="0" applyFont="1" applyAlignment="1">
      <alignment horizontal="right"/>
    </xf>
    <xf numFmtId="165" fontId="4" fillId="0" borderId="16" xfId="0" applyNumberFormat="1" applyFont="1" applyBorder="1" applyAlignment="1">
      <alignment horizontal="center"/>
    </xf>
    <xf numFmtId="165" fontId="4" fillId="0" borderId="18" xfId="0" applyNumberFormat="1" applyFont="1" applyBorder="1" applyAlignment="1">
      <alignment horizontal="center"/>
    </xf>
    <xf numFmtId="0" fontId="0" fillId="0" borderId="0" xfId="0" applyAlignment="1">
      <alignment horizontal="left"/>
    </xf>
    <xf numFmtId="0" fontId="0" fillId="0" borderId="2" xfId="0" applyFont="1" applyBorder="1" applyAlignment="1" applyProtection="1">
      <alignment horizontal="left" vertical="top" wrapText="1"/>
      <protection locked="0"/>
    </xf>
    <xf numFmtId="0" fontId="62" fillId="0" borderId="3" xfId="0" applyFont="1" applyBorder="1" applyAlignment="1" applyProtection="1">
      <alignment horizontal="left" vertical="top" wrapText="1"/>
      <protection locked="0"/>
    </xf>
    <xf numFmtId="0" fontId="62" fillId="0" borderId="4" xfId="0" applyFont="1" applyBorder="1" applyAlignment="1" applyProtection="1">
      <alignment horizontal="left" vertical="top" wrapText="1"/>
      <protection locked="0"/>
    </xf>
    <xf numFmtId="0" fontId="62" fillId="0" borderId="5" xfId="0" applyFont="1" applyBorder="1" applyAlignment="1" applyProtection="1">
      <alignment horizontal="left" vertical="top" wrapText="1"/>
      <protection locked="0"/>
    </xf>
    <xf numFmtId="0" fontId="62" fillId="0" borderId="0" xfId="0" applyFont="1" applyAlignment="1" applyProtection="1">
      <alignment horizontal="left" vertical="top" wrapText="1"/>
      <protection locked="0"/>
    </xf>
    <xf numFmtId="0" fontId="62" fillId="0" borderId="6" xfId="0" applyFont="1" applyBorder="1" applyAlignment="1" applyProtection="1">
      <alignment horizontal="left" vertical="top" wrapText="1"/>
      <protection locked="0"/>
    </xf>
    <xf numFmtId="0" fontId="62" fillId="0" borderId="7" xfId="0" applyFont="1" applyBorder="1" applyAlignment="1" applyProtection="1">
      <alignment horizontal="left" vertical="top" wrapText="1"/>
      <protection locked="0"/>
    </xf>
    <xf numFmtId="0" fontId="62" fillId="0" borderId="8" xfId="0" applyFont="1" applyBorder="1" applyAlignment="1" applyProtection="1">
      <alignment horizontal="left" vertical="top" wrapText="1"/>
      <protection locked="0"/>
    </xf>
    <xf numFmtId="0" fontId="62" fillId="0" borderId="9" xfId="0" applyFont="1" applyBorder="1" applyAlignment="1" applyProtection="1">
      <alignment horizontal="left" vertical="top" wrapText="1"/>
      <protection locked="0"/>
    </xf>
    <xf numFmtId="0" fontId="13" fillId="0" borderId="0" xfId="0" applyFont="1" applyAlignment="1">
      <alignment horizontal="left"/>
    </xf>
    <xf numFmtId="0" fontId="13" fillId="0" borderId="30" xfId="0" applyFont="1" applyBorder="1" applyAlignment="1">
      <alignment horizontal="left"/>
    </xf>
    <xf numFmtId="0" fontId="4" fillId="0" borderId="23" xfId="0" applyFont="1" applyBorder="1" applyAlignment="1">
      <alignment horizontal="left" vertical="center"/>
    </xf>
    <xf numFmtId="0" fontId="4" fillId="0" borderId="24" xfId="0" applyFont="1" applyBorder="1" applyAlignment="1">
      <alignment horizontal="left" vertical="center"/>
    </xf>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27" xfId="0" applyFont="1" applyBorder="1" applyAlignment="1">
      <alignment horizontal="left" vertical="center"/>
    </xf>
    <xf numFmtId="0" fontId="4" fillId="0" borderId="28" xfId="0" applyFont="1" applyBorder="1" applyAlignment="1">
      <alignment horizontal="left" vertical="center"/>
    </xf>
    <xf numFmtId="0" fontId="0" fillId="0" borderId="0" xfId="0" applyProtection="1"/>
    <xf numFmtId="0" fontId="0" fillId="0" borderId="0" xfId="0" applyFill="1" applyBorder="1" applyProtection="1"/>
    <xf numFmtId="9" fontId="0" fillId="0" borderId="16" xfId="0" applyNumberFormat="1" applyBorder="1" applyAlignment="1">
      <alignment horizontal="center"/>
    </xf>
    <xf numFmtId="9" fontId="0" fillId="0" borderId="18" xfId="0" applyNumberFormat="1" applyBorder="1" applyAlignment="1">
      <alignment horizontal="center"/>
    </xf>
    <xf numFmtId="14" fontId="0" fillId="0" borderId="29" xfId="0" applyNumberForma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62" fillId="0" borderId="29" xfId="0" applyFont="1" applyBorder="1" applyAlignment="1" applyProtection="1">
      <alignment horizontal="center" vertical="center"/>
      <protection locked="0"/>
    </xf>
    <xf numFmtId="0" fontId="62" fillId="0" borderId="12" xfId="0" applyFont="1" applyBorder="1" applyAlignment="1" applyProtection="1">
      <alignment horizontal="center" vertical="center"/>
      <protection locked="0"/>
    </xf>
    <xf numFmtId="0" fontId="0" fillId="0" borderId="19" xfId="0" applyBorder="1"/>
    <xf numFmtId="0" fontId="0" fillId="0" borderId="20" xfId="0" applyBorder="1"/>
    <xf numFmtId="0" fontId="0" fillId="0" borderId="20"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11" xfId="0" applyBorder="1" applyAlignment="1">
      <alignment horizontal="center"/>
    </xf>
    <xf numFmtId="0" fontId="0" fillId="0" borderId="12" xfId="0" applyBorder="1" applyAlignment="1">
      <alignment horizontal="center"/>
    </xf>
    <xf numFmtId="0" fontId="0" fillId="0" borderId="11" xfId="0" applyBorder="1" applyAlignment="1">
      <alignment horizontal="right"/>
    </xf>
    <xf numFmtId="0" fontId="0" fillId="0" borderId="22" xfId="0" applyBorder="1" applyAlignment="1">
      <alignment horizontal="right"/>
    </xf>
    <xf numFmtId="0" fontId="0" fillId="0" borderId="11" xfId="0" applyBorder="1" applyAlignment="1" applyProtection="1">
      <alignment horizontal="center"/>
      <protection locked="0"/>
    </xf>
    <xf numFmtId="0" fontId="0" fillId="0" borderId="17" xfId="0" applyBorder="1" applyAlignment="1" applyProtection="1">
      <alignment horizontal="center"/>
      <protection locked="0"/>
    </xf>
    <xf numFmtId="0" fontId="0" fillId="0" borderId="12" xfId="0" applyBorder="1" applyAlignment="1" applyProtection="1">
      <alignment horizontal="center"/>
      <protection locked="0"/>
    </xf>
    <xf numFmtId="0" fontId="13" fillId="0" borderId="16" xfId="0" applyFont="1" applyBorder="1" applyAlignment="1">
      <alignment horizontal="center" vertical="center"/>
    </xf>
    <xf numFmtId="0" fontId="13" fillId="0" borderId="18" xfId="0" applyFont="1" applyBorder="1" applyAlignment="1">
      <alignment horizontal="center" vertical="center"/>
    </xf>
    <xf numFmtId="0" fontId="0" fillId="0" borderId="24" xfId="0" applyBorder="1"/>
    <xf numFmtId="0" fontId="3" fillId="0" borderId="0" xfId="0" applyFont="1"/>
    <xf numFmtId="0" fontId="62" fillId="0" borderId="0" xfId="0" applyFont="1" applyProtection="1"/>
    <xf numFmtId="49" fontId="0" fillId="0" borderId="0" xfId="0" applyNumberFormat="1" applyAlignment="1" applyProtection="1">
      <alignment horizontal="left"/>
    </xf>
    <xf numFmtId="0" fontId="4" fillId="0" borderId="0" xfId="0" applyFont="1" applyAlignment="1" applyProtection="1">
      <alignment horizontal="right"/>
    </xf>
    <xf numFmtId="165" fontId="4" fillId="0" borderId="16" xfId="0" applyNumberFormat="1" applyFont="1" applyBorder="1" applyAlignment="1" applyProtection="1">
      <alignment horizontal="center"/>
    </xf>
    <xf numFmtId="165" fontId="4" fillId="0" borderId="18" xfId="0" applyNumberFormat="1" applyFont="1" applyBorder="1" applyAlignment="1" applyProtection="1">
      <alignment horizontal="center"/>
    </xf>
    <xf numFmtId="0" fontId="0" fillId="0" borderId="3" xfId="0" applyFont="1" applyBorder="1" applyAlignment="1" applyProtection="1">
      <alignment horizontal="left" vertical="top" wrapText="1"/>
      <protection locked="0"/>
    </xf>
    <xf numFmtId="0" fontId="0" fillId="0" borderId="4" xfId="0" applyFont="1" applyBorder="1" applyAlignment="1" applyProtection="1">
      <alignment horizontal="left" vertical="top" wrapText="1"/>
      <protection locked="0"/>
    </xf>
    <xf numFmtId="0" fontId="0" fillId="0" borderId="5" xfId="0" applyFont="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0" fontId="0" fillId="0" borderId="6" xfId="0" applyFont="1" applyBorder="1" applyAlignment="1" applyProtection="1">
      <alignment horizontal="left" vertical="top" wrapText="1"/>
      <protection locked="0"/>
    </xf>
    <xf numFmtId="0" fontId="0" fillId="0" borderId="7" xfId="0" applyFont="1" applyBorder="1" applyAlignment="1" applyProtection="1">
      <alignment horizontal="left" vertical="top" wrapText="1"/>
      <protection locked="0"/>
    </xf>
    <xf numFmtId="0" fontId="0" fillId="0" borderId="8" xfId="0" applyFont="1" applyBorder="1" applyAlignment="1" applyProtection="1">
      <alignment horizontal="left" vertical="top" wrapText="1"/>
      <protection locked="0"/>
    </xf>
    <xf numFmtId="0" fontId="0" fillId="0" borderId="9" xfId="0" applyFont="1" applyBorder="1" applyAlignment="1" applyProtection="1">
      <alignment horizontal="left" vertical="top" wrapText="1"/>
      <protection locked="0"/>
    </xf>
    <xf numFmtId="0" fontId="4" fillId="0" borderId="23" xfId="0" applyFont="1" applyBorder="1" applyAlignment="1" applyProtection="1">
      <alignment horizontal="left" vertical="center"/>
    </xf>
    <xf numFmtId="0" fontId="4" fillId="0" borderId="24" xfId="0" applyFont="1" applyBorder="1" applyAlignment="1" applyProtection="1">
      <alignment horizontal="left" vertical="center"/>
    </xf>
    <xf numFmtId="0" fontId="4" fillId="0" borderId="25" xfId="0" applyFont="1" applyBorder="1" applyAlignment="1" applyProtection="1">
      <alignment horizontal="left" vertical="center"/>
    </xf>
    <xf numFmtId="0" fontId="4" fillId="0" borderId="26" xfId="0" applyFont="1" applyBorder="1" applyAlignment="1" applyProtection="1">
      <alignment horizontal="left" vertical="center"/>
    </xf>
    <xf numFmtId="0" fontId="4" fillId="0" borderId="27" xfId="0" applyFont="1" applyBorder="1" applyAlignment="1" applyProtection="1">
      <alignment horizontal="left" vertical="center"/>
    </xf>
    <xf numFmtId="0" fontId="4" fillId="0" borderId="28" xfId="0" applyFont="1" applyBorder="1" applyAlignment="1" applyProtection="1">
      <alignment horizontal="left" vertical="center"/>
    </xf>
    <xf numFmtId="165" fontId="15" fillId="0" borderId="16" xfId="0" applyNumberFormat="1" applyFont="1" applyBorder="1" applyAlignment="1" applyProtection="1">
      <alignment horizontal="center"/>
    </xf>
    <xf numFmtId="165" fontId="15" fillId="0" borderId="18" xfId="0" applyNumberFormat="1" applyFont="1" applyBorder="1" applyAlignment="1" applyProtection="1">
      <alignment horizontal="center"/>
    </xf>
    <xf numFmtId="0" fontId="15" fillId="0" borderId="0" xfId="0" applyFont="1" applyAlignment="1" applyProtection="1">
      <alignment horizontal="center"/>
    </xf>
    <xf numFmtId="0" fontId="15" fillId="0" borderId="30" xfId="0" applyFont="1" applyBorder="1" applyAlignment="1" applyProtection="1">
      <alignment horizontal="center"/>
    </xf>
    <xf numFmtId="0" fontId="6" fillId="0" borderId="16" xfId="0" applyFont="1" applyBorder="1" applyAlignment="1" applyProtection="1">
      <alignment horizontal="center"/>
    </xf>
    <xf numFmtId="0" fontId="6" fillId="0" borderId="18" xfId="0" applyFont="1" applyBorder="1" applyAlignment="1" applyProtection="1">
      <alignment horizontal="center"/>
    </xf>
    <xf numFmtId="0" fontId="4" fillId="0" borderId="16" xfId="0" applyFont="1" applyBorder="1" applyAlignment="1" applyProtection="1">
      <alignment horizontal="center"/>
    </xf>
    <xf numFmtId="0" fontId="4" fillId="0" borderId="18" xfId="0" applyFont="1" applyBorder="1" applyAlignment="1" applyProtection="1">
      <alignment horizontal="center"/>
    </xf>
    <xf numFmtId="0" fontId="0" fillId="4" borderId="0" xfId="0" applyFill="1" applyAlignment="1" applyProtection="1">
      <alignment horizontal="left" vertical="center"/>
    </xf>
    <xf numFmtId="0" fontId="40" fillId="0" borderId="3" xfId="0" applyFont="1" applyBorder="1" applyAlignment="1" applyProtection="1">
      <alignment horizontal="left" vertical="center" wrapText="1"/>
    </xf>
    <xf numFmtId="0" fontId="40" fillId="0" borderId="0" xfId="0" applyFont="1" applyAlignment="1" applyProtection="1">
      <alignment horizontal="left" vertical="center"/>
    </xf>
    <xf numFmtId="49" fontId="56" fillId="0" borderId="0" xfId="0" applyNumberFormat="1" applyFont="1" applyAlignment="1" applyProtection="1">
      <alignment horizontal="left"/>
    </xf>
    <xf numFmtId="49" fontId="28" fillId="0" borderId="0" xfId="0" applyNumberFormat="1" applyFont="1" applyAlignment="1" applyProtection="1">
      <alignment horizontal="left"/>
    </xf>
    <xf numFmtId="0" fontId="28" fillId="0" borderId="0" xfId="0" applyFont="1" applyAlignment="1" applyProtection="1">
      <alignment horizontal="left" wrapText="1"/>
    </xf>
    <xf numFmtId="0" fontId="28" fillId="0" borderId="0" xfId="0" applyFont="1" applyAlignment="1" applyProtection="1">
      <alignment horizontal="left"/>
    </xf>
    <xf numFmtId="1" fontId="20" fillId="0" borderId="16" xfId="0" applyNumberFormat="1" applyFont="1" applyBorder="1" applyAlignment="1" applyProtection="1">
      <alignment horizontal="center" vertical="center"/>
    </xf>
    <xf numFmtId="1" fontId="20" fillId="0" borderId="18" xfId="0" applyNumberFormat="1" applyFont="1" applyBorder="1" applyAlignment="1" applyProtection="1">
      <alignment horizontal="center" vertical="center"/>
    </xf>
    <xf numFmtId="0" fontId="14" fillId="0" borderId="37" xfId="0" applyFont="1" applyBorder="1" applyAlignment="1" applyProtection="1">
      <alignment horizontal="center"/>
      <protection locked="0"/>
    </xf>
    <xf numFmtId="0" fontId="14" fillId="0" borderId="38" xfId="0" applyFont="1" applyBorder="1" applyAlignment="1" applyProtection="1">
      <alignment horizontal="center"/>
      <protection locked="0"/>
    </xf>
    <xf numFmtId="0" fontId="20" fillId="0" borderId="0" xfId="0" applyFont="1" applyAlignment="1" applyProtection="1">
      <alignment horizontal="center" vertical="center"/>
    </xf>
    <xf numFmtId="0" fontId="20" fillId="0" borderId="30" xfId="0" applyFont="1" applyBorder="1" applyAlignment="1" applyProtection="1">
      <alignment horizontal="center" vertical="center"/>
    </xf>
    <xf numFmtId="0" fontId="28" fillId="17" borderId="8" xfId="0" applyFont="1" applyFill="1" applyBorder="1" applyAlignment="1" applyProtection="1">
      <alignment horizontal="center"/>
    </xf>
    <xf numFmtId="0" fontId="28" fillId="17" borderId="0" xfId="0" applyFont="1" applyFill="1" applyAlignment="1" applyProtection="1">
      <alignment horizontal="center" vertical="center"/>
    </xf>
    <xf numFmtId="0" fontId="28" fillId="17" borderId="0" xfId="0" applyFont="1" applyFill="1" applyBorder="1" applyAlignment="1" applyProtection="1">
      <alignment horizontal="center" vertical="center"/>
    </xf>
    <xf numFmtId="0" fontId="28" fillId="7" borderId="0" xfId="0" applyFont="1" applyFill="1" applyBorder="1" applyAlignment="1" applyProtection="1">
      <alignment horizontal="left"/>
    </xf>
    <xf numFmtId="0" fontId="28" fillId="7" borderId="0" xfId="0" applyFont="1" applyFill="1" applyBorder="1" applyAlignment="1" applyProtection="1">
      <alignment horizontal="left" wrapText="1"/>
    </xf>
    <xf numFmtId="0" fontId="28" fillId="17" borderId="9" xfId="0" applyFont="1" applyFill="1" applyBorder="1" applyAlignment="1" applyProtection="1">
      <alignment horizontal="center"/>
    </xf>
    <xf numFmtId="0" fontId="28" fillId="20" borderId="0" xfId="0" applyFont="1" applyFill="1" applyAlignment="1" applyProtection="1">
      <alignment horizontal="center"/>
    </xf>
    <xf numFmtId="0" fontId="28" fillId="20" borderId="6" xfId="0" applyFont="1" applyFill="1" applyBorder="1" applyAlignment="1" applyProtection="1">
      <alignment horizontal="center"/>
    </xf>
    <xf numFmtId="0" fontId="14" fillId="0" borderId="8" xfId="0" applyFont="1" applyBorder="1" applyAlignment="1" applyProtection="1">
      <alignment horizontal="center"/>
    </xf>
    <xf numFmtId="0" fontId="14" fillId="3" borderId="1" xfId="0" applyFont="1" applyFill="1" applyBorder="1" applyAlignment="1" applyProtection="1">
      <alignment horizontal="center"/>
      <protection locked="0"/>
    </xf>
    <xf numFmtId="0" fontId="14" fillId="3" borderId="36" xfId="0" applyFont="1" applyFill="1" applyBorder="1" applyAlignment="1" applyProtection="1">
      <alignment horizontal="center"/>
      <protection locked="0"/>
    </xf>
    <xf numFmtId="0" fontId="28" fillId="7" borderId="0" xfId="0" applyFont="1" applyFill="1" applyAlignment="1" applyProtection="1">
      <alignment horizontal="left"/>
    </xf>
    <xf numFmtId="0" fontId="28" fillId="20" borderId="0" xfId="0" applyFont="1" applyFill="1" applyBorder="1" applyAlignment="1" applyProtection="1">
      <alignment horizontal="center"/>
    </xf>
    <xf numFmtId="0" fontId="28" fillId="17" borderId="0" xfId="0" applyFont="1" applyFill="1" applyAlignment="1" applyProtection="1">
      <alignment horizontal="center"/>
    </xf>
    <xf numFmtId="0" fontId="28" fillId="17" borderId="0" xfId="0" applyFont="1" applyFill="1" applyBorder="1" applyAlignment="1" applyProtection="1">
      <alignment horizontal="center"/>
    </xf>
    <xf numFmtId="0" fontId="43" fillId="0" borderId="0" xfId="0" applyFont="1" applyAlignment="1" applyProtection="1">
      <alignment horizontal="left" wrapText="1"/>
    </xf>
    <xf numFmtId="49" fontId="43" fillId="0" borderId="0" xfId="0" applyNumberFormat="1" applyFont="1" applyAlignment="1" applyProtection="1">
      <alignment horizontal="left"/>
    </xf>
    <xf numFmtId="0" fontId="28" fillId="7" borderId="0" xfId="0" applyFont="1" applyFill="1" applyAlignment="1" applyProtection="1">
      <alignment horizontal="left" wrapText="1"/>
    </xf>
    <xf numFmtId="0" fontId="28" fillId="0" borderId="3" xfId="0" applyFont="1" applyBorder="1" applyAlignment="1" applyProtection="1">
      <alignment horizontal="left"/>
    </xf>
    <xf numFmtId="0" fontId="28" fillId="12" borderId="8" xfId="0" applyFont="1" applyFill="1" applyBorder="1" applyAlignment="1" applyProtection="1">
      <alignment horizontal="center"/>
    </xf>
    <xf numFmtId="0" fontId="28" fillId="7" borderId="3" xfId="0" applyFont="1" applyFill="1" applyBorder="1" applyAlignment="1" applyProtection="1">
      <alignment horizontal="left" wrapText="1"/>
    </xf>
    <xf numFmtId="0" fontId="56" fillId="0" borderId="0" xfId="0" applyFont="1" applyAlignment="1" applyProtection="1">
      <alignment horizontal="left" vertical="top" wrapText="1"/>
    </xf>
    <xf numFmtId="0" fontId="28" fillId="0" borderId="3" xfId="0" applyFont="1" applyBorder="1" applyAlignment="1" applyProtection="1">
      <alignment horizontal="left" wrapText="1"/>
    </xf>
    <xf numFmtId="0" fontId="28" fillId="11" borderId="8" xfId="0" applyFont="1" applyFill="1" applyBorder="1" applyAlignment="1" applyProtection="1">
      <alignment horizontal="center"/>
    </xf>
    <xf numFmtId="0" fontId="28" fillId="11" borderId="0" xfId="0" applyFont="1" applyFill="1" applyAlignment="1" applyProtection="1">
      <alignment horizontal="center"/>
    </xf>
    <xf numFmtId="0" fontId="28" fillId="11" borderId="0" xfId="0" applyFont="1" applyFill="1" applyBorder="1" applyAlignment="1" applyProtection="1">
      <alignment horizontal="center"/>
    </xf>
    <xf numFmtId="0" fontId="40" fillId="0" borderId="0" xfId="0" applyFont="1" applyAlignment="1" applyProtection="1">
      <alignment horizontal="left" vertical="center" wrapText="1"/>
    </xf>
    <xf numFmtId="0" fontId="40" fillId="5" borderId="0" xfId="0" applyFont="1" applyFill="1" applyAlignment="1" applyProtection="1">
      <alignment horizontal="center" vertical="center"/>
    </xf>
    <xf numFmtId="0" fontId="40" fillId="5" borderId="6" xfId="0" applyFont="1" applyFill="1" applyBorder="1" applyAlignment="1" applyProtection="1">
      <alignment horizontal="center" vertical="center"/>
    </xf>
    <xf numFmtId="0" fontId="28" fillId="0" borderId="0" xfId="0" applyFont="1" applyProtection="1"/>
    <xf numFmtId="49" fontId="28" fillId="0" borderId="0" xfId="0" applyNumberFormat="1" applyFont="1" applyAlignment="1" applyProtection="1">
      <alignment horizontal="left" vertical="top" wrapText="1"/>
    </xf>
    <xf numFmtId="49" fontId="43" fillId="0" borderId="6" xfId="0" applyNumberFormat="1" applyFont="1" applyBorder="1" applyAlignment="1" applyProtection="1">
      <alignment horizontal="left"/>
    </xf>
    <xf numFmtId="0" fontId="28" fillId="20" borderId="3" xfId="0" applyFont="1" applyFill="1" applyBorder="1" applyAlignment="1" applyProtection="1">
      <alignment horizontal="center"/>
    </xf>
    <xf numFmtId="0" fontId="28" fillId="20" borderId="8" xfId="0" applyFont="1" applyFill="1" applyBorder="1" applyAlignment="1" applyProtection="1">
      <alignment horizontal="center"/>
    </xf>
    <xf numFmtId="0" fontId="43" fillId="0" borderId="3" xfId="0" applyFont="1" applyBorder="1" applyAlignment="1" applyProtection="1">
      <alignment horizontal="left" wrapText="1"/>
    </xf>
    <xf numFmtId="0" fontId="28" fillId="12" borderId="9" xfId="0" applyFont="1" applyFill="1" applyBorder="1" applyAlignment="1" applyProtection="1">
      <alignment horizontal="center"/>
    </xf>
    <xf numFmtId="0" fontId="40" fillId="7" borderId="3" xfId="0" applyFont="1" applyFill="1" applyBorder="1" applyAlignment="1" applyProtection="1">
      <alignment horizontal="left" vertical="top" wrapText="1"/>
    </xf>
    <xf numFmtId="0" fontId="40" fillId="7" borderId="0" xfId="0" applyFont="1" applyFill="1" applyBorder="1" applyAlignment="1" applyProtection="1">
      <alignment horizontal="left" vertical="top" wrapText="1"/>
    </xf>
    <xf numFmtId="0" fontId="40" fillId="0" borderId="3"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40" fillId="4" borderId="0" xfId="0" applyFont="1" applyFill="1" applyAlignment="1" applyProtection="1">
      <alignment horizontal="center" vertical="center"/>
    </xf>
    <xf numFmtId="0" fontId="40" fillId="4" borderId="0" xfId="0" applyFont="1" applyFill="1" applyBorder="1" applyAlignment="1" applyProtection="1">
      <alignment horizontal="center" vertical="center"/>
    </xf>
    <xf numFmtId="0" fontId="40" fillId="20" borderId="0" xfId="0" applyFont="1" applyFill="1" applyAlignment="1" applyProtection="1">
      <alignment horizontal="center" vertical="center"/>
    </xf>
    <xf numFmtId="0" fontId="40" fillId="20" borderId="0" xfId="0" applyFont="1" applyFill="1" applyBorder="1" applyAlignment="1" applyProtection="1">
      <alignment horizontal="center" vertical="center"/>
    </xf>
    <xf numFmtId="0" fontId="40" fillId="22" borderId="8" xfId="0" applyFont="1" applyFill="1" applyBorder="1" applyAlignment="1" applyProtection="1">
      <alignment horizontal="center" vertical="center"/>
    </xf>
    <xf numFmtId="0" fontId="28" fillId="18" borderId="0" xfId="0" applyFont="1" applyFill="1" applyAlignment="1" applyProtection="1">
      <alignment horizontal="center"/>
    </xf>
    <xf numFmtId="0" fontId="28" fillId="7" borderId="0" xfId="0" applyFont="1" applyFill="1" applyAlignment="1" applyProtection="1">
      <alignment horizontal="center"/>
    </xf>
    <xf numFmtId="0" fontId="28" fillId="0" borderId="8" xfId="0" applyFont="1" applyBorder="1" applyAlignment="1" applyProtection="1">
      <alignment horizontal="left"/>
    </xf>
    <xf numFmtId="0" fontId="40" fillId="7" borderId="0" xfId="0" applyFont="1" applyFill="1" applyAlignment="1" applyProtection="1">
      <alignment horizontal="left" vertical="center" wrapText="1"/>
    </xf>
    <xf numFmtId="0" fontId="40" fillId="5" borderId="0" xfId="0" applyFont="1" applyFill="1" applyAlignment="1" applyProtection="1">
      <alignment horizontal="left" vertical="center"/>
    </xf>
    <xf numFmtId="0" fontId="40" fillId="5" borderId="6" xfId="0" applyFont="1" applyFill="1" applyBorder="1" applyAlignment="1" applyProtection="1">
      <alignment horizontal="left" vertical="center"/>
    </xf>
    <xf numFmtId="0" fontId="40" fillId="11" borderId="0" xfId="0" applyFont="1" applyFill="1" applyAlignment="1" applyProtection="1">
      <alignment horizontal="center" vertical="center"/>
    </xf>
    <xf numFmtId="0" fontId="40" fillId="11" borderId="6" xfId="0" applyFont="1" applyFill="1" applyBorder="1" applyAlignment="1" applyProtection="1">
      <alignment horizontal="center" vertical="center"/>
    </xf>
    <xf numFmtId="0" fontId="58" fillId="0" borderId="0" xfId="0" applyFont="1" applyAlignment="1" applyProtection="1">
      <alignment horizontal="left" vertical="center" wrapText="1"/>
    </xf>
    <xf numFmtId="0" fontId="40" fillId="7" borderId="0" xfId="0" applyFont="1" applyFill="1" applyAlignment="1" applyProtection="1">
      <alignment horizontal="left" vertical="center"/>
    </xf>
    <xf numFmtId="0" fontId="40" fillId="0" borderId="0" xfId="0" applyFont="1" applyAlignment="1" applyProtection="1">
      <alignment horizontal="left" vertical="top" wrapText="1"/>
    </xf>
    <xf numFmtId="0" fontId="58" fillId="0" borderId="3" xfId="0" applyFont="1" applyBorder="1" applyAlignment="1" applyProtection="1">
      <alignment horizontal="left" vertical="top" wrapText="1"/>
    </xf>
    <xf numFmtId="0" fontId="58" fillId="0" borderId="0" xfId="0" applyFont="1" applyBorder="1" applyAlignment="1" applyProtection="1">
      <alignment horizontal="left" vertical="top" wrapText="1"/>
    </xf>
    <xf numFmtId="0" fontId="40" fillId="7" borderId="8" xfId="0" applyFont="1" applyFill="1" applyBorder="1" applyAlignment="1" applyProtection="1">
      <alignment horizontal="left" vertical="center"/>
    </xf>
    <xf numFmtId="0" fontId="40" fillId="0" borderId="8" xfId="0" applyFont="1" applyBorder="1" applyAlignment="1" applyProtection="1">
      <alignment horizontal="left" vertical="center" wrapText="1"/>
    </xf>
    <xf numFmtId="0" fontId="40" fillId="0" borderId="8" xfId="0" applyFont="1" applyBorder="1" applyAlignment="1" applyProtection="1">
      <alignment horizontal="left" vertical="center"/>
    </xf>
    <xf numFmtId="0" fontId="28" fillId="7" borderId="8" xfId="0" applyFont="1" applyFill="1" applyBorder="1" applyAlignment="1" applyProtection="1">
      <alignment horizontal="left" wrapText="1"/>
    </xf>
    <xf numFmtId="0" fontId="14" fillId="0" borderId="2" xfId="0" applyFont="1" applyBorder="1" applyAlignment="1" applyProtection="1">
      <alignment horizontal="left" vertical="top" wrapText="1"/>
      <protection locked="0"/>
    </xf>
    <xf numFmtId="0" fontId="14" fillId="0" borderId="3" xfId="0" applyFont="1" applyBorder="1" applyAlignment="1" applyProtection="1">
      <alignment horizontal="left" vertical="top" wrapText="1"/>
      <protection locked="0"/>
    </xf>
    <xf numFmtId="0" fontId="14" fillId="0" borderId="4" xfId="0" applyFont="1" applyBorder="1" applyAlignment="1" applyProtection="1">
      <alignment horizontal="left" vertical="top" wrapText="1"/>
      <protection locked="0"/>
    </xf>
    <xf numFmtId="0" fontId="14" fillId="0" borderId="5" xfId="0" applyFont="1" applyBorder="1" applyAlignment="1" applyProtection="1">
      <alignment horizontal="left" vertical="top" wrapText="1"/>
      <protection locked="0"/>
    </xf>
    <xf numFmtId="0" fontId="14" fillId="0" borderId="0" xfId="0" applyFont="1" applyBorder="1" applyAlignment="1" applyProtection="1">
      <alignment horizontal="left" vertical="top" wrapText="1"/>
      <protection locked="0"/>
    </xf>
    <xf numFmtId="0" fontId="14" fillId="0" borderId="6" xfId="0" applyFont="1" applyBorder="1" applyAlignment="1" applyProtection="1">
      <alignment horizontal="left" vertical="top" wrapText="1"/>
      <protection locked="0"/>
    </xf>
    <xf numFmtId="0" fontId="14" fillId="0" borderId="7" xfId="0" applyFont="1" applyBorder="1" applyAlignment="1" applyProtection="1">
      <alignment horizontal="left" vertical="top" wrapText="1"/>
      <protection locked="0"/>
    </xf>
    <xf numFmtId="0" fontId="14" fillId="0" borderId="8" xfId="0" applyFont="1" applyBorder="1" applyAlignment="1" applyProtection="1">
      <alignment horizontal="left" vertical="top" wrapText="1"/>
      <protection locked="0"/>
    </xf>
    <xf numFmtId="0" fontId="14" fillId="0" borderId="9" xfId="0" applyFont="1" applyBorder="1" applyAlignment="1" applyProtection="1">
      <alignment horizontal="left" vertical="top" wrapText="1"/>
      <protection locked="0"/>
    </xf>
    <xf numFmtId="0" fontId="28" fillId="0" borderId="0" xfId="0" applyFont="1" applyAlignment="1" applyProtection="1">
      <alignment horizontal="left" vertical="center" wrapText="1"/>
    </xf>
    <xf numFmtId="0" fontId="14" fillId="0" borderId="0" xfId="0" applyFont="1" applyAlignment="1" applyProtection="1">
      <alignment horizontal="center"/>
    </xf>
    <xf numFmtId="0" fontId="14" fillId="0" borderId="6" xfId="0" applyFont="1" applyBorder="1" applyAlignment="1" applyProtection="1">
      <alignment horizontal="center"/>
    </xf>
    <xf numFmtId="49" fontId="28" fillId="0" borderId="6" xfId="0" applyNumberFormat="1" applyFont="1" applyBorder="1" applyAlignment="1" applyProtection="1">
      <alignment horizontal="left" vertical="top" wrapText="1"/>
    </xf>
    <xf numFmtId="49" fontId="28" fillId="0" borderId="0" xfId="0" applyNumberFormat="1" applyFont="1" applyAlignment="1" applyProtection="1">
      <alignment horizontal="left" vertical="center" wrapText="1"/>
    </xf>
    <xf numFmtId="49" fontId="28" fillId="0" borderId="6" xfId="0" applyNumberFormat="1" applyFont="1" applyBorder="1" applyAlignment="1" applyProtection="1">
      <alignment horizontal="left"/>
    </xf>
    <xf numFmtId="49" fontId="43" fillId="0" borderId="0" xfId="0" applyNumberFormat="1" applyFont="1" applyAlignment="1" applyProtection="1">
      <alignment horizontal="left" wrapText="1"/>
    </xf>
    <xf numFmtId="14" fontId="14" fillId="0" borderId="29" xfId="0" applyNumberFormat="1" applyFont="1" applyBorder="1" applyAlignment="1" applyProtection="1">
      <alignment horizontal="center" vertical="center"/>
      <protection locked="0"/>
    </xf>
    <xf numFmtId="0" fontId="14" fillId="0" borderId="12" xfId="0" applyFont="1" applyBorder="1" applyAlignment="1" applyProtection="1">
      <alignment horizontal="center" vertical="center"/>
      <protection locked="0"/>
    </xf>
    <xf numFmtId="0" fontId="14" fillId="0" borderId="11"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2" xfId="0" applyFont="1" applyBorder="1" applyAlignment="1" applyProtection="1">
      <alignment horizontal="center"/>
      <protection locked="0"/>
    </xf>
    <xf numFmtId="0" fontId="28" fillId="0" borderId="0" xfId="0" applyFont="1" applyAlignment="1" applyProtection="1">
      <alignment horizontal="center"/>
    </xf>
    <xf numFmtId="49" fontId="28" fillId="0" borderId="0" xfId="0" applyNumberFormat="1" applyFont="1" applyAlignment="1" applyProtection="1">
      <alignment horizontal="left" wrapText="1"/>
    </xf>
    <xf numFmtId="49" fontId="28" fillId="0" borderId="11" xfId="0" applyNumberFormat="1" applyFont="1" applyBorder="1" applyAlignment="1" applyProtection="1">
      <alignment horizontal="center" vertical="center"/>
      <protection locked="0"/>
    </xf>
    <xf numFmtId="49" fontId="28" fillId="0" borderId="12" xfId="0" applyNumberFormat="1" applyFont="1" applyBorder="1" applyAlignment="1" applyProtection="1">
      <alignment horizontal="center" vertical="center"/>
      <protection locked="0"/>
    </xf>
    <xf numFmtId="0" fontId="14" fillId="0" borderId="19" xfId="0" applyFont="1" applyBorder="1" applyProtection="1"/>
    <xf numFmtId="0" fontId="14" fillId="0" borderId="20" xfId="0" applyFont="1" applyBorder="1" applyProtection="1"/>
    <xf numFmtId="0" fontId="14" fillId="0" borderId="11" xfId="0" applyFont="1" applyBorder="1" applyAlignment="1" applyProtection="1">
      <alignment horizontal="right"/>
    </xf>
    <xf numFmtId="0" fontId="14" fillId="0" borderId="22" xfId="0" applyFont="1" applyBorder="1" applyAlignment="1" applyProtection="1">
      <alignment horizontal="right"/>
    </xf>
    <xf numFmtId="0" fontId="14" fillId="0" borderId="11" xfId="0" applyFont="1" applyBorder="1" applyAlignment="1" applyProtection="1">
      <alignment horizontal="center"/>
    </xf>
    <xf numFmtId="0" fontId="14" fillId="0" borderId="12" xfId="0" applyFont="1" applyBorder="1" applyAlignment="1" applyProtection="1">
      <alignment horizontal="center"/>
    </xf>
    <xf numFmtId="0" fontId="32" fillId="0" borderId="0" xfId="0" applyFont="1" applyAlignment="1" applyProtection="1">
      <alignment horizontal="left"/>
    </xf>
    <xf numFmtId="0" fontId="15" fillId="0" borderId="0" xfId="0" applyFont="1" applyAlignment="1" applyProtection="1">
      <alignment horizontal="center" vertical="center"/>
    </xf>
    <xf numFmtId="0" fontId="15" fillId="0" borderId="30" xfId="0" applyFont="1" applyBorder="1" applyAlignment="1" applyProtection="1">
      <alignment horizontal="center" vertical="center"/>
    </xf>
    <xf numFmtId="0" fontId="14" fillId="0" borderId="0" xfId="0" applyFont="1" applyAlignment="1" applyProtection="1">
      <alignment horizontal="left"/>
    </xf>
    <xf numFmtId="0" fontId="14" fillId="0" borderId="24" xfId="0" applyFont="1" applyBorder="1" applyAlignment="1" applyProtection="1">
      <alignment horizontal="left"/>
    </xf>
    <xf numFmtId="0" fontId="20" fillId="0" borderId="32" xfId="0" applyFont="1" applyBorder="1" applyAlignment="1" applyProtection="1">
      <alignment horizontal="center" vertical="center"/>
    </xf>
    <xf numFmtId="0" fontId="20" fillId="0" borderId="33" xfId="0" applyFont="1" applyBorder="1" applyAlignment="1" applyProtection="1">
      <alignment horizontal="center" vertical="center"/>
    </xf>
    <xf numFmtId="0" fontId="28" fillId="0" borderId="0" xfId="0" applyFont="1" applyAlignment="1" applyProtection="1">
      <alignment horizontal="right" vertical="top"/>
    </xf>
    <xf numFmtId="0" fontId="20" fillId="0" borderId="0" xfId="0" applyFont="1" applyAlignment="1" applyProtection="1">
      <alignment horizontal="center"/>
    </xf>
    <xf numFmtId="0" fontId="20" fillId="0" borderId="30" xfId="0" applyFont="1" applyBorder="1" applyAlignment="1" applyProtection="1">
      <alignment horizontal="center"/>
    </xf>
    <xf numFmtId="0" fontId="29" fillId="0" borderId="5" xfId="0" applyFont="1" applyBorder="1" applyAlignment="1" applyProtection="1">
      <alignment horizontal="center"/>
    </xf>
    <xf numFmtId="0" fontId="29" fillId="0" borderId="6" xfId="0" applyFont="1" applyBorder="1" applyAlignment="1" applyProtection="1">
      <alignment horizontal="center"/>
    </xf>
    <xf numFmtId="0" fontId="28" fillId="0" borderId="3" xfId="0" applyFont="1" applyBorder="1" applyAlignment="1" applyProtection="1">
      <alignment horizontal="left" vertical="top" wrapText="1"/>
      <protection locked="0"/>
    </xf>
    <xf numFmtId="0" fontId="28" fillId="0" borderId="4" xfId="0" applyFont="1" applyBorder="1" applyAlignment="1" applyProtection="1">
      <alignment horizontal="left" vertical="top" wrapText="1"/>
      <protection locked="0"/>
    </xf>
    <xf numFmtId="0" fontId="28" fillId="0" borderId="5" xfId="0" applyFont="1" applyBorder="1"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28" fillId="0" borderId="6" xfId="0" applyFont="1" applyBorder="1" applyAlignment="1" applyProtection="1">
      <alignment horizontal="left" vertical="top" wrapText="1"/>
      <protection locked="0"/>
    </xf>
    <xf numFmtId="0" fontId="28" fillId="0" borderId="7" xfId="0" applyFont="1" applyBorder="1" applyAlignment="1" applyProtection="1">
      <alignment horizontal="left" vertical="top" wrapText="1"/>
      <protection locked="0"/>
    </xf>
    <xf numFmtId="0" fontId="28" fillId="0" borderId="8" xfId="0" applyFont="1" applyBorder="1" applyAlignment="1" applyProtection="1">
      <alignment horizontal="left" vertical="top" wrapText="1"/>
      <protection locked="0"/>
    </xf>
    <xf numFmtId="0" fontId="28" fillId="0" borderId="9" xfId="0" applyFont="1" applyBorder="1" applyAlignment="1" applyProtection="1">
      <alignment horizontal="left" vertical="top" wrapText="1"/>
      <protection locked="0"/>
    </xf>
    <xf numFmtId="0" fontId="14" fillId="0" borderId="0" xfId="0" applyFont="1" applyAlignment="1" applyProtection="1">
      <alignment horizontal="right"/>
    </xf>
    <xf numFmtId="0" fontId="14" fillId="3" borderId="11" xfId="0" applyFont="1" applyFill="1" applyBorder="1" applyAlignment="1" applyProtection="1">
      <alignment horizontal="center"/>
      <protection locked="0"/>
    </xf>
    <xf numFmtId="0" fontId="14" fillId="3" borderId="12" xfId="0" applyFont="1" applyFill="1" applyBorder="1" applyAlignment="1" applyProtection="1">
      <alignment horizontal="center"/>
      <protection locked="0"/>
    </xf>
    <xf numFmtId="0" fontId="20" fillId="0" borderId="34" xfId="0" applyFont="1" applyBorder="1" applyAlignment="1" applyProtection="1">
      <alignment horizontal="left" vertical="center"/>
    </xf>
    <xf numFmtId="0" fontId="20" fillId="0" borderId="0" xfId="0" applyFont="1" applyAlignment="1" applyProtection="1">
      <alignment horizontal="left" vertical="center"/>
    </xf>
    <xf numFmtId="0" fontId="20" fillId="0" borderId="30" xfId="0" applyFont="1" applyBorder="1" applyAlignment="1" applyProtection="1">
      <alignment horizontal="left" vertical="center"/>
    </xf>
    <xf numFmtId="0" fontId="20" fillId="0" borderId="26" xfId="0" applyFont="1" applyBorder="1" applyAlignment="1" applyProtection="1">
      <alignment horizontal="left" vertical="center"/>
    </xf>
    <xf numFmtId="0" fontId="20" fillId="0" borderId="27" xfId="0" applyFont="1" applyBorder="1" applyAlignment="1" applyProtection="1">
      <alignment horizontal="left" vertical="center"/>
    </xf>
    <xf numFmtId="0" fontId="20" fillId="0" borderId="28" xfId="0" applyFont="1" applyBorder="1" applyAlignment="1" applyProtection="1">
      <alignment horizontal="left" vertical="center"/>
    </xf>
    <xf numFmtId="0" fontId="38" fillId="0" borderId="0" xfId="0" applyFont="1" applyAlignment="1" applyProtection="1">
      <alignment horizontal="center" vertical="center"/>
    </xf>
    <xf numFmtId="0" fontId="14" fillId="0" borderId="5" xfId="0" applyFont="1" applyBorder="1" applyAlignment="1" applyProtection="1">
      <alignment horizontal="center" vertical="top"/>
    </xf>
    <xf numFmtId="0" fontId="14" fillId="0" borderId="6" xfId="0" applyFont="1" applyBorder="1" applyAlignment="1" applyProtection="1">
      <alignment horizontal="center" vertical="top"/>
    </xf>
    <xf numFmtId="0" fontId="32" fillId="0" borderId="0" xfId="0" applyFont="1" applyAlignment="1" applyProtection="1">
      <alignment horizontal="left" wrapText="1"/>
    </xf>
    <xf numFmtId="0" fontId="20" fillId="0" borderId="8" xfId="0" applyFont="1" applyBorder="1" applyAlignment="1" applyProtection="1">
      <alignment horizontal="center" vertical="center"/>
    </xf>
    <xf numFmtId="0" fontId="20" fillId="0" borderId="23" xfId="0" applyFont="1" applyBorder="1" applyAlignment="1" applyProtection="1">
      <alignment horizontal="left" vertical="center"/>
    </xf>
    <xf numFmtId="0" fontId="20" fillId="0" borderId="24" xfId="0" applyFont="1" applyBorder="1" applyAlignment="1" applyProtection="1">
      <alignment horizontal="left" vertical="center"/>
    </xf>
    <xf numFmtId="0" fontId="20" fillId="0" borderId="25" xfId="0" applyFont="1" applyBorder="1" applyAlignment="1" applyProtection="1">
      <alignment horizontal="left" vertical="center"/>
    </xf>
    <xf numFmtId="0" fontId="28" fillId="0" borderId="11" xfId="0" applyFont="1" applyBorder="1" applyAlignment="1" applyProtection="1">
      <alignment horizontal="center" vertical="center"/>
      <protection locked="0"/>
    </xf>
    <xf numFmtId="0" fontId="28" fillId="0" borderId="12" xfId="0" applyFont="1" applyBorder="1" applyAlignment="1" applyProtection="1">
      <alignment horizontal="center" vertical="center"/>
      <protection locked="0"/>
    </xf>
    <xf numFmtId="0" fontId="28" fillId="0" borderId="2" xfId="0" applyFont="1" applyBorder="1" applyAlignment="1" applyProtection="1">
      <alignment horizontal="center" vertical="center"/>
      <protection locked="0"/>
    </xf>
    <xf numFmtId="0" fontId="28" fillId="0" borderId="4" xfId="0" applyFont="1" applyBorder="1" applyAlignment="1" applyProtection="1">
      <alignment horizontal="center" vertic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0" fontId="18" fillId="0" borderId="16" xfId="0" applyFont="1" applyBorder="1" applyAlignment="1" applyProtection="1">
      <alignment horizontal="center" vertical="center"/>
    </xf>
    <xf numFmtId="0" fontId="18" fillId="0" borderId="18" xfId="0" applyFont="1" applyBorder="1" applyAlignment="1" applyProtection="1">
      <alignment horizontal="center" vertical="center"/>
    </xf>
    <xf numFmtId="0" fontId="28" fillId="0" borderId="29" xfId="0" applyFont="1" applyBorder="1" applyAlignment="1" applyProtection="1">
      <alignment horizontal="center" vertical="center"/>
      <protection locked="0"/>
    </xf>
    <xf numFmtId="49" fontId="43" fillId="0" borderId="0" xfId="0" applyNumberFormat="1" applyFont="1" applyAlignment="1" applyProtection="1">
      <alignment horizontal="center" wrapText="1"/>
    </xf>
    <xf numFmtId="1" fontId="20" fillId="0" borderId="0" xfId="0" applyNumberFormat="1" applyFont="1" applyAlignment="1" applyProtection="1">
      <alignment horizontal="center" vertical="center"/>
    </xf>
    <xf numFmtId="1" fontId="20" fillId="0" borderId="30" xfId="0" applyNumberFormat="1" applyFont="1" applyBorder="1" applyAlignment="1" applyProtection="1">
      <alignment horizontal="center" vertical="center"/>
    </xf>
    <xf numFmtId="0" fontId="29" fillId="3" borderId="11" xfId="0" applyFont="1" applyFill="1" applyBorder="1" applyAlignment="1" applyProtection="1">
      <alignment horizontal="center" vertical="center"/>
      <protection locked="0"/>
    </xf>
    <xf numFmtId="0" fontId="29" fillId="3" borderId="17" xfId="0" applyFont="1" applyFill="1" applyBorder="1" applyAlignment="1" applyProtection="1">
      <alignment horizontal="center" vertical="center"/>
      <protection locked="0"/>
    </xf>
    <xf numFmtId="0" fontId="29" fillId="3" borderId="12" xfId="0" applyFont="1" applyFill="1" applyBorder="1" applyAlignment="1" applyProtection="1">
      <alignment horizontal="center" vertical="center"/>
      <protection locked="0"/>
    </xf>
    <xf numFmtId="0" fontId="20" fillId="0" borderId="16" xfId="0" applyFont="1" applyBorder="1" applyAlignment="1" applyProtection="1">
      <alignment horizontal="center" vertical="center"/>
    </xf>
    <xf numFmtId="0" fontId="20" fillId="0" borderId="18" xfId="0" applyFont="1" applyBorder="1" applyAlignment="1" applyProtection="1">
      <alignment horizontal="center" vertical="center"/>
    </xf>
    <xf numFmtId="0" fontId="29" fillId="0" borderId="0" xfId="0" applyFont="1" applyAlignment="1" applyProtection="1">
      <alignment horizontal="center"/>
    </xf>
    <xf numFmtId="0" fontId="28" fillId="0" borderId="5" xfId="0" applyFont="1" applyBorder="1" applyAlignment="1" applyProtection="1">
      <alignment horizontal="center"/>
    </xf>
    <xf numFmtId="0" fontId="28" fillId="0" borderId="6" xfId="0" applyFont="1" applyBorder="1" applyAlignment="1" applyProtection="1">
      <alignment horizontal="center"/>
    </xf>
    <xf numFmtId="0" fontId="28" fillId="3" borderId="11"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3" borderId="12" xfId="0" applyFont="1" applyFill="1" applyBorder="1" applyAlignment="1" applyProtection="1">
      <alignment horizontal="center" vertical="center"/>
      <protection locked="0"/>
    </xf>
    <xf numFmtId="0" fontId="28" fillId="0" borderId="6" xfId="0" applyFont="1" applyBorder="1" applyAlignment="1" applyProtection="1">
      <alignment horizontal="left"/>
    </xf>
    <xf numFmtId="0" fontId="40" fillId="12" borderId="0" xfId="0" applyFont="1" applyFill="1" applyAlignment="1" applyProtection="1">
      <alignment horizontal="left" vertical="center"/>
    </xf>
    <xf numFmtId="0" fontId="40" fillId="12" borderId="6" xfId="0" applyFont="1" applyFill="1" applyBorder="1" applyAlignment="1" applyProtection="1">
      <alignment horizontal="left" vertical="center"/>
    </xf>
    <xf numFmtId="0" fontId="40" fillId="20" borderId="6" xfId="0" applyFont="1" applyFill="1" applyBorder="1" applyAlignment="1" applyProtection="1">
      <alignment horizontal="center" vertical="center"/>
    </xf>
    <xf numFmtId="0" fontId="28" fillId="0" borderId="6" xfId="0" applyFont="1" applyBorder="1" applyAlignment="1" applyProtection="1">
      <alignment horizontal="right" vertical="top"/>
    </xf>
    <xf numFmtId="0" fontId="40" fillId="0" borderId="3" xfId="0" applyFont="1" applyBorder="1" applyAlignment="1" applyProtection="1">
      <alignment horizontal="left" vertical="center"/>
    </xf>
    <xf numFmtId="0" fontId="40" fillId="11" borderId="11" xfId="0" applyFont="1" applyFill="1" applyBorder="1" applyAlignment="1" applyProtection="1">
      <alignment horizontal="left" vertical="center"/>
    </xf>
    <xf numFmtId="0" fontId="40" fillId="11" borderId="17" xfId="0" applyFont="1" applyFill="1" applyBorder="1" applyAlignment="1" applyProtection="1">
      <alignment horizontal="left" vertical="center"/>
    </xf>
    <xf numFmtId="0" fontId="40" fillId="11" borderId="12" xfId="0" applyFont="1" applyFill="1" applyBorder="1" applyAlignment="1" applyProtection="1">
      <alignment horizontal="left" vertical="center"/>
    </xf>
    <xf numFmtId="0" fontId="40" fillId="0" borderId="0" xfId="0" applyFont="1" applyBorder="1" applyAlignment="1" applyProtection="1">
      <alignment horizontal="left" vertical="center" wrapText="1"/>
    </xf>
    <xf numFmtId="0" fontId="40" fillId="12" borderId="0" xfId="0" applyFont="1" applyFill="1" applyAlignment="1" applyProtection="1">
      <alignment horizontal="center" vertical="center"/>
    </xf>
    <xf numFmtId="0" fontId="40" fillId="12" borderId="6" xfId="0" applyFont="1" applyFill="1" applyBorder="1" applyAlignment="1" applyProtection="1">
      <alignment horizontal="center" vertical="center"/>
    </xf>
    <xf numFmtId="0" fontId="40" fillId="20" borderId="8" xfId="0" applyFont="1" applyFill="1" applyBorder="1" applyAlignment="1" applyProtection="1">
      <alignment horizontal="center" vertical="center"/>
    </xf>
    <xf numFmtId="0" fontId="40" fillId="20" borderId="9" xfId="0" applyFont="1" applyFill="1" applyBorder="1" applyAlignment="1" applyProtection="1">
      <alignment horizontal="center" vertical="center"/>
    </xf>
    <xf numFmtId="0" fontId="58" fillId="7" borderId="0" xfId="0" applyFont="1" applyFill="1" applyAlignment="1" applyProtection="1">
      <alignment horizontal="left" vertical="top" wrapText="1"/>
    </xf>
    <xf numFmtId="0" fontId="40" fillId="7" borderId="8" xfId="0" applyFont="1" applyFill="1" applyBorder="1" applyAlignment="1" applyProtection="1">
      <alignment horizontal="left" vertical="center" wrapText="1"/>
    </xf>
    <xf numFmtId="0" fontId="40" fillId="20" borderId="0" xfId="0" applyFont="1" applyFill="1" applyAlignment="1" applyProtection="1">
      <alignment horizontal="center" vertical="center" wrapText="1"/>
    </xf>
    <xf numFmtId="0" fontId="40" fillId="20" borderId="6" xfId="0" applyFont="1" applyFill="1" applyBorder="1" applyAlignment="1" applyProtection="1">
      <alignment horizontal="center" vertical="center" wrapText="1"/>
    </xf>
    <xf numFmtId="0" fontId="40" fillId="12" borderId="8" xfId="0" applyFont="1" applyFill="1" applyBorder="1" applyAlignment="1" applyProtection="1">
      <alignment horizontal="center" vertical="center"/>
    </xf>
    <xf numFmtId="0" fontId="40" fillId="12" borderId="9" xfId="0" applyFont="1" applyFill="1" applyBorder="1" applyAlignment="1" applyProtection="1">
      <alignment horizontal="center" vertical="center"/>
    </xf>
    <xf numFmtId="0" fontId="40" fillId="7" borderId="0" xfId="0" applyFont="1" applyFill="1" applyAlignment="1" applyProtection="1">
      <alignment horizontal="left" vertical="top" wrapText="1"/>
    </xf>
    <xf numFmtId="0" fontId="40" fillId="26" borderId="8" xfId="0" applyFont="1" applyFill="1" applyBorder="1" applyAlignment="1" applyProtection="1">
      <alignment horizontal="center" vertical="center"/>
    </xf>
    <xf numFmtId="0" fontId="40" fillId="26" borderId="9" xfId="0" applyFont="1" applyFill="1" applyBorder="1" applyAlignment="1" applyProtection="1">
      <alignment horizontal="center" vertical="center"/>
    </xf>
    <xf numFmtId="0" fontId="40" fillId="26" borderId="0" xfId="0" applyFont="1" applyFill="1" applyAlignment="1" applyProtection="1">
      <alignment horizontal="center" vertical="center"/>
    </xf>
    <xf numFmtId="0" fontId="40" fillId="26" borderId="6" xfId="0" applyFont="1" applyFill="1" applyBorder="1" applyAlignment="1" applyProtection="1">
      <alignment horizontal="center" vertical="center"/>
    </xf>
    <xf numFmtId="0" fontId="40" fillId="0" borderId="8" xfId="0" applyFont="1" applyBorder="1" applyAlignment="1" applyProtection="1">
      <alignment horizontal="left" vertical="top" wrapText="1"/>
    </xf>
    <xf numFmtId="0" fontId="40" fillId="12" borderId="3" xfId="0" applyFont="1" applyFill="1" applyBorder="1" applyAlignment="1" applyProtection="1">
      <alignment horizontal="center" vertical="center"/>
    </xf>
    <xf numFmtId="0" fontId="40" fillId="12" borderId="4" xfId="0" applyFont="1" applyFill="1" applyBorder="1" applyAlignment="1" applyProtection="1">
      <alignment horizontal="center" vertical="center"/>
    </xf>
    <xf numFmtId="0" fontId="58" fillId="0" borderId="0" xfId="0" applyFont="1" applyAlignment="1" applyProtection="1">
      <alignment horizontal="left" vertical="top" wrapText="1"/>
    </xf>
    <xf numFmtId="0" fontId="40" fillId="11" borderId="8" xfId="0" applyFont="1" applyFill="1" applyBorder="1" applyAlignment="1" applyProtection="1">
      <alignment horizontal="center" vertical="center"/>
    </xf>
    <xf numFmtId="0" fontId="40" fillId="11" borderId="9" xfId="0" applyFont="1" applyFill="1" applyBorder="1" applyAlignment="1" applyProtection="1">
      <alignment horizontal="center" vertical="center"/>
    </xf>
    <xf numFmtId="0" fontId="58" fillId="0" borderId="3" xfId="0" applyFont="1" applyBorder="1" applyAlignment="1" applyProtection="1">
      <alignment horizontal="left" vertical="center" wrapText="1"/>
    </xf>
    <xf numFmtId="0" fontId="40" fillId="17" borderId="8" xfId="0" applyFont="1" applyFill="1" applyBorder="1" applyAlignment="1" applyProtection="1">
      <alignment horizontal="center" vertical="center"/>
    </xf>
    <xf numFmtId="0" fontId="40" fillId="17" borderId="9" xfId="0" applyFont="1" applyFill="1" applyBorder="1" applyAlignment="1" applyProtection="1">
      <alignment horizontal="center" vertical="center"/>
    </xf>
    <xf numFmtId="0" fontId="28" fillId="11" borderId="6" xfId="0" applyFont="1" applyFill="1" applyBorder="1" applyAlignment="1" applyProtection="1">
      <alignment horizontal="center"/>
    </xf>
    <xf numFmtId="0" fontId="28" fillId="17" borderId="6" xfId="0" applyFont="1" applyFill="1" applyBorder="1" applyAlignment="1" applyProtection="1">
      <alignment horizontal="center"/>
    </xf>
    <xf numFmtId="0" fontId="28" fillId="11" borderId="9" xfId="0" applyFont="1" applyFill="1" applyBorder="1" applyAlignment="1" applyProtection="1">
      <alignment horizontal="center"/>
    </xf>
    <xf numFmtId="0" fontId="28" fillId="12" borderId="0" xfId="0" applyFont="1" applyFill="1" applyAlignment="1" applyProtection="1">
      <alignment horizontal="center"/>
    </xf>
    <xf numFmtId="0" fontId="28" fillId="12" borderId="6" xfId="0" applyFont="1" applyFill="1" applyBorder="1" applyAlignment="1" applyProtection="1">
      <alignment horizontal="center"/>
    </xf>
    <xf numFmtId="0" fontId="28" fillId="12" borderId="3" xfId="0" applyFont="1" applyFill="1" applyBorder="1" applyAlignment="1" applyProtection="1">
      <alignment horizontal="left"/>
    </xf>
    <xf numFmtId="0" fontId="28" fillId="12" borderId="4" xfId="0" applyFont="1" applyFill="1" applyBorder="1" applyAlignment="1" applyProtection="1">
      <alignment horizontal="left"/>
    </xf>
    <xf numFmtId="0" fontId="40" fillId="11" borderId="3" xfId="0" applyFont="1" applyFill="1" applyBorder="1" applyAlignment="1" applyProtection="1">
      <alignment horizontal="center" vertical="center"/>
    </xf>
    <xf numFmtId="0" fontId="28" fillId="20" borderId="9" xfId="0" applyFont="1" applyFill="1" applyBorder="1" applyAlignment="1" applyProtection="1">
      <alignment horizontal="center"/>
    </xf>
    <xf numFmtId="0" fontId="28" fillId="12" borderId="0" xfId="0" applyFont="1" applyFill="1" applyAlignment="1" applyProtection="1">
      <alignment horizontal="left"/>
    </xf>
    <xf numFmtId="0" fontId="28" fillId="12" borderId="6" xfId="0" applyFont="1" applyFill="1" applyBorder="1" applyAlignment="1" applyProtection="1">
      <alignment horizontal="left"/>
    </xf>
    <xf numFmtId="0" fontId="28" fillId="11" borderId="0" xfId="0" applyFont="1" applyFill="1" applyAlignment="1" applyProtection="1">
      <alignment horizontal="left"/>
    </xf>
    <xf numFmtId="0" fontId="28" fillId="11" borderId="6" xfId="0" applyFont="1" applyFill="1" applyBorder="1" applyAlignment="1" applyProtection="1">
      <alignment horizontal="left"/>
    </xf>
    <xf numFmtId="0" fontId="28" fillId="11" borderId="3" xfId="0" applyFont="1" applyFill="1" applyBorder="1" applyAlignment="1" applyProtection="1">
      <alignment horizontal="center"/>
    </xf>
    <xf numFmtId="0" fontId="28" fillId="11" borderId="4" xfId="0" applyFont="1" applyFill="1" applyBorder="1" applyAlignment="1" applyProtection="1">
      <alignment horizontal="center"/>
    </xf>
    <xf numFmtId="0" fontId="28" fillId="20" borderId="4" xfId="0" applyFont="1" applyFill="1" applyBorder="1" applyAlignment="1" applyProtection="1">
      <alignment horizontal="center"/>
    </xf>
    <xf numFmtId="0" fontId="28" fillId="12" borderId="3" xfId="0" applyFont="1" applyFill="1" applyBorder="1" applyAlignment="1" applyProtection="1">
      <alignment horizontal="center"/>
    </xf>
    <xf numFmtId="0" fontId="28" fillId="12" borderId="4" xfId="0" applyFont="1" applyFill="1" applyBorder="1" applyAlignment="1" applyProtection="1">
      <alignment horizontal="center"/>
    </xf>
    <xf numFmtId="0" fontId="28" fillId="0" borderId="0" xfId="0" applyFont="1" applyAlignment="1" applyProtection="1">
      <alignment horizontal="left" vertical="top" wrapText="1"/>
    </xf>
    <xf numFmtId="0" fontId="28" fillId="11" borderId="8" xfId="0" applyFont="1" applyFill="1" applyBorder="1" applyAlignment="1" applyProtection="1">
      <alignment horizontal="left"/>
    </xf>
    <xf numFmtId="0" fontId="28" fillId="11" borderId="9" xfId="0" applyFont="1" applyFill="1" applyBorder="1" applyAlignment="1" applyProtection="1">
      <alignment horizontal="left"/>
    </xf>
    <xf numFmtId="0" fontId="28" fillId="6" borderId="0" xfId="0" applyFont="1" applyFill="1" applyAlignment="1" applyProtection="1">
      <alignment horizontal="center"/>
    </xf>
    <xf numFmtId="0" fontId="28" fillId="6" borderId="0" xfId="0" applyFont="1" applyFill="1" applyBorder="1" applyAlignment="1" applyProtection="1">
      <alignment horizontal="center"/>
    </xf>
    <xf numFmtId="0" fontId="28" fillId="0" borderId="8" xfId="0" applyFont="1" applyBorder="1" applyAlignment="1" applyProtection="1">
      <alignment horizontal="left" wrapText="1"/>
    </xf>
    <xf numFmtId="0" fontId="28" fillId="9" borderId="3" xfId="0" applyFont="1" applyFill="1" applyBorder="1" applyAlignment="1" applyProtection="1">
      <alignment horizontal="center"/>
    </xf>
    <xf numFmtId="0" fontId="28" fillId="19" borderId="0" xfId="0" applyFont="1" applyFill="1" applyAlignment="1" applyProtection="1">
      <alignment horizontal="center"/>
    </xf>
    <xf numFmtId="0" fontId="28" fillId="19" borderId="0" xfId="0" applyFont="1" applyFill="1" applyBorder="1" applyAlignment="1" applyProtection="1">
      <alignment horizontal="center"/>
    </xf>
    <xf numFmtId="0" fontId="28" fillId="3" borderId="3" xfId="0" applyFont="1" applyFill="1" applyBorder="1" applyAlignment="1" applyProtection="1">
      <alignment horizontal="center"/>
    </xf>
    <xf numFmtId="0" fontId="28" fillId="5" borderId="0" xfId="0" applyFont="1" applyFill="1" applyAlignment="1" applyProtection="1">
      <alignment horizontal="center"/>
    </xf>
    <xf numFmtId="0" fontId="28" fillId="5" borderId="0" xfId="0" applyFont="1" applyFill="1" applyBorder="1" applyAlignment="1" applyProtection="1">
      <alignment horizontal="center"/>
    </xf>
    <xf numFmtId="0" fontId="28" fillId="5" borderId="8" xfId="0" applyFont="1" applyFill="1" applyBorder="1" applyAlignment="1" applyProtection="1">
      <alignment horizontal="center"/>
    </xf>
    <xf numFmtId="0" fontId="28" fillId="5" borderId="9" xfId="0" applyFont="1" applyFill="1" applyBorder="1" applyAlignment="1" applyProtection="1">
      <alignment horizontal="center"/>
    </xf>
    <xf numFmtId="0" fontId="28" fillId="0" borderId="0" xfId="0" applyFont="1" applyBorder="1" applyAlignment="1" applyProtection="1">
      <alignment horizontal="left" wrapText="1"/>
    </xf>
    <xf numFmtId="0" fontId="28" fillId="5" borderId="6" xfId="0" applyFont="1" applyFill="1" applyBorder="1" applyAlignment="1" applyProtection="1">
      <alignment horizontal="center"/>
    </xf>
    <xf numFmtId="0" fontId="28" fillId="0" borderId="3" xfId="0" applyFont="1" applyBorder="1" applyAlignment="1" applyProtection="1">
      <alignment horizontal="left" vertical="top" wrapText="1"/>
    </xf>
    <xf numFmtId="0" fontId="28" fillId="6" borderId="8" xfId="0" applyFont="1" applyFill="1" applyBorder="1" applyAlignment="1" applyProtection="1">
      <alignment horizontal="left"/>
    </xf>
    <xf numFmtId="0" fontId="28" fillId="15" borderId="8" xfId="0" applyFont="1" applyFill="1" applyBorder="1" applyAlignment="1" applyProtection="1">
      <alignment horizontal="left"/>
    </xf>
    <xf numFmtId="0" fontId="28" fillId="15" borderId="0" xfId="0" applyFont="1" applyFill="1" applyAlignment="1" applyProtection="1">
      <alignment horizontal="left"/>
    </xf>
    <xf numFmtId="0" fontId="28" fillId="6" borderId="0" xfId="0" applyFont="1" applyFill="1" applyAlignment="1" applyProtection="1">
      <alignment horizontal="left"/>
    </xf>
    <xf numFmtId="0" fontId="43" fillId="0" borderId="0" xfId="0" applyFont="1" applyBorder="1" applyAlignment="1" applyProtection="1">
      <alignment horizontal="left" wrapText="1"/>
    </xf>
    <xf numFmtId="0" fontId="28" fillId="4" borderId="0" xfId="0" applyFont="1" applyFill="1" applyAlignment="1" applyProtection="1">
      <alignment horizontal="left" wrapText="1"/>
    </xf>
    <xf numFmtId="0" fontId="28" fillId="12" borderId="0" xfId="0" applyFont="1" applyFill="1" applyAlignment="1" applyProtection="1">
      <alignment horizontal="right"/>
    </xf>
    <xf numFmtId="0" fontId="28" fillId="12" borderId="6" xfId="0" applyFont="1" applyFill="1" applyBorder="1" applyAlignment="1" applyProtection="1">
      <alignment horizontal="right"/>
    </xf>
    <xf numFmtId="0" fontId="28" fillId="23" borderId="0" xfId="0" applyFont="1" applyFill="1" applyAlignment="1" applyProtection="1">
      <alignment horizontal="left" wrapText="1"/>
    </xf>
    <xf numFmtId="0" fontId="28" fillId="12" borderId="0" xfId="0" applyFont="1" applyFill="1" applyBorder="1" applyAlignment="1" applyProtection="1">
      <alignment horizontal="center"/>
    </xf>
    <xf numFmtId="0" fontId="28" fillId="7" borderId="3" xfId="0" applyFont="1" applyFill="1" applyBorder="1" applyAlignment="1" applyProtection="1">
      <alignment horizontal="center"/>
    </xf>
    <xf numFmtId="0" fontId="28" fillId="15" borderId="0" xfId="0" applyFont="1" applyFill="1" applyAlignment="1" applyProtection="1">
      <alignment horizontal="center"/>
    </xf>
    <xf numFmtId="0" fontId="43" fillId="7" borderId="0" xfId="0" applyFont="1" applyFill="1" applyAlignment="1" applyProtection="1">
      <alignment horizontal="left" wrapText="1"/>
    </xf>
    <xf numFmtId="0" fontId="43" fillId="0" borderId="3" xfId="0" applyFont="1" applyFill="1" applyBorder="1" applyAlignment="1" applyProtection="1">
      <alignment horizontal="left" wrapText="1"/>
    </xf>
    <xf numFmtId="0" fontId="43" fillId="0" borderId="0" xfId="0" applyFont="1" applyFill="1" applyBorder="1" applyAlignment="1" applyProtection="1">
      <alignment horizontal="left" wrapText="1"/>
    </xf>
    <xf numFmtId="0" fontId="28" fillId="0" borderId="0" xfId="0" applyFont="1" applyFill="1" applyBorder="1" applyAlignment="1" applyProtection="1">
      <alignment horizontal="left" wrapText="1"/>
    </xf>
    <xf numFmtId="0" fontId="28" fillId="0" borderId="3" xfId="0" applyFont="1" applyFill="1" applyBorder="1" applyAlignment="1" applyProtection="1">
      <alignment horizontal="left"/>
    </xf>
    <xf numFmtId="0" fontId="28" fillId="0" borderId="0" xfId="0" applyFont="1" applyFill="1" applyBorder="1" applyAlignment="1" applyProtection="1">
      <alignment horizontal="left"/>
    </xf>
    <xf numFmtId="0" fontId="28" fillId="0" borderId="3" xfId="0" applyFont="1" applyFill="1" applyBorder="1" applyAlignment="1" applyProtection="1">
      <alignment horizontal="left" wrapText="1"/>
    </xf>
    <xf numFmtId="0" fontId="28" fillId="7" borderId="3" xfId="0" applyFont="1" applyFill="1" applyBorder="1" applyAlignment="1" applyProtection="1">
      <alignment horizontal="left" vertical="top" wrapText="1"/>
    </xf>
    <xf numFmtId="0" fontId="28" fillId="7" borderId="0" xfId="0" applyFont="1" applyFill="1" applyAlignment="1" applyProtection="1">
      <alignment horizontal="left" vertical="top" wrapText="1"/>
    </xf>
    <xf numFmtId="0" fontId="28" fillId="7" borderId="0" xfId="0" applyFont="1" applyFill="1" applyBorder="1" applyAlignment="1" applyProtection="1">
      <alignment horizontal="left" vertical="top" wrapText="1"/>
    </xf>
    <xf numFmtId="0" fontId="28" fillId="0" borderId="5" xfId="0" applyFont="1" applyBorder="1" applyAlignment="1" applyProtection="1">
      <alignment horizontal="left"/>
    </xf>
    <xf numFmtId="0" fontId="28" fillId="0" borderId="7" xfId="0" applyFont="1" applyBorder="1" applyAlignment="1" applyProtection="1">
      <alignment horizontal="left"/>
    </xf>
    <xf numFmtId="0" fontId="28" fillId="0" borderId="0" xfId="0" applyFont="1" applyBorder="1" applyAlignment="1" applyProtection="1">
      <alignment horizontal="left" vertical="top" wrapText="1"/>
      <protection locked="0"/>
    </xf>
    <xf numFmtId="0" fontId="28" fillId="0" borderId="0" xfId="0" applyFont="1" applyBorder="1" applyAlignment="1" applyProtection="1">
      <alignment horizontal="left" vertical="top" wrapText="1"/>
    </xf>
    <xf numFmtId="0" fontId="20" fillId="0" borderId="31" xfId="0" applyFont="1" applyBorder="1" applyAlignment="1" applyProtection="1">
      <alignment horizontal="center"/>
    </xf>
    <xf numFmtId="0" fontId="20" fillId="0" borderId="18" xfId="0" applyFont="1" applyBorder="1" applyAlignment="1" applyProtection="1">
      <alignment horizontal="center"/>
    </xf>
    <xf numFmtId="0" fontId="28" fillId="0" borderId="11" xfId="0" applyFont="1" applyBorder="1" applyAlignment="1" applyProtection="1">
      <alignment horizontal="center"/>
      <protection locked="0"/>
    </xf>
    <xf numFmtId="0" fontId="28" fillId="0" borderId="12" xfId="0" applyFont="1" applyBorder="1" applyAlignment="1" applyProtection="1">
      <alignment horizontal="center"/>
      <protection locked="0"/>
    </xf>
    <xf numFmtId="0" fontId="28" fillId="7" borderId="3" xfId="0" applyFont="1" applyFill="1" applyBorder="1" applyAlignment="1" applyProtection="1">
      <alignment horizontal="left" vertical="center" wrapText="1"/>
    </xf>
    <xf numFmtId="0" fontId="28" fillId="27" borderId="0" xfId="0" applyFont="1" applyFill="1" applyAlignment="1" applyProtection="1">
      <alignment horizontal="center"/>
    </xf>
    <xf numFmtId="0" fontId="28" fillId="27" borderId="6" xfId="0" applyFont="1" applyFill="1" applyBorder="1" applyAlignment="1" applyProtection="1">
      <alignment horizontal="center"/>
    </xf>
    <xf numFmtId="0" fontId="28" fillId="8" borderId="0" xfId="0" applyFont="1" applyFill="1" applyAlignment="1" applyProtection="1">
      <alignment horizontal="center"/>
    </xf>
    <xf numFmtId="0" fontId="28" fillId="8" borderId="6" xfId="0" applyFont="1" applyFill="1" applyBorder="1" applyAlignment="1" applyProtection="1">
      <alignment horizontal="center"/>
    </xf>
    <xf numFmtId="0" fontId="43" fillId="0" borderId="0" xfId="0" applyFont="1" applyAlignment="1" applyProtection="1">
      <alignment horizontal="center" wrapText="1"/>
    </xf>
    <xf numFmtId="0" fontId="40" fillId="5" borderId="8" xfId="0" applyFont="1" applyFill="1" applyBorder="1" applyAlignment="1" applyProtection="1">
      <alignment horizontal="center" vertical="center"/>
    </xf>
    <xf numFmtId="0" fontId="40" fillId="5" borderId="9" xfId="0" applyFont="1" applyFill="1" applyBorder="1" applyAlignment="1" applyProtection="1">
      <alignment horizontal="center" vertical="center"/>
    </xf>
    <xf numFmtId="0" fontId="14" fillId="3" borderId="11" xfId="0" applyFont="1" applyFill="1" applyBorder="1" applyAlignment="1" applyProtection="1">
      <alignment horizontal="center" vertical="center"/>
      <protection locked="0"/>
    </xf>
    <xf numFmtId="0" fontId="14" fillId="3" borderId="12" xfId="0" applyFont="1" applyFill="1" applyBorder="1" applyAlignment="1" applyProtection="1">
      <alignment horizontal="center" vertical="center"/>
      <protection locked="0"/>
    </xf>
    <xf numFmtId="0" fontId="28" fillId="0" borderId="56" xfId="0" applyFont="1" applyBorder="1" applyAlignment="1" applyProtection="1">
      <alignment horizontal="center" vertical="center"/>
      <protection locked="0"/>
    </xf>
    <xf numFmtId="0" fontId="28" fillId="0" borderId="55" xfId="0" applyFont="1" applyBorder="1" applyAlignment="1" applyProtection="1">
      <alignment horizontal="center" vertical="center"/>
      <protection locked="0"/>
    </xf>
    <xf numFmtId="0" fontId="20" fillId="3" borderId="32" xfId="0" applyFont="1" applyFill="1" applyBorder="1" applyAlignment="1" applyProtection="1">
      <alignment horizontal="center" vertical="center"/>
    </xf>
    <xf numFmtId="0" fontId="20" fillId="3" borderId="33" xfId="0" applyFont="1" applyFill="1" applyBorder="1" applyAlignment="1" applyProtection="1">
      <alignment horizontal="center" vertical="center"/>
    </xf>
    <xf numFmtId="0" fontId="40" fillId="11" borderId="0" xfId="0" applyFont="1" applyFill="1" applyAlignment="1" applyProtection="1">
      <alignment horizontal="left" vertical="center"/>
    </xf>
    <xf numFmtId="0" fontId="40" fillId="11" borderId="6" xfId="0" applyFont="1" applyFill="1" applyBorder="1" applyAlignment="1" applyProtection="1">
      <alignment horizontal="left" vertical="center"/>
    </xf>
    <xf numFmtId="0" fontId="28" fillId="25" borderId="11" xfId="0" applyFont="1" applyFill="1" applyBorder="1" applyAlignment="1" applyProtection="1">
      <alignment horizontal="left"/>
    </xf>
    <xf numFmtId="0" fontId="28" fillId="25" borderId="17" xfId="0" applyFont="1" applyFill="1" applyBorder="1" applyAlignment="1" applyProtection="1">
      <alignment horizontal="left"/>
    </xf>
    <xf numFmtId="0" fontId="14" fillId="0" borderId="1" xfId="0" applyFont="1" applyBorder="1" applyAlignment="1" applyProtection="1">
      <alignment horizontal="center"/>
      <protection locked="0"/>
    </xf>
    <xf numFmtId="21" fontId="14" fillId="0" borderId="1" xfId="0" applyNumberFormat="1" applyFont="1" applyBorder="1" applyAlignment="1" applyProtection="1">
      <alignment horizontal="center"/>
      <protection locked="0"/>
    </xf>
    <xf numFmtId="0" fontId="14" fillId="0" borderId="36" xfId="0" applyFont="1" applyBorder="1" applyAlignment="1" applyProtection="1">
      <alignment horizontal="center"/>
      <protection locked="0"/>
    </xf>
    <xf numFmtId="0" fontId="40" fillId="7" borderId="3" xfId="0" applyFont="1" applyFill="1" applyBorder="1" applyAlignment="1" applyProtection="1">
      <alignment horizontal="left" vertical="center" wrapText="1"/>
    </xf>
    <xf numFmtId="0" fontId="40" fillId="7" borderId="0" xfId="0" applyFont="1" applyFill="1" applyBorder="1" applyAlignment="1" applyProtection="1">
      <alignment horizontal="left" vertical="center" wrapText="1"/>
    </xf>
    <xf numFmtId="0" fontId="14" fillId="22" borderId="1" xfId="0" applyFont="1" applyFill="1" applyBorder="1" applyAlignment="1" applyProtection="1">
      <alignment horizontal="center"/>
    </xf>
    <xf numFmtId="0" fontId="14" fillId="22" borderId="36" xfId="0" applyFont="1" applyFill="1" applyBorder="1" applyAlignment="1" applyProtection="1">
      <alignment horizontal="center"/>
    </xf>
    <xf numFmtId="0" fontId="14" fillId="12" borderId="32" xfId="0" applyFont="1" applyFill="1" applyBorder="1" applyAlignment="1" applyProtection="1">
      <alignment horizontal="center"/>
    </xf>
    <xf numFmtId="0" fontId="14" fillId="12" borderId="39" xfId="0" applyFont="1" applyFill="1" applyBorder="1" applyAlignment="1" applyProtection="1">
      <alignment horizontal="center"/>
    </xf>
    <xf numFmtId="0" fontId="14" fillId="12" borderId="33" xfId="0" applyFont="1" applyFill="1" applyBorder="1" applyAlignment="1" applyProtection="1">
      <alignment horizontal="center"/>
    </xf>
    <xf numFmtId="0" fontId="28" fillId="0" borderId="8" xfId="0" applyFont="1" applyBorder="1" applyAlignment="1" applyProtection="1">
      <alignment horizontal="left" vertical="top" wrapText="1"/>
    </xf>
    <xf numFmtId="166" fontId="23" fillId="0" borderId="16" xfId="0" applyNumberFormat="1" applyFont="1" applyBorder="1" applyAlignment="1" applyProtection="1">
      <alignment horizontal="center" vertical="center"/>
    </xf>
    <xf numFmtId="166" fontId="23" fillId="0" borderId="18" xfId="0" applyNumberFormat="1" applyFont="1" applyBorder="1" applyAlignment="1" applyProtection="1">
      <alignment horizontal="center" vertical="center"/>
    </xf>
    <xf numFmtId="0" fontId="23" fillId="0" borderId="16" xfId="0" applyFont="1" applyBorder="1" applyAlignment="1" applyProtection="1">
      <alignment horizontal="center"/>
    </xf>
    <xf numFmtId="0" fontId="23" fillId="0" borderId="31" xfId="0" applyFont="1" applyBorder="1" applyAlignment="1" applyProtection="1">
      <alignment horizontal="center"/>
    </xf>
    <xf numFmtId="0" fontId="23" fillId="0" borderId="18" xfId="0" applyFont="1" applyBorder="1" applyAlignment="1" applyProtection="1">
      <alignment horizontal="center"/>
    </xf>
    <xf numFmtId="0" fontId="14" fillId="0" borderId="32" xfId="0" applyFont="1" applyBorder="1" applyAlignment="1" applyProtection="1">
      <alignment horizontal="center"/>
    </xf>
    <xf numFmtId="0" fontId="14" fillId="0" borderId="39" xfId="0" applyFont="1" applyBorder="1" applyAlignment="1" applyProtection="1">
      <alignment horizontal="center"/>
    </xf>
    <xf numFmtId="0" fontId="14" fillId="0" borderId="44" xfId="0" applyFont="1" applyBorder="1" applyAlignment="1" applyProtection="1">
      <alignment horizontal="center"/>
    </xf>
    <xf numFmtId="0" fontId="14" fillId="4" borderId="40" xfId="0" applyFont="1" applyFill="1" applyBorder="1" applyAlignment="1" applyProtection="1">
      <alignment horizontal="center"/>
    </xf>
    <xf numFmtId="0" fontId="14" fillId="4" borderId="17" xfId="0" applyFont="1" applyFill="1" applyBorder="1" applyAlignment="1" applyProtection="1">
      <alignment horizontal="center"/>
    </xf>
    <xf numFmtId="0" fontId="14" fillId="4" borderId="45" xfId="0" applyFont="1" applyFill="1" applyBorder="1" applyAlignment="1" applyProtection="1">
      <alignment horizontal="center"/>
    </xf>
    <xf numFmtId="0" fontId="14" fillId="0" borderId="40" xfId="0" applyFont="1" applyBorder="1" applyAlignment="1" applyProtection="1">
      <alignment horizontal="center"/>
    </xf>
    <xf numFmtId="0" fontId="14" fillId="0" borderId="17" xfId="0" applyFont="1" applyBorder="1" applyAlignment="1" applyProtection="1">
      <alignment horizontal="center"/>
    </xf>
    <xf numFmtId="0" fontId="14" fillId="0" borderId="45" xfId="0" applyFont="1" applyBorder="1" applyAlignment="1" applyProtection="1">
      <alignment horizontal="center"/>
    </xf>
    <xf numFmtId="167" fontId="28" fillId="0" borderId="46" xfId="0" applyNumberFormat="1" applyFont="1" applyBorder="1" applyAlignment="1" applyProtection="1">
      <alignment horizontal="center"/>
      <protection locked="0"/>
    </xf>
    <xf numFmtId="167" fontId="28" fillId="0" borderId="42" xfId="0" applyNumberFormat="1" applyFont="1" applyBorder="1" applyAlignment="1" applyProtection="1">
      <alignment horizontal="center"/>
      <protection locked="0"/>
    </xf>
    <xf numFmtId="167" fontId="28" fillId="4" borderId="47" xfId="0" applyNumberFormat="1" applyFont="1" applyFill="1" applyBorder="1" applyAlignment="1" applyProtection="1">
      <alignment horizontal="center"/>
      <protection locked="0"/>
    </xf>
    <xf numFmtId="167" fontId="28" fillId="4" borderId="43" xfId="0" applyNumberFormat="1" applyFont="1" applyFill="1" applyBorder="1" applyAlignment="1" applyProtection="1">
      <alignment horizontal="center"/>
      <protection locked="0"/>
    </xf>
    <xf numFmtId="167" fontId="28" fillId="0" borderId="47" xfId="0" applyNumberFormat="1" applyFont="1" applyBorder="1" applyAlignment="1" applyProtection="1">
      <alignment horizontal="center"/>
      <protection locked="0"/>
    </xf>
    <xf numFmtId="167" fontId="28" fillId="0" borderId="43" xfId="0" applyNumberFormat="1" applyFont="1" applyBorder="1" applyAlignment="1" applyProtection="1">
      <alignment horizontal="center"/>
      <protection locked="0"/>
    </xf>
    <xf numFmtId="0" fontId="14" fillId="4" borderId="23" xfId="0" applyFont="1" applyFill="1" applyBorder="1" applyAlignment="1" applyProtection="1">
      <alignment horizontal="center"/>
    </xf>
    <xf numFmtId="0" fontId="14" fillId="4" borderId="24" xfId="0" applyFont="1" applyFill="1" applyBorder="1" applyAlignment="1" applyProtection="1">
      <alignment horizontal="center"/>
    </xf>
    <xf numFmtId="0" fontId="14" fillId="4" borderId="25" xfId="0" applyFont="1" applyFill="1" applyBorder="1" applyAlignment="1" applyProtection="1">
      <alignment horizontal="center"/>
    </xf>
    <xf numFmtId="0" fontId="14" fillId="4" borderId="26" xfId="0" applyFont="1" applyFill="1" applyBorder="1" applyAlignment="1" applyProtection="1">
      <alignment horizontal="center"/>
    </xf>
    <xf numFmtId="0" fontId="14" fillId="4" borderId="27" xfId="0" applyFont="1" applyFill="1" applyBorder="1" applyAlignment="1" applyProtection="1">
      <alignment horizontal="center"/>
    </xf>
    <xf numFmtId="0" fontId="28" fillId="17" borderId="0" xfId="0" applyFont="1" applyFill="1" applyAlignment="1" applyProtection="1">
      <alignment horizontal="center" wrapText="1"/>
    </xf>
    <xf numFmtId="0" fontId="28" fillId="17" borderId="6" xfId="0" applyFont="1" applyFill="1" applyBorder="1" applyAlignment="1" applyProtection="1">
      <alignment horizontal="center" wrapText="1"/>
    </xf>
    <xf numFmtId="0" fontId="43" fillId="0" borderId="0" xfId="0" applyFont="1" applyAlignment="1" applyProtection="1">
      <alignment horizontal="left"/>
    </xf>
    <xf numFmtId="0" fontId="14" fillId="3" borderId="40" xfId="0" applyFont="1" applyFill="1" applyBorder="1" applyAlignment="1" applyProtection="1">
      <alignment horizontal="center"/>
      <protection locked="0"/>
    </xf>
    <xf numFmtId="0" fontId="14" fillId="0" borderId="40" xfId="0" applyFont="1" applyBorder="1" applyAlignment="1" applyProtection="1">
      <alignment horizontal="center"/>
      <protection locked="0"/>
    </xf>
    <xf numFmtId="0" fontId="40" fillId="5" borderId="0" xfId="0" applyFont="1" applyFill="1" applyBorder="1" applyAlignment="1" applyProtection="1">
      <alignment horizontal="center" vertical="center"/>
    </xf>
    <xf numFmtId="0" fontId="14" fillId="0" borderId="54" xfId="0" applyFont="1" applyBorder="1" applyAlignment="1" applyProtection="1">
      <alignment horizontal="center"/>
      <protection locked="0"/>
    </xf>
    <xf numFmtId="0" fontId="14" fillId="0" borderId="55" xfId="0" applyFont="1" applyBorder="1" applyAlignment="1" applyProtection="1">
      <alignment horizontal="center"/>
      <protection locked="0"/>
    </xf>
    <xf numFmtId="0" fontId="14" fillId="0" borderId="52" xfId="0" applyFont="1" applyBorder="1" applyAlignment="1" applyProtection="1">
      <alignment horizontal="center"/>
    </xf>
    <xf numFmtId="0" fontId="14" fillId="0" borderId="53" xfId="0" applyFont="1" applyBorder="1" applyAlignment="1" applyProtection="1">
      <alignment horizontal="center"/>
    </xf>
    <xf numFmtId="0" fontId="14" fillId="0" borderId="51" xfId="0" applyFont="1" applyBorder="1" applyAlignment="1" applyProtection="1">
      <alignment horizontal="center"/>
    </xf>
    <xf numFmtId="0" fontId="28" fillId="25" borderId="2" xfId="0" applyFont="1" applyFill="1" applyBorder="1" applyAlignment="1" applyProtection="1">
      <alignment horizontal="center"/>
    </xf>
    <xf numFmtId="0" fontId="28" fillId="25" borderId="3" xfId="0" applyFont="1" applyFill="1" applyBorder="1" applyAlignment="1" applyProtection="1">
      <alignment horizontal="center"/>
    </xf>
    <xf numFmtId="0" fontId="28" fillId="25" borderId="11" xfId="0" applyFont="1" applyFill="1" applyBorder="1" applyAlignment="1" applyProtection="1">
      <alignment horizontal="center"/>
    </xf>
    <xf numFmtId="0" fontId="28" fillId="25" borderId="17" xfId="0" applyFont="1" applyFill="1" applyBorder="1" applyAlignment="1" applyProtection="1">
      <alignment horizontal="center"/>
    </xf>
    <xf numFmtId="0" fontId="28" fillId="11" borderId="11" xfId="0" applyFont="1" applyFill="1" applyBorder="1" applyAlignment="1" applyProtection="1">
      <alignment horizontal="center"/>
    </xf>
    <xf numFmtId="0" fontId="28" fillId="11" borderId="17" xfId="0" applyFont="1" applyFill="1" applyBorder="1" applyAlignment="1" applyProtection="1">
      <alignment horizontal="center"/>
    </xf>
    <xf numFmtId="0" fontId="28" fillId="21" borderId="8" xfId="0" applyFont="1" applyFill="1" applyBorder="1" applyAlignment="1" applyProtection="1">
      <alignment horizontal="center"/>
    </xf>
    <xf numFmtId="0" fontId="43" fillId="0" borderId="3" xfId="0" applyFont="1" applyFill="1" applyBorder="1" applyAlignment="1" applyProtection="1">
      <alignment horizontal="center"/>
    </xf>
    <xf numFmtId="0" fontId="43" fillId="7" borderId="0" xfId="0" applyFont="1" applyFill="1" applyBorder="1" applyAlignment="1" applyProtection="1">
      <alignment horizontal="left"/>
    </xf>
    <xf numFmtId="0" fontId="43" fillId="7" borderId="6" xfId="0" applyFont="1" applyFill="1" applyBorder="1" applyAlignment="1" applyProtection="1">
      <alignment horizontal="left"/>
    </xf>
    <xf numFmtId="0" fontId="20" fillId="0" borderId="11" xfId="0" applyFont="1" applyBorder="1" applyAlignment="1" applyProtection="1">
      <alignment horizontal="right" vertical="center"/>
    </xf>
    <xf numFmtId="0" fontId="20" fillId="0" borderId="17" xfId="0" applyFont="1" applyBorder="1" applyAlignment="1" applyProtection="1">
      <alignment horizontal="right" vertical="center"/>
    </xf>
    <xf numFmtId="0" fontId="20" fillId="0" borderId="12" xfId="0" applyFont="1" applyBorder="1" applyAlignment="1" applyProtection="1">
      <alignment horizontal="right" vertical="center"/>
    </xf>
    <xf numFmtId="0" fontId="28" fillId="16" borderId="8" xfId="0" applyFont="1" applyFill="1" applyBorder="1" applyAlignment="1" applyProtection="1">
      <alignment horizontal="center"/>
    </xf>
    <xf numFmtId="0" fontId="14" fillId="22" borderId="40" xfId="0" applyFont="1" applyFill="1" applyBorder="1" applyAlignment="1" applyProtection="1">
      <alignment horizontal="center"/>
    </xf>
    <xf numFmtId="0" fontId="14" fillId="22" borderId="12" xfId="0" applyFont="1" applyFill="1" applyBorder="1" applyAlignment="1" applyProtection="1">
      <alignment horizontal="center"/>
    </xf>
    <xf numFmtId="0" fontId="14" fillId="2" borderId="24" xfId="0" applyFont="1" applyFill="1" applyBorder="1"/>
    <xf numFmtId="0" fontId="14" fillId="0" borderId="0" xfId="0" applyFont="1"/>
    <xf numFmtId="0" fontId="14" fillId="2" borderId="0" xfId="0" applyFont="1" applyFill="1"/>
    <xf numFmtId="0" fontId="14" fillId="0" borderId="0" xfId="0" applyFont="1" applyAlignment="1" applyProtection="1">
      <alignment horizontal="left" vertical="top" wrapText="1"/>
      <protection locked="0"/>
    </xf>
    <xf numFmtId="0" fontId="15" fillId="0" borderId="23" xfId="0" applyFont="1" applyBorder="1" applyAlignment="1">
      <alignment horizontal="left" vertical="center"/>
    </xf>
    <xf numFmtId="0" fontId="15" fillId="0" borderId="24" xfId="0" applyFont="1" applyBorder="1" applyAlignment="1">
      <alignment horizontal="left" vertical="center"/>
    </xf>
    <xf numFmtId="0" fontId="15" fillId="0" borderId="25" xfId="0" applyFont="1" applyBorder="1" applyAlignment="1">
      <alignment horizontal="left" vertical="center"/>
    </xf>
    <xf numFmtId="0" fontId="15" fillId="0" borderId="26" xfId="0" applyFont="1" applyBorder="1" applyAlignment="1">
      <alignment horizontal="left" vertical="center"/>
    </xf>
    <xf numFmtId="0" fontId="15" fillId="0" borderId="27" xfId="0" applyFont="1" applyBorder="1" applyAlignment="1">
      <alignment horizontal="left" vertical="center"/>
    </xf>
    <xf numFmtId="0" fontId="15" fillId="0" borderId="28" xfId="0" applyFont="1" applyBorder="1" applyAlignment="1">
      <alignment horizontal="left" vertical="center"/>
    </xf>
    <xf numFmtId="0" fontId="20" fillId="0" borderId="0" xfId="0" applyFont="1" applyAlignment="1">
      <alignment horizontal="center"/>
    </xf>
    <xf numFmtId="0" fontId="20" fillId="0" borderId="16" xfId="0" applyFont="1" applyBorder="1" applyAlignment="1">
      <alignment horizontal="center"/>
    </xf>
    <xf numFmtId="0" fontId="20" fillId="0" borderId="18" xfId="0" applyFont="1" applyBorder="1" applyAlignment="1">
      <alignment horizontal="center"/>
    </xf>
    <xf numFmtId="0" fontId="15" fillId="0" borderId="0" xfId="0" applyFont="1" applyAlignment="1">
      <alignment horizontal="right"/>
    </xf>
    <xf numFmtId="0" fontId="15" fillId="0" borderId="30" xfId="0" applyFont="1" applyBorder="1" applyAlignment="1">
      <alignment horizontal="right"/>
    </xf>
    <xf numFmtId="0" fontId="0" fillId="0" borderId="3"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15" fillId="0" borderId="16" xfId="0" applyFont="1" applyBorder="1" applyAlignment="1">
      <alignment horizontal="center"/>
    </xf>
    <xf numFmtId="0" fontId="15" fillId="0" borderId="18" xfId="0" applyFont="1" applyBorder="1" applyAlignment="1">
      <alignment horizontal="center"/>
    </xf>
    <xf numFmtId="0" fontId="18" fillId="0" borderId="16" xfId="0" applyFont="1" applyBorder="1" applyAlignment="1">
      <alignment horizontal="center" vertical="center"/>
    </xf>
    <xf numFmtId="0" fontId="18" fillId="0" borderId="18" xfId="0" applyFont="1" applyBorder="1" applyAlignment="1">
      <alignment horizontal="center" vertical="center"/>
    </xf>
    <xf numFmtId="49" fontId="14" fillId="0" borderId="0" xfId="0" applyNumberFormat="1" applyFont="1" applyAlignment="1">
      <alignment horizontal="left"/>
    </xf>
    <xf numFmtId="0" fontId="15" fillId="0" borderId="0" xfId="0" applyFont="1" applyAlignment="1">
      <alignment horizontal="center"/>
    </xf>
    <xf numFmtId="0" fontId="15" fillId="0" borderId="16" xfId="0" applyFont="1" applyBorder="1" applyAlignment="1" applyProtection="1">
      <alignment horizontal="center" vertical="center"/>
      <protection locked="0"/>
    </xf>
    <xf numFmtId="0" fontId="15" fillId="0" borderId="18" xfId="0" applyFont="1" applyBorder="1" applyAlignment="1" applyProtection="1">
      <alignment horizontal="center" vertical="center"/>
      <protection locked="0"/>
    </xf>
    <xf numFmtId="0" fontId="18" fillId="0" borderId="0" xfId="0" applyFont="1" applyAlignment="1">
      <alignment horizontal="left"/>
    </xf>
    <xf numFmtId="0" fontId="18" fillId="0" borderId="30" xfId="0" applyFont="1" applyBorder="1" applyAlignment="1">
      <alignment horizontal="left"/>
    </xf>
    <xf numFmtId="0" fontId="17" fillId="0" borderId="0" xfId="0" applyFont="1"/>
    <xf numFmtId="0" fontId="14" fillId="0" borderId="11" xfId="0" applyFont="1" applyBorder="1" applyAlignment="1">
      <alignment horizontal="center"/>
    </xf>
    <xf numFmtId="0" fontId="14" fillId="0" borderId="12" xfId="0" applyFont="1" applyBorder="1" applyAlignment="1">
      <alignment horizontal="center"/>
    </xf>
    <xf numFmtId="9" fontId="15" fillId="0" borderId="16" xfId="0" applyNumberFormat="1" applyFont="1" applyBorder="1" applyAlignment="1">
      <alignment horizontal="center"/>
    </xf>
    <xf numFmtId="9" fontId="15" fillId="0" borderId="18" xfId="0" applyNumberFormat="1" applyFont="1" applyBorder="1" applyAlignment="1">
      <alignment horizontal="center"/>
    </xf>
    <xf numFmtId="0" fontId="14" fillId="0" borderId="29" xfId="0" applyFont="1" applyBorder="1" applyAlignment="1" applyProtection="1">
      <alignment horizontal="center" vertical="center"/>
      <protection locked="0"/>
    </xf>
    <xf numFmtId="0" fontId="14" fillId="0" borderId="19" xfId="0" applyFont="1" applyBorder="1"/>
    <xf numFmtId="0" fontId="14" fillId="0" borderId="20" xfId="0" applyFont="1" applyBorder="1"/>
    <xf numFmtId="0" fontId="14" fillId="0" borderId="11" xfId="0" applyFont="1" applyBorder="1" applyAlignment="1">
      <alignment horizontal="right"/>
    </xf>
    <xf numFmtId="0" fontId="14" fillId="0" borderId="22" xfId="0" applyFont="1" applyBorder="1" applyAlignment="1">
      <alignment horizontal="right"/>
    </xf>
    <xf numFmtId="0" fontId="14" fillId="0" borderId="24" xfId="0" applyFont="1" applyBorder="1"/>
    <xf numFmtId="0" fontId="0" fillId="0" borderId="11" xfId="0" applyBorder="1" applyAlignment="1">
      <alignment horizontal="center" vertical="center"/>
    </xf>
    <xf numFmtId="0" fontId="0" fillId="0" borderId="17" xfId="0" applyBorder="1" applyAlignment="1">
      <alignment horizontal="center" vertical="center"/>
    </xf>
    <xf numFmtId="0" fontId="0" fillId="0" borderId="12" xfId="0" applyBorder="1" applyAlignment="1">
      <alignment horizontal="center" vertical="center"/>
    </xf>
    <xf numFmtId="0" fontId="3" fillId="0" borderId="11" xfId="0" applyFont="1" applyBorder="1" applyAlignment="1">
      <alignment horizontal="right" vertical="center"/>
    </xf>
    <xf numFmtId="0" fontId="3" fillId="0" borderId="17" xfId="0" applyFont="1" applyBorder="1" applyAlignment="1">
      <alignment horizontal="right" vertical="center"/>
    </xf>
    <xf numFmtId="0" fontId="3" fillId="0" borderId="12" xfId="0" applyFont="1" applyBorder="1" applyAlignment="1">
      <alignment horizontal="right" vertical="center"/>
    </xf>
    <xf numFmtId="0" fontId="0" fillId="0" borderId="11" xfId="0" applyBorder="1" applyAlignment="1">
      <alignment horizontal="right" vertical="center"/>
    </xf>
    <xf numFmtId="0" fontId="0" fillId="0" borderId="17" xfId="0" applyBorder="1" applyAlignment="1">
      <alignment horizontal="right" vertical="center"/>
    </xf>
    <xf numFmtId="0" fontId="0" fillId="0" borderId="12" xfId="0" applyBorder="1" applyAlignment="1">
      <alignment horizontal="right" vertical="center"/>
    </xf>
    <xf numFmtId="0" fontId="0" fillId="0" borderId="2" xfId="0" applyBorder="1" applyAlignment="1" applyProtection="1">
      <alignment horizontal="left" vertical="top" wrapText="1"/>
      <protection locked="0"/>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5"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4" fillId="0" borderId="6" xfId="0" applyFont="1" applyBorder="1" applyAlignment="1">
      <alignment horizontal="right"/>
    </xf>
    <xf numFmtId="0" fontId="4" fillId="0" borderId="2" xfId="0" applyFont="1" applyBorder="1" applyAlignment="1">
      <alignment vertical="center"/>
    </xf>
    <xf numFmtId="0" fontId="0" fillId="0" borderId="3"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2" xfId="0" applyFon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8" xfId="0" applyBorder="1" applyAlignment="1">
      <alignment horizontal="left"/>
    </xf>
    <xf numFmtId="0" fontId="0" fillId="0" borderId="0" xfId="0" applyAlignment="1">
      <alignment horizontal="center"/>
    </xf>
    <xf numFmtId="0" fontId="5" fillId="0" borderId="0" xfId="0" applyFont="1" applyAlignment="1">
      <alignment horizontal="center"/>
    </xf>
    <xf numFmtId="0" fontId="5" fillId="0" borderId="6" xfId="0" applyFont="1" applyBorder="1" applyAlignment="1">
      <alignment horizontal="center"/>
    </xf>
    <xf numFmtId="0" fontId="0" fillId="0" borderId="4" xfId="0" applyBorder="1" applyAlignment="1">
      <alignment horizontal="left" vertical="top" wrapText="1"/>
    </xf>
    <xf numFmtId="0" fontId="0" fillId="0" borderId="6" xfId="0" applyBorder="1" applyAlignment="1">
      <alignment horizontal="left" vertical="top" wrapText="1"/>
    </xf>
    <xf numFmtId="0" fontId="0" fillId="0" borderId="9" xfId="0" applyBorder="1" applyAlignment="1">
      <alignment horizontal="left" vertical="top" wrapText="1"/>
    </xf>
    <xf numFmtId="0" fontId="1" fillId="0" borderId="0" xfId="0" applyFont="1" applyAlignment="1">
      <alignment horizontal="right"/>
    </xf>
    <xf numFmtId="0" fontId="0" fillId="0" borderId="6" xfId="0" applyBorder="1" applyAlignment="1">
      <alignment horizontal="right"/>
    </xf>
    <xf numFmtId="49" fontId="0" fillId="0" borderId="0" xfId="0" applyNumberFormat="1" applyAlignment="1">
      <alignment horizontal="center"/>
    </xf>
    <xf numFmtId="0" fontId="0" fillId="0" borderId="11" xfId="0" applyBorder="1"/>
    <xf numFmtId="0" fontId="0" fillId="0" borderId="12" xfId="0" applyBorder="1"/>
  </cellXfs>
  <cellStyles count="1">
    <cellStyle name="Normal" xfId="0" builtinId="0"/>
  </cellStyles>
  <dxfs count="56">
    <dxf>
      <fill>
        <patternFill>
          <bgColor theme="5" tint="0.79998168889431442"/>
        </patternFill>
      </fill>
    </dxf>
    <dxf>
      <fill>
        <patternFill>
          <bgColor theme="5"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b/>
        <i val="0"/>
      </font>
      <fill>
        <patternFill>
          <bgColor rgb="FF00B050"/>
        </patternFill>
      </fill>
    </dxf>
    <dxf>
      <font>
        <b/>
        <i val="0"/>
      </font>
      <fill>
        <patternFill>
          <bgColor rgb="FFFFFF00"/>
        </patternFill>
      </fill>
    </dxf>
    <dxf>
      <font>
        <b/>
        <i val="0"/>
      </font>
      <fill>
        <patternFill>
          <bgColor theme="5" tint="0.59996337778862885"/>
        </patternFill>
      </fill>
    </dxf>
    <dxf>
      <fill>
        <patternFill>
          <bgColor theme="6"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F7FC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REF!" lockText="1" noThreeD="1"/>
</file>

<file path=xl/ctrlProps/ctrlProp3.xml><?xml version="1.0" encoding="utf-8"?>
<formControlPr xmlns="http://schemas.microsoft.com/office/spreadsheetml/2009/9/main" objectType="CheckBox" fmlaLink="#REF!" lockText="1" noThreeD="1"/>
</file>

<file path=xl/ctrlProps/ctrlProp4.xml><?xml version="1.0" encoding="utf-8"?>
<formControlPr xmlns="http://schemas.microsoft.com/office/spreadsheetml/2009/9/main" objectType="CheckBox" fmlaLink="#REF!"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G$9" lockText="1" noThreeD="1"/>
</file>

<file path=xl/ctrlProps/ctrlProp78.xml><?xml version="1.0" encoding="utf-8"?>
<formControlPr xmlns="http://schemas.microsoft.com/office/spreadsheetml/2009/9/main" objectType="CheckBox" fmlaLink="$G$10" lockText="1" noThreeD="1"/>
</file>

<file path=xl/ctrlProps/ctrlProp79.xml><?xml version="1.0" encoding="utf-8"?>
<formControlPr xmlns="http://schemas.microsoft.com/office/spreadsheetml/2009/9/main" objectType="CheckBox" fmlaLink="$G$12" lockText="1" noThreeD="1"/>
</file>

<file path=xl/ctrlProps/ctrlProp80.xml><?xml version="1.0" encoding="utf-8"?>
<formControlPr xmlns="http://schemas.microsoft.com/office/spreadsheetml/2009/9/main" objectType="CheckBox" fmlaLink="$G$13" lockText="1" noThreeD="1"/>
</file>

<file path=xl/ctrlProps/ctrlProp81.xml><?xml version="1.0" encoding="utf-8"?>
<formControlPr xmlns="http://schemas.microsoft.com/office/spreadsheetml/2009/9/main" objectType="CheckBox" fmlaLink="$G$14" lockText="1" noThreeD="1"/>
</file>

<file path=xl/ctrlProps/ctrlProp82.xml><?xml version="1.0" encoding="utf-8"?>
<formControlPr xmlns="http://schemas.microsoft.com/office/spreadsheetml/2009/9/main" objectType="CheckBox" fmlaLink="$G$15" lockText="1" noThreeD="1"/>
</file>

<file path=xl/ctrlProps/ctrlProp83.xml><?xml version="1.0" encoding="utf-8"?>
<formControlPr xmlns="http://schemas.microsoft.com/office/spreadsheetml/2009/9/main" objectType="CheckBox" fmlaLink="$G$16" lockText="1" noThreeD="1"/>
</file>

<file path=xl/ctrlProps/ctrlProp84.xml><?xml version="1.0" encoding="utf-8"?>
<formControlPr xmlns="http://schemas.microsoft.com/office/spreadsheetml/2009/9/main" objectType="CheckBox" fmlaLink="$G$17" lockText="1" noThreeD="1"/>
</file>

<file path=xl/ctrlProps/ctrlProp85.xml><?xml version="1.0" encoding="utf-8"?>
<formControlPr xmlns="http://schemas.microsoft.com/office/spreadsheetml/2009/9/main" objectType="CheckBox" fmlaLink="$G$18" lockText="1" noThreeD="1"/>
</file>

<file path=xl/ctrlProps/ctrlProp86.xml><?xml version="1.0" encoding="utf-8"?>
<formControlPr xmlns="http://schemas.microsoft.com/office/spreadsheetml/2009/9/main" objectType="CheckBox" fmlaLink="$G$19" lockText="1" noThreeD="1"/>
</file>

<file path=xl/ctrlProps/ctrlProp87.xml><?xml version="1.0" encoding="utf-8"?>
<formControlPr xmlns="http://schemas.microsoft.com/office/spreadsheetml/2009/9/main" objectType="CheckBox" fmlaLink="$G$20" lockText="1" noThreeD="1"/>
</file>

<file path=xl/ctrlProps/ctrlProp88.xml><?xml version="1.0" encoding="utf-8"?>
<formControlPr xmlns="http://schemas.microsoft.com/office/spreadsheetml/2009/9/main" objectType="CheckBox" fmlaLink="$G$21" lockText="1" noThreeD="1"/>
</file>

<file path=xl/ctrlProps/ctrlProp89.xml><?xml version="1.0" encoding="utf-8"?>
<formControlPr xmlns="http://schemas.microsoft.com/office/spreadsheetml/2009/9/main" objectType="CheckBox" fmlaLink="$G$22" lockText="1" noThreeD="1"/>
</file>

<file path=xl/ctrlProps/ctrlProp90.xml><?xml version="1.0" encoding="utf-8"?>
<formControlPr xmlns="http://schemas.microsoft.com/office/spreadsheetml/2009/9/main" objectType="CheckBox" fmlaLink="$G$23" lockText="1" noThreeD="1"/>
</file>

<file path=xl/ctrlProps/ctrlProp91.xml><?xml version="1.0" encoding="utf-8"?>
<formControlPr xmlns="http://schemas.microsoft.com/office/spreadsheetml/2009/9/main" objectType="CheckBox" fmlaLink="$H$9" lockText="1" noThreeD="1"/>
</file>

<file path=xl/ctrlProps/ctrlProp92.xml><?xml version="1.0" encoding="utf-8"?>
<formControlPr xmlns="http://schemas.microsoft.com/office/spreadsheetml/2009/9/main" objectType="CheckBox" fmlaLink="$H$10" lockText="1" noThreeD="1"/>
</file>

<file path=xl/ctrlProps/ctrlProp93.xml><?xml version="1.0" encoding="utf-8"?>
<formControlPr xmlns="http://schemas.microsoft.com/office/spreadsheetml/2009/9/main" objectType="CheckBox" fmlaLink="$H$12" lockText="1" noThreeD="1"/>
</file>

<file path=xl/ctrlProps/ctrlProp94.xml><?xml version="1.0" encoding="utf-8"?>
<formControlPr xmlns="http://schemas.microsoft.com/office/spreadsheetml/2009/9/main" objectType="CheckBox" fmlaLink="$H$13" lockText="1" noThreeD="1"/>
</file>

<file path=xl/ctrlProps/ctrlProp95.xml><?xml version="1.0" encoding="utf-8"?>
<formControlPr xmlns="http://schemas.microsoft.com/office/spreadsheetml/2009/9/main" objectType="CheckBox" fmlaLink="$H$14" lockText="1" noThreeD="1"/>
</file>

<file path=xl/ctrlProps/ctrlProp96.xml><?xml version="1.0" encoding="utf-8"?>
<formControlPr xmlns="http://schemas.microsoft.com/office/spreadsheetml/2009/9/main" objectType="CheckBox" fmlaLink="$H$15" lockText="1" noThreeD="1"/>
</file>

<file path=xl/ctrlProps/ctrlProp97.xml><?xml version="1.0" encoding="utf-8"?>
<formControlPr xmlns="http://schemas.microsoft.com/office/spreadsheetml/2009/9/main" objectType="CheckBox" fmlaLink="$H$16" lockText="1" noThreeD="1"/>
</file>

<file path=xl/ctrlProps/ctrlProp98.xml><?xml version="1.0" encoding="utf-8"?>
<formControlPr xmlns="http://schemas.microsoft.com/office/spreadsheetml/2009/9/main" objectType="CheckBox" fmlaLink="$H$17" lockText="1" noThreeD="1"/>
</file>

<file path=xl/ctrlProps/ctrlProp99.xml><?xml version="1.0" encoding="utf-8"?>
<formControlPr xmlns="http://schemas.microsoft.com/office/spreadsheetml/2009/9/main" objectType="CheckBox" fmlaLink="$H$18" lockText="1" noThreeD="1"/>
</file>

<file path=xl/ctrlProps/ctrlProp100.xml><?xml version="1.0" encoding="utf-8"?>
<formControlPr xmlns="http://schemas.microsoft.com/office/spreadsheetml/2009/9/main" objectType="CheckBox" fmlaLink="$H$19" lockText="1" noThreeD="1"/>
</file>

<file path=xl/ctrlProps/ctrlProp101.xml><?xml version="1.0" encoding="utf-8"?>
<formControlPr xmlns="http://schemas.microsoft.com/office/spreadsheetml/2009/9/main" objectType="CheckBox" fmlaLink="$H$20" lockText="1" noThreeD="1"/>
</file>

<file path=xl/ctrlProps/ctrlProp102.xml><?xml version="1.0" encoding="utf-8"?>
<formControlPr xmlns="http://schemas.microsoft.com/office/spreadsheetml/2009/9/main" objectType="CheckBox" fmlaLink="$H$21" lockText="1" noThreeD="1"/>
</file>

<file path=xl/ctrlProps/ctrlProp103.xml><?xml version="1.0" encoding="utf-8"?>
<formControlPr xmlns="http://schemas.microsoft.com/office/spreadsheetml/2009/9/main" objectType="CheckBox" fmlaLink="$H$22" lockText="1" noThreeD="1"/>
</file>

<file path=xl/ctrlProps/ctrlProp104.xml><?xml version="1.0" encoding="utf-8"?>
<formControlPr xmlns="http://schemas.microsoft.com/office/spreadsheetml/2009/9/main" objectType="CheckBox" fmlaLink="$H$23" lockText="1" noThreeD="1"/>
</file>

<file path=xl/ctrlProps/ctrlProp105.xml><?xml version="1.0" encoding="utf-8"?>
<formControlPr xmlns="http://schemas.microsoft.com/office/spreadsheetml/2009/9/main" objectType="CheckBox" fmlaLink="$F$28" lockText="1" noThreeD="1"/>
</file>

<file path=xl/ctrlProps/ctrlProp106.xml><?xml version="1.0" encoding="utf-8"?>
<formControlPr xmlns="http://schemas.microsoft.com/office/spreadsheetml/2009/9/main" objectType="CheckBox" fmlaLink="$G$52" lockText="1" noThreeD="1"/>
</file>

<file path=xl/ctrlProps/ctrlProp107.xml><?xml version="1.0" encoding="utf-8"?>
<formControlPr xmlns="http://schemas.microsoft.com/office/spreadsheetml/2009/9/main" objectType="CheckBox" fmlaLink="$H$52" lockText="1" noThreeD="1"/>
</file>

<file path=xl/ctrlProps/ctrlProp108.xml><?xml version="1.0" encoding="utf-8"?>
<formControlPr xmlns="http://schemas.microsoft.com/office/spreadsheetml/2009/9/main" objectType="CheckBox" fmlaLink="$G$60" lockText="1" noThreeD="1"/>
</file>

<file path=xl/ctrlProps/ctrlProp109.xml><?xml version="1.0" encoding="utf-8"?>
<formControlPr xmlns="http://schemas.microsoft.com/office/spreadsheetml/2009/9/main" objectType="CheckBox" fmlaLink="$G$61" lockText="1" noThreeD="1"/>
</file>

<file path=xl/ctrlProps/ctrlProp110.xml><?xml version="1.0" encoding="utf-8"?>
<formControlPr xmlns="http://schemas.microsoft.com/office/spreadsheetml/2009/9/main" objectType="CheckBox" fmlaLink="$H$60" lockText="1" noThreeD="1"/>
</file>

<file path=xl/ctrlProps/ctrlProp111.xml><?xml version="1.0" encoding="utf-8"?>
<formControlPr xmlns="http://schemas.microsoft.com/office/spreadsheetml/2009/9/main" objectType="CheckBox" fmlaLink="$H$61" lockText="1" noThreeD="1"/>
</file>

<file path=xl/ctrlProps/ctrlProp112.xml><?xml version="1.0" encoding="utf-8"?>
<formControlPr xmlns="http://schemas.microsoft.com/office/spreadsheetml/2009/9/main" objectType="CheckBox" fmlaLink="$G$80" lockText="1" noThreeD="1"/>
</file>

<file path=xl/ctrlProps/ctrlProp113.xml><?xml version="1.0" encoding="utf-8"?>
<formControlPr xmlns="http://schemas.microsoft.com/office/spreadsheetml/2009/9/main" objectType="CheckBox" fmlaLink="$H$80" lockText="1" noThreeD="1"/>
</file>

<file path=xl/ctrlProps/ctrlProp114.xml><?xml version="1.0" encoding="utf-8"?>
<formControlPr xmlns="http://schemas.microsoft.com/office/spreadsheetml/2009/9/main" objectType="CheckBox" fmlaLink="$F$84" lockText="1" noThreeD="1"/>
</file>

<file path=xl/ctrlProps/ctrlProp115.xml><?xml version="1.0" encoding="utf-8"?>
<formControlPr xmlns="http://schemas.microsoft.com/office/spreadsheetml/2009/9/main" objectType="CheckBox" fmlaLink="$F$67" lockText="1" noThreeD="1"/>
</file>

<file path=xl/ctrlProps/ctrlProp116.xml><?xml version="1.0" encoding="utf-8"?>
<formControlPr xmlns="http://schemas.microsoft.com/office/spreadsheetml/2009/9/main" objectType="CheckBox" fmlaLink="$F$11" lockText="1" noThreeD="1"/>
</file>

<file path=xl/ctrlProps/ctrlProp117.xml><?xml version="1.0" encoding="utf-8"?>
<formControlPr xmlns="http://schemas.microsoft.com/office/spreadsheetml/2009/9/main" objectType="CheckBox" fmlaLink="$G$11" lockText="1" noThreeD="1"/>
</file>

<file path=xl/ctrlProps/ctrlProp118.xml><?xml version="1.0" encoding="utf-8"?>
<formControlPr xmlns="http://schemas.microsoft.com/office/spreadsheetml/2009/9/main" objectType="CheckBox" fmlaLink="$H$11" lockText="1" noThreeD="1"/>
</file>

<file path=xl/ctrlProps/ctrlProp119.xml><?xml version="1.0" encoding="utf-8"?>
<formControlPr xmlns="http://schemas.microsoft.com/office/spreadsheetml/2009/9/main" objectType="CheckBox" fmlaLink="$G$10" lockText="1" noThreeD="1"/>
</file>

<file path=xl/ctrlProps/ctrlProp120.xml><?xml version="1.0" encoding="utf-8"?>
<formControlPr xmlns="http://schemas.microsoft.com/office/spreadsheetml/2009/9/main" objectType="CheckBox" fmlaLink="$H$10" lockText="1" noThreeD="1"/>
</file>

<file path=xl/ctrlProps/ctrlProp121.xml><?xml version="1.0" encoding="utf-8"?>
<formControlPr xmlns="http://schemas.microsoft.com/office/spreadsheetml/2009/9/main" objectType="CheckBox" fmlaLink="$G$11" lockText="1" noThreeD="1"/>
</file>

<file path=xl/ctrlProps/ctrlProp122.xml><?xml version="1.0" encoding="utf-8"?>
<formControlPr xmlns="http://schemas.microsoft.com/office/spreadsheetml/2009/9/main" objectType="CheckBox" fmlaLink="$H$11" lockText="1" noThreeD="1"/>
</file>

<file path=xl/ctrlProps/ctrlProp123.xml><?xml version="1.0" encoding="utf-8"?>
<formControlPr xmlns="http://schemas.microsoft.com/office/spreadsheetml/2009/9/main" objectType="CheckBox" fmlaLink="$G$13" lockText="1" noThreeD="1"/>
</file>

<file path=xl/ctrlProps/ctrlProp124.xml><?xml version="1.0" encoding="utf-8"?>
<formControlPr xmlns="http://schemas.microsoft.com/office/spreadsheetml/2009/9/main" objectType="CheckBox" fmlaLink="$H$13" lockText="1" noThreeD="1"/>
</file>

<file path=xl/ctrlProps/ctrlProp125.xml><?xml version="1.0" encoding="utf-8"?>
<formControlPr xmlns="http://schemas.microsoft.com/office/spreadsheetml/2009/9/main" objectType="CheckBox" fmlaLink="$F$14" lockText="1" noThreeD="1"/>
</file>

<file path=xl/ctrlProps/ctrlProp126.xml><?xml version="1.0" encoding="utf-8"?>
<formControlPr xmlns="http://schemas.microsoft.com/office/spreadsheetml/2009/9/main" objectType="CheckBox" fmlaLink="$G$14" lockText="1" noThreeD="1"/>
</file>

<file path=xl/ctrlProps/ctrlProp127.xml><?xml version="1.0" encoding="utf-8"?>
<formControlPr xmlns="http://schemas.microsoft.com/office/spreadsheetml/2009/9/main" objectType="CheckBox" fmlaLink="$H$14" lockText="1" noThreeD="1"/>
</file>

<file path=xl/ctrlProps/ctrlProp128.xml><?xml version="1.0" encoding="utf-8"?>
<formControlPr xmlns="http://schemas.microsoft.com/office/spreadsheetml/2009/9/main" objectType="CheckBox" fmlaLink="$F$27" lockText="1" noThreeD="1"/>
</file>

<file path=xl/ctrlProps/ctrlProp129.xml><?xml version="1.0" encoding="utf-8"?>
<formControlPr xmlns="http://schemas.microsoft.com/office/spreadsheetml/2009/9/main" objectType="CheckBox" fmlaLink="$G$27" lockText="1" noThreeD="1"/>
</file>

<file path=xl/ctrlProps/ctrlProp130.xml><?xml version="1.0" encoding="utf-8"?>
<formControlPr xmlns="http://schemas.microsoft.com/office/spreadsheetml/2009/9/main" objectType="CheckBox" fmlaLink="$H$27" lockText="1" noThreeD="1"/>
</file>

<file path=xl/ctrlProps/ctrlProp131.xml><?xml version="1.0" encoding="utf-8"?>
<formControlPr xmlns="http://schemas.microsoft.com/office/spreadsheetml/2009/9/main" objectType="CheckBox" fmlaLink="$F$28" lockText="1" noThreeD="1"/>
</file>

<file path=xl/ctrlProps/ctrlProp132.xml><?xml version="1.0" encoding="utf-8"?>
<formControlPr xmlns="http://schemas.microsoft.com/office/spreadsheetml/2009/9/main" objectType="CheckBox" fmlaLink="$G$28" lockText="1" noThreeD="1"/>
</file>

<file path=xl/ctrlProps/ctrlProp133.xml><?xml version="1.0" encoding="utf-8"?>
<formControlPr xmlns="http://schemas.microsoft.com/office/spreadsheetml/2009/9/main" objectType="CheckBox" fmlaLink="$H$28" lockText="1" noThreeD="1"/>
</file>

<file path=xl/ctrlProps/ctrlProp134.xml><?xml version="1.0" encoding="utf-8"?>
<formControlPr xmlns="http://schemas.microsoft.com/office/spreadsheetml/2009/9/main" objectType="CheckBox" fmlaLink="$F$29" lockText="1" noThreeD="1"/>
</file>

<file path=xl/ctrlProps/ctrlProp135.xml><?xml version="1.0" encoding="utf-8"?>
<formControlPr xmlns="http://schemas.microsoft.com/office/spreadsheetml/2009/9/main" objectType="CheckBox" fmlaLink="$G$29" lockText="1" noThreeD="1"/>
</file>

<file path=xl/ctrlProps/ctrlProp136.xml><?xml version="1.0" encoding="utf-8"?>
<formControlPr xmlns="http://schemas.microsoft.com/office/spreadsheetml/2009/9/main" objectType="CheckBox" fmlaLink="$H$29" lockText="1" noThreeD="1"/>
</file>

<file path=xl/ctrlProps/ctrlProp137.xml><?xml version="1.0" encoding="utf-8"?>
<formControlPr xmlns="http://schemas.microsoft.com/office/spreadsheetml/2009/9/main" objectType="CheckBox" fmlaLink="$F$30" lockText="1" noThreeD="1"/>
</file>

<file path=xl/ctrlProps/ctrlProp138.xml><?xml version="1.0" encoding="utf-8"?>
<formControlPr xmlns="http://schemas.microsoft.com/office/spreadsheetml/2009/9/main" objectType="CheckBox" fmlaLink="$G$30" lockText="1" noThreeD="1"/>
</file>

<file path=xl/ctrlProps/ctrlProp139.xml><?xml version="1.0" encoding="utf-8"?>
<formControlPr xmlns="http://schemas.microsoft.com/office/spreadsheetml/2009/9/main" objectType="CheckBox" fmlaLink="$H$30" lockText="1" noThreeD="1"/>
</file>

<file path=xl/ctrlProps/ctrlProp140.xml><?xml version="1.0" encoding="utf-8"?>
<formControlPr xmlns="http://schemas.microsoft.com/office/spreadsheetml/2009/9/main" objectType="CheckBox" fmlaLink="$F$31" lockText="1" noThreeD="1"/>
</file>

<file path=xl/ctrlProps/ctrlProp141.xml><?xml version="1.0" encoding="utf-8"?>
<formControlPr xmlns="http://schemas.microsoft.com/office/spreadsheetml/2009/9/main" objectType="CheckBox" fmlaLink="$F$32" lockText="1" noThreeD="1"/>
</file>

<file path=xl/ctrlProps/ctrlProp142.xml><?xml version="1.0" encoding="utf-8"?>
<formControlPr xmlns="http://schemas.microsoft.com/office/spreadsheetml/2009/9/main" objectType="CheckBox" fmlaLink="$F$33" lockText="1" noThreeD="1"/>
</file>

<file path=xl/ctrlProps/ctrlProp143.xml><?xml version="1.0" encoding="utf-8"?>
<formControlPr xmlns="http://schemas.microsoft.com/office/spreadsheetml/2009/9/main" objectType="CheckBox" fmlaLink="$F$34" lockText="1" noThreeD="1"/>
</file>

<file path=xl/ctrlProps/ctrlProp144.xml><?xml version="1.0" encoding="utf-8"?>
<formControlPr xmlns="http://schemas.microsoft.com/office/spreadsheetml/2009/9/main" objectType="CheckBox" fmlaLink="$F$35" lockText="1" noThreeD="1"/>
</file>

<file path=xl/ctrlProps/ctrlProp145.xml><?xml version="1.0" encoding="utf-8"?>
<formControlPr xmlns="http://schemas.microsoft.com/office/spreadsheetml/2009/9/main" objectType="CheckBox" fmlaLink="$F$36" lockText="1" noThreeD="1"/>
</file>

<file path=xl/ctrlProps/ctrlProp146.xml><?xml version="1.0" encoding="utf-8"?>
<formControlPr xmlns="http://schemas.microsoft.com/office/spreadsheetml/2009/9/main" objectType="CheckBox" fmlaLink="$F$37" lockText="1" noThreeD="1"/>
</file>

<file path=xl/ctrlProps/ctrlProp147.xml><?xml version="1.0" encoding="utf-8"?>
<formControlPr xmlns="http://schemas.microsoft.com/office/spreadsheetml/2009/9/main" objectType="CheckBox" fmlaLink="$F$38" lockText="1" noThreeD="1"/>
</file>

<file path=xl/ctrlProps/ctrlProp148.xml><?xml version="1.0" encoding="utf-8"?>
<formControlPr xmlns="http://schemas.microsoft.com/office/spreadsheetml/2009/9/main" objectType="CheckBox" fmlaLink="$F$39" lockText="1" noThreeD="1"/>
</file>

<file path=xl/ctrlProps/ctrlProp149.xml><?xml version="1.0" encoding="utf-8"?>
<formControlPr xmlns="http://schemas.microsoft.com/office/spreadsheetml/2009/9/main" objectType="CheckBox" fmlaLink="$F$40" lockText="1" noThreeD="1"/>
</file>

<file path=xl/ctrlProps/ctrlProp150.xml><?xml version="1.0" encoding="utf-8"?>
<formControlPr xmlns="http://schemas.microsoft.com/office/spreadsheetml/2009/9/main" objectType="CheckBox" fmlaLink="$F$41" lockText="1" noThreeD="1"/>
</file>

<file path=xl/ctrlProps/ctrlProp151.xml><?xml version="1.0" encoding="utf-8"?>
<formControlPr xmlns="http://schemas.microsoft.com/office/spreadsheetml/2009/9/main" objectType="CheckBox" fmlaLink="$F$42" lockText="1" noThreeD="1"/>
</file>

<file path=xl/ctrlProps/ctrlProp152.xml><?xml version="1.0" encoding="utf-8"?>
<formControlPr xmlns="http://schemas.microsoft.com/office/spreadsheetml/2009/9/main" objectType="CheckBox" fmlaLink="$F$43" lockText="1" noThreeD="1"/>
</file>

<file path=xl/ctrlProps/ctrlProp153.xml><?xml version="1.0" encoding="utf-8"?>
<formControlPr xmlns="http://schemas.microsoft.com/office/spreadsheetml/2009/9/main" objectType="CheckBox" fmlaLink="$F$44" lockText="1" noThreeD="1"/>
</file>

<file path=xl/ctrlProps/ctrlProp154.xml><?xml version="1.0" encoding="utf-8"?>
<formControlPr xmlns="http://schemas.microsoft.com/office/spreadsheetml/2009/9/main" objectType="CheckBox" fmlaLink="$F$45" lockText="1" noThreeD="1"/>
</file>

<file path=xl/ctrlProps/ctrlProp155.xml><?xml version="1.0" encoding="utf-8"?>
<formControlPr xmlns="http://schemas.microsoft.com/office/spreadsheetml/2009/9/main" objectType="CheckBox" fmlaLink="$G$31" lockText="1" noThreeD="1"/>
</file>

<file path=xl/ctrlProps/ctrlProp156.xml><?xml version="1.0" encoding="utf-8"?>
<formControlPr xmlns="http://schemas.microsoft.com/office/spreadsheetml/2009/9/main" objectType="CheckBox" fmlaLink="$G$32" lockText="1" noThreeD="1"/>
</file>

<file path=xl/ctrlProps/ctrlProp157.xml><?xml version="1.0" encoding="utf-8"?>
<formControlPr xmlns="http://schemas.microsoft.com/office/spreadsheetml/2009/9/main" objectType="CheckBox" fmlaLink="$G$33" lockText="1" noThreeD="1"/>
</file>

<file path=xl/ctrlProps/ctrlProp158.xml><?xml version="1.0" encoding="utf-8"?>
<formControlPr xmlns="http://schemas.microsoft.com/office/spreadsheetml/2009/9/main" objectType="CheckBox" fmlaLink="$G$34" lockText="1" noThreeD="1"/>
</file>

<file path=xl/ctrlProps/ctrlProp159.xml><?xml version="1.0" encoding="utf-8"?>
<formControlPr xmlns="http://schemas.microsoft.com/office/spreadsheetml/2009/9/main" objectType="CheckBox" fmlaLink="$G$35" lockText="1" noThreeD="1"/>
</file>

<file path=xl/ctrlProps/ctrlProp160.xml><?xml version="1.0" encoding="utf-8"?>
<formControlPr xmlns="http://schemas.microsoft.com/office/spreadsheetml/2009/9/main" objectType="CheckBox" fmlaLink="$G$36" lockText="1" noThreeD="1"/>
</file>

<file path=xl/ctrlProps/ctrlProp161.xml><?xml version="1.0" encoding="utf-8"?>
<formControlPr xmlns="http://schemas.microsoft.com/office/spreadsheetml/2009/9/main" objectType="CheckBox" fmlaLink="$G$37" lockText="1" noThreeD="1"/>
</file>

<file path=xl/ctrlProps/ctrlProp162.xml><?xml version="1.0" encoding="utf-8"?>
<formControlPr xmlns="http://schemas.microsoft.com/office/spreadsheetml/2009/9/main" objectType="CheckBox" fmlaLink="$G$38" lockText="1" noThreeD="1"/>
</file>

<file path=xl/ctrlProps/ctrlProp163.xml><?xml version="1.0" encoding="utf-8"?>
<formControlPr xmlns="http://schemas.microsoft.com/office/spreadsheetml/2009/9/main" objectType="CheckBox" fmlaLink="$G$39" lockText="1" noThreeD="1"/>
</file>

<file path=xl/ctrlProps/ctrlProp164.xml><?xml version="1.0" encoding="utf-8"?>
<formControlPr xmlns="http://schemas.microsoft.com/office/spreadsheetml/2009/9/main" objectType="CheckBox" fmlaLink="$G$40" lockText="1" noThreeD="1"/>
</file>

<file path=xl/ctrlProps/ctrlProp165.xml><?xml version="1.0" encoding="utf-8"?>
<formControlPr xmlns="http://schemas.microsoft.com/office/spreadsheetml/2009/9/main" objectType="CheckBox" fmlaLink="$G$41" lockText="1" noThreeD="1"/>
</file>

<file path=xl/ctrlProps/ctrlProp166.xml><?xml version="1.0" encoding="utf-8"?>
<formControlPr xmlns="http://schemas.microsoft.com/office/spreadsheetml/2009/9/main" objectType="CheckBox" fmlaLink="$G$42" lockText="1" noThreeD="1"/>
</file>

<file path=xl/ctrlProps/ctrlProp167.xml><?xml version="1.0" encoding="utf-8"?>
<formControlPr xmlns="http://schemas.microsoft.com/office/spreadsheetml/2009/9/main" objectType="CheckBox" fmlaLink="$G$43" lockText="1" noThreeD="1"/>
</file>

<file path=xl/ctrlProps/ctrlProp168.xml><?xml version="1.0" encoding="utf-8"?>
<formControlPr xmlns="http://schemas.microsoft.com/office/spreadsheetml/2009/9/main" objectType="CheckBox" fmlaLink="$G$44" lockText="1" noThreeD="1"/>
</file>

<file path=xl/ctrlProps/ctrlProp169.xml><?xml version="1.0" encoding="utf-8"?>
<formControlPr xmlns="http://schemas.microsoft.com/office/spreadsheetml/2009/9/main" objectType="CheckBox" fmlaLink="$G$45" lockText="1" noThreeD="1"/>
</file>

<file path=xl/ctrlProps/ctrlProp170.xml><?xml version="1.0" encoding="utf-8"?>
<formControlPr xmlns="http://schemas.microsoft.com/office/spreadsheetml/2009/9/main" objectType="CheckBox" fmlaLink="$H$31" lockText="1" noThreeD="1"/>
</file>

<file path=xl/ctrlProps/ctrlProp171.xml><?xml version="1.0" encoding="utf-8"?>
<formControlPr xmlns="http://schemas.microsoft.com/office/spreadsheetml/2009/9/main" objectType="CheckBox" fmlaLink="$H$32" lockText="1" noThreeD="1"/>
</file>

<file path=xl/ctrlProps/ctrlProp172.xml><?xml version="1.0" encoding="utf-8"?>
<formControlPr xmlns="http://schemas.microsoft.com/office/spreadsheetml/2009/9/main" objectType="CheckBox" fmlaLink="$H$33" lockText="1" noThreeD="1"/>
</file>

<file path=xl/ctrlProps/ctrlProp173.xml><?xml version="1.0" encoding="utf-8"?>
<formControlPr xmlns="http://schemas.microsoft.com/office/spreadsheetml/2009/9/main" objectType="CheckBox" fmlaLink="$H$34" lockText="1" noThreeD="1"/>
</file>

<file path=xl/ctrlProps/ctrlProp174.xml><?xml version="1.0" encoding="utf-8"?>
<formControlPr xmlns="http://schemas.microsoft.com/office/spreadsheetml/2009/9/main" objectType="CheckBox" fmlaLink="$H$35" lockText="1" noThreeD="1"/>
</file>

<file path=xl/ctrlProps/ctrlProp175.xml><?xml version="1.0" encoding="utf-8"?>
<formControlPr xmlns="http://schemas.microsoft.com/office/spreadsheetml/2009/9/main" objectType="CheckBox" fmlaLink="$H$36" lockText="1" noThreeD="1"/>
</file>

<file path=xl/ctrlProps/ctrlProp176.xml><?xml version="1.0" encoding="utf-8"?>
<formControlPr xmlns="http://schemas.microsoft.com/office/spreadsheetml/2009/9/main" objectType="CheckBox" fmlaLink="$H$37" lockText="1" noThreeD="1"/>
</file>

<file path=xl/ctrlProps/ctrlProp177.xml><?xml version="1.0" encoding="utf-8"?>
<formControlPr xmlns="http://schemas.microsoft.com/office/spreadsheetml/2009/9/main" objectType="CheckBox" fmlaLink="$H$38" lockText="1" noThreeD="1"/>
</file>

<file path=xl/ctrlProps/ctrlProp178.xml><?xml version="1.0" encoding="utf-8"?>
<formControlPr xmlns="http://schemas.microsoft.com/office/spreadsheetml/2009/9/main" objectType="CheckBox" fmlaLink="$H$39" lockText="1" noThreeD="1"/>
</file>

<file path=xl/ctrlProps/ctrlProp179.xml><?xml version="1.0" encoding="utf-8"?>
<formControlPr xmlns="http://schemas.microsoft.com/office/spreadsheetml/2009/9/main" objectType="CheckBox" fmlaLink="$H$40" lockText="1" noThreeD="1"/>
</file>

<file path=xl/ctrlProps/ctrlProp180.xml><?xml version="1.0" encoding="utf-8"?>
<formControlPr xmlns="http://schemas.microsoft.com/office/spreadsheetml/2009/9/main" objectType="CheckBox" fmlaLink="$H$41" lockText="1" noThreeD="1"/>
</file>

<file path=xl/ctrlProps/ctrlProp181.xml><?xml version="1.0" encoding="utf-8"?>
<formControlPr xmlns="http://schemas.microsoft.com/office/spreadsheetml/2009/9/main" objectType="CheckBox" fmlaLink="$H$42" lockText="1" noThreeD="1"/>
</file>

<file path=xl/ctrlProps/ctrlProp182.xml><?xml version="1.0" encoding="utf-8"?>
<formControlPr xmlns="http://schemas.microsoft.com/office/spreadsheetml/2009/9/main" objectType="CheckBox" fmlaLink="$H$43" lockText="1" noThreeD="1"/>
</file>

<file path=xl/ctrlProps/ctrlProp183.xml><?xml version="1.0" encoding="utf-8"?>
<formControlPr xmlns="http://schemas.microsoft.com/office/spreadsheetml/2009/9/main" objectType="CheckBox" fmlaLink="$H$44" lockText="1" noThreeD="1"/>
</file>

<file path=xl/ctrlProps/ctrlProp184.xml><?xml version="1.0" encoding="utf-8"?>
<formControlPr xmlns="http://schemas.microsoft.com/office/spreadsheetml/2009/9/main" objectType="CheckBox" fmlaLink="$H$45" lockText="1" noThreeD="1"/>
</file>

<file path=xl/ctrlProps/ctrlProp185.xml><?xml version="1.0" encoding="utf-8"?>
<formControlPr xmlns="http://schemas.microsoft.com/office/spreadsheetml/2009/9/main" objectType="CheckBox" fmlaLink="$F$64" lockText="1" noThreeD="1"/>
</file>

<file path=xl/ctrlProps/ctrlProp186.xml><?xml version="1.0" encoding="utf-8"?>
<formControlPr xmlns="http://schemas.microsoft.com/office/spreadsheetml/2009/9/main" objectType="CheckBox" fmlaLink="$F$65" lockText="1" noThreeD="1"/>
</file>

<file path=xl/ctrlProps/ctrlProp187.xml><?xml version="1.0" encoding="utf-8"?>
<formControlPr xmlns="http://schemas.microsoft.com/office/spreadsheetml/2009/9/main" objectType="CheckBox" fmlaLink="$F$67" lockText="1" noThreeD="1"/>
</file>

<file path=xl/ctrlProps/ctrlProp188.xml><?xml version="1.0" encoding="utf-8"?>
<formControlPr xmlns="http://schemas.microsoft.com/office/spreadsheetml/2009/9/main" objectType="CheckBox" fmlaLink="$G$62" lockText="1" noThreeD="1"/>
</file>

<file path=xl/ctrlProps/ctrlProp189.xml><?xml version="1.0" encoding="utf-8"?>
<formControlPr xmlns="http://schemas.microsoft.com/office/spreadsheetml/2009/9/main" objectType="CheckBox" fmlaLink="$G$63" lockText="1" noThreeD="1"/>
</file>

<file path=xl/ctrlProps/ctrlProp190.xml><?xml version="1.0" encoding="utf-8"?>
<formControlPr xmlns="http://schemas.microsoft.com/office/spreadsheetml/2009/9/main" objectType="CheckBox" fmlaLink="$G$64" lockText="1" noThreeD="1"/>
</file>

<file path=xl/ctrlProps/ctrlProp191.xml><?xml version="1.0" encoding="utf-8"?>
<formControlPr xmlns="http://schemas.microsoft.com/office/spreadsheetml/2009/9/main" objectType="CheckBox" fmlaLink="$G$65" lockText="1" noThreeD="1"/>
</file>

<file path=xl/ctrlProps/ctrlProp192.xml><?xml version="1.0" encoding="utf-8"?>
<formControlPr xmlns="http://schemas.microsoft.com/office/spreadsheetml/2009/9/main" objectType="CheckBox" fmlaLink="$G$67" lockText="1" noThreeD="1"/>
</file>

<file path=xl/ctrlProps/ctrlProp193.xml><?xml version="1.0" encoding="utf-8"?>
<formControlPr xmlns="http://schemas.microsoft.com/office/spreadsheetml/2009/9/main" objectType="CheckBox" fmlaLink="$H$62" lockText="1" noThreeD="1"/>
</file>

<file path=xl/ctrlProps/ctrlProp194.xml><?xml version="1.0" encoding="utf-8"?>
<formControlPr xmlns="http://schemas.microsoft.com/office/spreadsheetml/2009/9/main" objectType="CheckBox" fmlaLink="$H$63" lockText="1" noThreeD="1"/>
</file>

<file path=xl/ctrlProps/ctrlProp195.xml><?xml version="1.0" encoding="utf-8"?>
<formControlPr xmlns="http://schemas.microsoft.com/office/spreadsheetml/2009/9/main" objectType="CheckBox" fmlaLink="$H$64" lockText="1" noThreeD="1"/>
</file>

<file path=xl/ctrlProps/ctrlProp196.xml><?xml version="1.0" encoding="utf-8"?>
<formControlPr xmlns="http://schemas.microsoft.com/office/spreadsheetml/2009/9/main" objectType="CheckBox" fmlaLink="$H$65" lockText="1" noThreeD="1"/>
</file>

<file path=xl/ctrlProps/ctrlProp197.xml><?xml version="1.0" encoding="utf-8"?>
<formControlPr xmlns="http://schemas.microsoft.com/office/spreadsheetml/2009/9/main" objectType="CheckBox" fmlaLink="$H$67" lockText="1" noThreeD="1"/>
</file>

<file path=xl/ctrlProps/ctrlProp198.xml><?xml version="1.0" encoding="utf-8"?>
<formControlPr xmlns="http://schemas.microsoft.com/office/spreadsheetml/2009/9/main" objectType="CheckBox" fmlaLink="$G$80" lockText="1" noThreeD="1"/>
</file>

<file path=xl/ctrlProps/ctrlProp199.xml><?xml version="1.0" encoding="utf-8"?>
<formControlPr xmlns="http://schemas.microsoft.com/office/spreadsheetml/2009/9/main" objectType="CheckBox" fmlaLink="$G$81" lockText="1" noThreeD="1"/>
</file>

<file path=xl/ctrlProps/ctrlProp200.xml><?xml version="1.0" encoding="utf-8"?>
<formControlPr xmlns="http://schemas.microsoft.com/office/spreadsheetml/2009/9/main" objectType="CheckBox" fmlaLink="$G$82" lockText="1" noThreeD="1"/>
</file>

<file path=xl/ctrlProps/ctrlProp201.xml><?xml version="1.0" encoding="utf-8"?>
<formControlPr xmlns="http://schemas.microsoft.com/office/spreadsheetml/2009/9/main" objectType="CheckBox" fmlaLink="$G$83" lockText="1" noThreeD="1"/>
</file>

<file path=xl/ctrlProps/ctrlProp202.xml><?xml version="1.0" encoding="utf-8"?>
<formControlPr xmlns="http://schemas.microsoft.com/office/spreadsheetml/2009/9/main" objectType="CheckBox" fmlaLink="$H$80" lockText="1" noThreeD="1"/>
</file>

<file path=xl/ctrlProps/ctrlProp203.xml><?xml version="1.0" encoding="utf-8"?>
<formControlPr xmlns="http://schemas.microsoft.com/office/spreadsheetml/2009/9/main" objectType="CheckBox" fmlaLink="$H$81" lockText="1" noThreeD="1"/>
</file>

<file path=xl/ctrlProps/ctrlProp204.xml><?xml version="1.0" encoding="utf-8"?>
<formControlPr xmlns="http://schemas.microsoft.com/office/spreadsheetml/2009/9/main" objectType="CheckBox" fmlaLink="$H$82" lockText="1" noThreeD="1"/>
</file>

<file path=xl/ctrlProps/ctrlProp205.xml><?xml version="1.0" encoding="utf-8"?>
<formControlPr xmlns="http://schemas.microsoft.com/office/spreadsheetml/2009/9/main" objectType="CheckBox" fmlaLink="$H$83" lockText="1" noThreeD="1"/>
</file>

<file path=xl/ctrlProps/ctrlProp206.xml><?xml version="1.0" encoding="utf-8"?>
<formControlPr xmlns="http://schemas.microsoft.com/office/spreadsheetml/2009/9/main" objectType="CheckBox" fmlaLink="$F$12" lockText="1" noThreeD="1"/>
</file>

<file path=xl/ctrlProps/ctrlProp207.xml><?xml version="1.0" encoding="utf-8"?>
<formControlPr xmlns="http://schemas.microsoft.com/office/spreadsheetml/2009/9/main" objectType="CheckBox" fmlaLink="$G$12" lockText="1" noThreeD="1"/>
</file>

<file path=xl/ctrlProps/ctrlProp208.xml><?xml version="1.0" encoding="utf-8"?>
<formControlPr xmlns="http://schemas.microsoft.com/office/spreadsheetml/2009/9/main" objectType="CheckBox" fmlaLink="$H$12" lockText="1" noThreeD="1"/>
</file>

<file path=xl/ctrlProps/ctrlProp209.xml><?xml version="1.0" encoding="utf-8"?>
<formControlPr xmlns="http://schemas.microsoft.com/office/spreadsheetml/2009/9/main" objectType="CheckBox" fmlaLink="$F$15" lockText="1" noThreeD="1"/>
</file>

<file path=xl/ctrlProps/ctrlProp210.xml><?xml version="1.0" encoding="utf-8"?>
<formControlPr xmlns="http://schemas.microsoft.com/office/spreadsheetml/2009/9/main" objectType="CheckBox" fmlaLink="$G$15" lockText="1" noThreeD="1"/>
</file>

<file path=xl/ctrlProps/ctrlProp211.xml><?xml version="1.0" encoding="utf-8"?>
<formControlPr xmlns="http://schemas.microsoft.com/office/spreadsheetml/2009/9/main" objectType="CheckBox" fmlaLink="$H$15" lockText="1" noThreeD="1"/>
</file>

<file path=xl/ctrlProps/ctrlProp212.xml><?xml version="1.0" encoding="utf-8"?>
<formControlPr xmlns="http://schemas.microsoft.com/office/spreadsheetml/2009/9/main" objectType="CheckBox" fmlaLink="$G$10" lockText="1" noThreeD="1"/>
</file>

<file path=xl/ctrlProps/ctrlProp213.xml><?xml version="1.0" encoding="utf-8"?>
<formControlPr xmlns="http://schemas.microsoft.com/office/spreadsheetml/2009/9/main" objectType="CheckBox" fmlaLink="$H$10" lockText="1" noThreeD="1"/>
</file>

<file path=xl/ctrlProps/ctrlProp214.xml><?xml version="1.0" encoding="utf-8"?>
<formControlPr xmlns="http://schemas.microsoft.com/office/spreadsheetml/2009/9/main" objectType="CheckBox" fmlaLink="$G$11" lockText="1" noThreeD="1"/>
</file>

<file path=xl/ctrlProps/ctrlProp215.xml><?xml version="1.0" encoding="utf-8"?>
<formControlPr xmlns="http://schemas.microsoft.com/office/spreadsheetml/2009/9/main" objectType="CheckBox" fmlaLink="$H$11" lockText="1" noThreeD="1"/>
</file>

<file path=xl/ctrlProps/ctrlProp216.xml><?xml version="1.0" encoding="utf-8"?>
<formControlPr xmlns="http://schemas.microsoft.com/office/spreadsheetml/2009/9/main" objectType="CheckBox" fmlaLink="$G$13" lockText="1" noThreeD="1"/>
</file>

<file path=xl/ctrlProps/ctrlProp217.xml><?xml version="1.0" encoding="utf-8"?>
<formControlPr xmlns="http://schemas.microsoft.com/office/spreadsheetml/2009/9/main" objectType="CheckBox" fmlaLink="$H$13" lockText="1" noThreeD="1"/>
</file>

<file path=xl/ctrlProps/ctrlProp218.xml><?xml version="1.0" encoding="utf-8"?>
<formControlPr xmlns="http://schemas.microsoft.com/office/spreadsheetml/2009/9/main" objectType="CheckBox" fmlaLink="$F$14" lockText="1" noThreeD="1"/>
</file>

<file path=xl/ctrlProps/ctrlProp219.xml><?xml version="1.0" encoding="utf-8"?>
<formControlPr xmlns="http://schemas.microsoft.com/office/spreadsheetml/2009/9/main" objectType="CheckBox" fmlaLink="$G$14" lockText="1" noThreeD="1"/>
</file>

<file path=xl/ctrlProps/ctrlProp220.xml><?xml version="1.0" encoding="utf-8"?>
<formControlPr xmlns="http://schemas.microsoft.com/office/spreadsheetml/2009/9/main" objectType="CheckBox" fmlaLink="$H$14" lockText="1" noThreeD="1"/>
</file>

<file path=xl/ctrlProps/ctrlProp221.xml><?xml version="1.0" encoding="utf-8"?>
<formControlPr xmlns="http://schemas.microsoft.com/office/spreadsheetml/2009/9/main" objectType="CheckBox" fmlaLink="$F$30" lockText="1" noThreeD="1"/>
</file>

<file path=xl/ctrlProps/ctrlProp222.xml><?xml version="1.0" encoding="utf-8"?>
<formControlPr xmlns="http://schemas.microsoft.com/office/spreadsheetml/2009/9/main" objectType="CheckBox" fmlaLink="$G$30" lockText="1" noThreeD="1"/>
</file>

<file path=xl/ctrlProps/ctrlProp223.xml><?xml version="1.0" encoding="utf-8"?>
<formControlPr xmlns="http://schemas.microsoft.com/office/spreadsheetml/2009/9/main" objectType="CheckBox" fmlaLink="$H$30" lockText="1" noThreeD="1"/>
</file>

<file path=xl/ctrlProps/ctrlProp224.xml><?xml version="1.0" encoding="utf-8"?>
<formControlPr xmlns="http://schemas.microsoft.com/office/spreadsheetml/2009/9/main" objectType="CheckBox" fmlaLink="$F$31" lockText="1" noThreeD="1"/>
</file>

<file path=xl/ctrlProps/ctrlProp225.xml><?xml version="1.0" encoding="utf-8"?>
<formControlPr xmlns="http://schemas.microsoft.com/office/spreadsheetml/2009/9/main" objectType="CheckBox" fmlaLink="$G$31" lockText="1" noThreeD="1"/>
</file>

<file path=xl/ctrlProps/ctrlProp226.xml><?xml version="1.0" encoding="utf-8"?>
<formControlPr xmlns="http://schemas.microsoft.com/office/spreadsheetml/2009/9/main" objectType="CheckBox" fmlaLink="$H$31" lockText="1" noThreeD="1"/>
</file>

<file path=xl/ctrlProps/ctrlProp227.xml><?xml version="1.0" encoding="utf-8"?>
<formControlPr xmlns="http://schemas.microsoft.com/office/spreadsheetml/2009/9/main" objectType="CheckBox" fmlaLink="$F$32" lockText="1" noThreeD="1"/>
</file>

<file path=xl/ctrlProps/ctrlProp228.xml><?xml version="1.0" encoding="utf-8"?>
<formControlPr xmlns="http://schemas.microsoft.com/office/spreadsheetml/2009/9/main" objectType="CheckBox" fmlaLink="$G$32" lockText="1" noThreeD="1"/>
</file>

<file path=xl/ctrlProps/ctrlProp229.xml><?xml version="1.0" encoding="utf-8"?>
<formControlPr xmlns="http://schemas.microsoft.com/office/spreadsheetml/2009/9/main" objectType="CheckBox" fmlaLink="$H$32" lockText="1" noThreeD="1"/>
</file>

<file path=xl/ctrlProps/ctrlProp230.xml><?xml version="1.0" encoding="utf-8"?>
<formControlPr xmlns="http://schemas.microsoft.com/office/spreadsheetml/2009/9/main" objectType="CheckBox" fmlaLink="$F$33" lockText="1" noThreeD="1"/>
</file>

<file path=xl/ctrlProps/ctrlProp231.xml><?xml version="1.0" encoding="utf-8"?>
<formControlPr xmlns="http://schemas.microsoft.com/office/spreadsheetml/2009/9/main" objectType="CheckBox" fmlaLink="$G$33" lockText="1" noThreeD="1"/>
</file>

<file path=xl/ctrlProps/ctrlProp232.xml><?xml version="1.0" encoding="utf-8"?>
<formControlPr xmlns="http://schemas.microsoft.com/office/spreadsheetml/2009/9/main" objectType="CheckBox" fmlaLink="$H$33" lockText="1" noThreeD="1"/>
</file>

<file path=xl/ctrlProps/ctrlProp233.xml><?xml version="1.0" encoding="utf-8"?>
<formControlPr xmlns="http://schemas.microsoft.com/office/spreadsheetml/2009/9/main" objectType="CheckBox" fmlaLink="$F$34" lockText="1" noThreeD="1"/>
</file>

<file path=xl/ctrlProps/ctrlProp234.xml><?xml version="1.0" encoding="utf-8"?>
<formControlPr xmlns="http://schemas.microsoft.com/office/spreadsheetml/2009/9/main" objectType="CheckBox" fmlaLink="$F$35" lockText="1" noThreeD="1"/>
</file>

<file path=xl/ctrlProps/ctrlProp235.xml><?xml version="1.0" encoding="utf-8"?>
<formControlPr xmlns="http://schemas.microsoft.com/office/spreadsheetml/2009/9/main" objectType="CheckBox" fmlaLink="$F$36" lockText="1" noThreeD="1"/>
</file>

<file path=xl/ctrlProps/ctrlProp236.xml><?xml version="1.0" encoding="utf-8"?>
<formControlPr xmlns="http://schemas.microsoft.com/office/spreadsheetml/2009/9/main" objectType="CheckBox" fmlaLink="$F$37" lockText="1" noThreeD="1"/>
</file>

<file path=xl/ctrlProps/ctrlProp237.xml><?xml version="1.0" encoding="utf-8"?>
<formControlPr xmlns="http://schemas.microsoft.com/office/spreadsheetml/2009/9/main" objectType="CheckBox" fmlaLink="$F$38" lockText="1" noThreeD="1"/>
</file>

<file path=xl/ctrlProps/ctrlProp238.xml><?xml version="1.0" encoding="utf-8"?>
<formControlPr xmlns="http://schemas.microsoft.com/office/spreadsheetml/2009/9/main" objectType="CheckBox" fmlaLink="$F$39" lockText="1" noThreeD="1"/>
</file>

<file path=xl/ctrlProps/ctrlProp239.xml><?xml version="1.0" encoding="utf-8"?>
<formControlPr xmlns="http://schemas.microsoft.com/office/spreadsheetml/2009/9/main" objectType="CheckBox" fmlaLink="$G$34" lockText="1" noThreeD="1"/>
</file>

<file path=xl/ctrlProps/ctrlProp240.xml><?xml version="1.0" encoding="utf-8"?>
<formControlPr xmlns="http://schemas.microsoft.com/office/spreadsheetml/2009/9/main" objectType="CheckBox" fmlaLink="$G$35" lockText="1" noThreeD="1"/>
</file>

<file path=xl/ctrlProps/ctrlProp241.xml><?xml version="1.0" encoding="utf-8"?>
<formControlPr xmlns="http://schemas.microsoft.com/office/spreadsheetml/2009/9/main" objectType="CheckBox" fmlaLink="$G$36" lockText="1" noThreeD="1"/>
</file>

<file path=xl/ctrlProps/ctrlProp242.xml><?xml version="1.0" encoding="utf-8"?>
<formControlPr xmlns="http://schemas.microsoft.com/office/spreadsheetml/2009/9/main" objectType="CheckBox" fmlaLink="$G$37" lockText="1" noThreeD="1"/>
</file>

<file path=xl/ctrlProps/ctrlProp243.xml><?xml version="1.0" encoding="utf-8"?>
<formControlPr xmlns="http://schemas.microsoft.com/office/spreadsheetml/2009/9/main" objectType="CheckBox" fmlaLink="$G$38" lockText="1" noThreeD="1"/>
</file>

<file path=xl/ctrlProps/ctrlProp244.xml><?xml version="1.0" encoding="utf-8"?>
<formControlPr xmlns="http://schemas.microsoft.com/office/spreadsheetml/2009/9/main" objectType="CheckBox" fmlaLink="$G$39" lockText="1" noThreeD="1"/>
</file>

<file path=xl/ctrlProps/ctrlProp245.xml><?xml version="1.0" encoding="utf-8"?>
<formControlPr xmlns="http://schemas.microsoft.com/office/spreadsheetml/2009/9/main" objectType="CheckBox" fmlaLink="$H$34" lockText="1" noThreeD="1"/>
</file>

<file path=xl/ctrlProps/ctrlProp246.xml><?xml version="1.0" encoding="utf-8"?>
<formControlPr xmlns="http://schemas.microsoft.com/office/spreadsheetml/2009/9/main" objectType="CheckBox" fmlaLink="$H$35" lockText="1" noThreeD="1"/>
</file>

<file path=xl/ctrlProps/ctrlProp247.xml><?xml version="1.0" encoding="utf-8"?>
<formControlPr xmlns="http://schemas.microsoft.com/office/spreadsheetml/2009/9/main" objectType="CheckBox" fmlaLink="$H$36" lockText="1" noThreeD="1"/>
</file>

<file path=xl/ctrlProps/ctrlProp248.xml><?xml version="1.0" encoding="utf-8"?>
<formControlPr xmlns="http://schemas.microsoft.com/office/spreadsheetml/2009/9/main" objectType="CheckBox" fmlaLink="$H$37" lockText="1" noThreeD="1"/>
</file>

<file path=xl/ctrlProps/ctrlProp249.xml><?xml version="1.0" encoding="utf-8"?>
<formControlPr xmlns="http://schemas.microsoft.com/office/spreadsheetml/2009/9/main" objectType="CheckBox" fmlaLink="$H$38" lockText="1" noThreeD="1"/>
</file>

<file path=xl/ctrlProps/ctrlProp250.xml><?xml version="1.0" encoding="utf-8"?>
<formControlPr xmlns="http://schemas.microsoft.com/office/spreadsheetml/2009/9/main" objectType="CheckBox" fmlaLink="$H$39" lockText="1" noThreeD="1"/>
</file>

<file path=xl/ctrlProps/ctrlProp251.xml><?xml version="1.0" encoding="utf-8"?>
<formControlPr xmlns="http://schemas.microsoft.com/office/spreadsheetml/2009/9/main" objectType="CheckBox" fmlaLink="$F$60" lockText="1" noThreeD="1"/>
</file>

<file path=xl/ctrlProps/ctrlProp252.xml><?xml version="1.0" encoding="utf-8"?>
<formControlPr xmlns="http://schemas.microsoft.com/office/spreadsheetml/2009/9/main" objectType="CheckBox" fmlaLink="$F$61" lockText="1" noThreeD="1"/>
</file>

<file path=xl/ctrlProps/ctrlProp253.xml><?xml version="1.0" encoding="utf-8"?>
<formControlPr xmlns="http://schemas.microsoft.com/office/spreadsheetml/2009/9/main" objectType="CheckBox" fmlaLink="$F$63" lockText="1" noThreeD="1"/>
</file>

<file path=xl/ctrlProps/ctrlProp254.xml><?xml version="1.0" encoding="utf-8"?>
<formControlPr xmlns="http://schemas.microsoft.com/office/spreadsheetml/2009/9/main" objectType="CheckBox" fmlaLink="$G$58" lockText="1" noThreeD="1"/>
</file>

<file path=xl/ctrlProps/ctrlProp255.xml><?xml version="1.0" encoding="utf-8"?>
<formControlPr xmlns="http://schemas.microsoft.com/office/spreadsheetml/2009/9/main" objectType="CheckBox" fmlaLink="$G$59" lockText="1" noThreeD="1"/>
</file>

<file path=xl/ctrlProps/ctrlProp256.xml><?xml version="1.0" encoding="utf-8"?>
<formControlPr xmlns="http://schemas.microsoft.com/office/spreadsheetml/2009/9/main" objectType="CheckBox" fmlaLink="$G$60" lockText="1" noThreeD="1"/>
</file>

<file path=xl/ctrlProps/ctrlProp257.xml><?xml version="1.0" encoding="utf-8"?>
<formControlPr xmlns="http://schemas.microsoft.com/office/spreadsheetml/2009/9/main" objectType="CheckBox" fmlaLink="$G$61" lockText="1" noThreeD="1"/>
</file>

<file path=xl/ctrlProps/ctrlProp258.xml><?xml version="1.0" encoding="utf-8"?>
<formControlPr xmlns="http://schemas.microsoft.com/office/spreadsheetml/2009/9/main" objectType="CheckBox" fmlaLink="$G$63" lockText="1" noThreeD="1"/>
</file>

<file path=xl/ctrlProps/ctrlProp259.xml><?xml version="1.0" encoding="utf-8"?>
<formControlPr xmlns="http://schemas.microsoft.com/office/spreadsheetml/2009/9/main" objectType="CheckBox" fmlaLink="$H$58" lockText="1" noThreeD="1"/>
</file>

<file path=xl/ctrlProps/ctrlProp260.xml><?xml version="1.0" encoding="utf-8"?>
<formControlPr xmlns="http://schemas.microsoft.com/office/spreadsheetml/2009/9/main" objectType="CheckBox" fmlaLink="$H$59" lockText="1" noThreeD="1"/>
</file>

<file path=xl/ctrlProps/ctrlProp261.xml><?xml version="1.0" encoding="utf-8"?>
<formControlPr xmlns="http://schemas.microsoft.com/office/spreadsheetml/2009/9/main" objectType="CheckBox" fmlaLink="$H$60" lockText="1" noThreeD="1"/>
</file>

<file path=xl/ctrlProps/ctrlProp262.xml><?xml version="1.0" encoding="utf-8"?>
<formControlPr xmlns="http://schemas.microsoft.com/office/spreadsheetml/2009/9/main" objectType="CheckBox" fmlaLink="$H$61" lockText="1" noThreeD="1"/>
</file>

<file path=xl/ctrlProps/ctrlProp263.xml><?xml version="1.0" encoding="utf-8"?>
<formControlPr xmlns="http://schemas.microsoft.com/office/spreadsheetml/2009/9/main" objectType="CheckBox" fmlaLink="$H$63" lockText="1" noThreeD="1"/>
</file>

<file path=xl/ctrlProps/ctrlProp264.xml><?xml version="1.0" encoding="utf-8"?>
<formControlPr xmlns="http://schemas.microsoft.com/office/spreadsheetml/2009/9/main" objectType="CheckBox" fmlaLink="$G$77" lockText="1" noThreeD="1"/>
</file>

<file path=xl/ctrlProps/ctrlProp265.xml><?xml version="1.0" encoding="utf-8"?>
<formControlPr xmlns="http://schemas.microsoft.com/office/spreadsheetml/2009/9/main" objectType="CheckBox" fmlaLink="$G$78" lockText="1" noThreeD="1"/>
</file>

<file path=xl/ctrlProps/ctrlProp266.xml><?xml version="1.0" encoding="utf-8"?>
<formControlPr xmlns="http://schemas.microsoft.com/office/spreadsheetml/2009/9/main" objectType="CheckBox" fmlaLink="$G$79" lockText="1" noThreeD="1"/>
</file>

<file path=xl/ctrlProps/ctrlProp267.xml><?xml version="1.0" encoding="utf-8"?>
<formControlPr xmlns="http://schemas.microsoft.com/office/spreadsheetml/2009/9/main" objectType="CheckBox" fmlaLink="$G$80" lockText="1" noThreeD="1"/>
</file>

<file path=xl/ctrlProps/ctrlProp268.xml><?xml version="1.0" encoding="utf-8"?>
<formControlPr xmlns="http://schemas.microsoft.com/office/spreadsheetml/2009/9/main" objectType="CheckBox" fmlaLink="$H$77" lockText="1" noThreeD="1"/>
</file>

<file path=xl/ctrlProps/ctrlProp269.xml><?xml version="1.0" encoding="utf-8"?>
<formControlPr xmlns="http://schemas.microsoft.com/office/spreadsheetml/2009/9/main" objectType="CheckBox" fmlaLink="$H$78" lockText="1" noThreeD="1"/>
</file>

<file path=xl/ctrlProps/ctrlProp270.xml><?xml version="1.0" encoding="utf-8"?>
<formControlPr xmlns="http://schemas.microsoft.com/office/spreadsheetml/2009/9/main" objectType="CheckBox" fmlaLink="$H$79" lockText="1" noThreeD="1"/>
</file>

<file path=xl/ctrlProps/ctrlProp271.xml><?xml version="1.0" encoding="utf-8"?>
<formControlPr xmlns="http://schemas.microsoft.com/office/spreadsheetml/2009/9/main" objectType="CheckBox" fmlaLink="$H$80" lockText="1" noThreeD="1"/>
</file>

<file path=xl/ctrlProps/ctrlProp272.xml><?xml version="1.0" encoding="utf-8"?>
<formControlPr xmlns="http://schemas.microsoft.com/office/spreadsheetml/2009/9/main" objectType="CheckBox" fmlaLink="$F$12" lockText="1" noThreeD="1"/>
</file>

<file path=xl/ctrlProps/ctrlProp273.xml><?xml version="1.0" encoding="utf-8"?>
<formControlPr xmlns="http://schemas.microsoft.com/office/spreadsheetml/2009/9/main" objectType="CheckBox" fmlaLink="$G$12" lockText="1" noThreeD="1"/>
</file>

<file path=xl/ctrlProps/ctrlProp274.xml><?xml version="1.0" encoding="utf-8"?>
<formControlPr xmlns="http://schemas.microsoft.com/office/spreadsheetml/2009/9/main" objectType="CheckBox" fmlaLink="$H$12" lockText="1" noThreeD="1"/>
</file>

<file path=xl/ctrlProps/ctrlProp275.xml><?xml version="1.0" encoding="utf-8"?>
<formControlPr xmlns="http://schemas.microsoft.com/office/spreadsheetml/2009/9/main" objectType="CheckBox" fmlaLink="$F$15" lockText="1" noThreeD="1"/>
</file>

<file path=xl/ctrlProps/ctrlProp276.xml><?xml version="1.0" encoding="utf-8"?>
<formControlPr xmlns="http://schemas.microsoft.com/office/spreadsheetml/2009/9/main" objectType="CheckBox" fmlaLink="$F$16" lockText="1" noThreeD="1"/>
</file>

<file path=xl/ctrlProps/ctrlProp277.xml><?xml version="1.0" encoding="utf-8"?>
<formControlPr xmlns="http://schemas.microsoft.com/office/spreadsheetml/2009/9/main" objectType="CheckBox" fmlaLink="$G$15" lockText="1" noThreeD="1"/>
</file>

<file path=xl/ctrlProps/ctrlProp278.xml><?xml version="1.0" encoding="utf-8"?>
<formControlPr xmlns="http://schemas.microsoft.com/office/spreadsheetml/2009/9/main" objectType="CheckBox" fmlaLink="$G$16"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fmlaLink="$F$64" lockText="1" noThreeD="1"/>
</file>

<file path=xl/ctrlProps/ctrlProp282.xml><?xml version="1.0" encoding="utf-8"?>
<formControlPr xmlns="http://schemas.microsoft.com/office/spreadsheetml/2009/9/main" objectType="CheckBox" fmlaLink="$G$64" lockText="1" noThreeD="1"/>
</file>

<file path=xl/ctrlProps/ctrlProp283.xml><?xml version="1.0" encoding="utf-8"?>
<formControlPr xmlns="http://schemas.microsoft.com/office/spreadsheetml/2009/9/main" objectType="CheckBox" fmlaLink="$H$64" lockText="1" noThreeD="1"/>
</file>

<file path=xl/ctrlProps/ctrlProp284.xml><?xml version="1.0" encoding="utf-8"?>
<formControlPr xmlns="http://schemas.microsoft.com/office/spreadsheetml/2009/9/main" objectType="CheckBox" fmlaLink="$F$17" lockText="1" noThreeD="1"/>
</file>

<file path=xl/ctrlProps/ctrlProp285.xml><?xml version="1.0" encoding="utf-8"?>
<formControlPr xmlns="http://schemas.microsoft.com/office/spreadsheetml/2009/9/main" objectType="CheckBox" fmlaLink="$G$17" lockText="1" noThreeD="1"/>
</file>

<file path=xl/ctrlProps/ctrlProp286.xml><?xml version="1.0" encoding="utf-8"?>
<formControlPr xmlns="http://schemas.microsoft.com/office/spreadsheetml/2009/9/main" objectType="CheckBox" fmlaLink="$H$1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50800</xdr:rowOff>
        </xdr:from>
        <xdr:to>
          <xdr:col>1</xdr:col>
          <xdr:colOff>292100</xdr:colOff>
          <xdr:row>1</xdr:row>
          <xdr:rowOff>139700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12700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3433</xdr:row>
          <xdr:rowOff>0</xdr:rowOff>
        </xdr:from>
        <xdr:to>
          <xdr:col>0</xdr:col>
          <xdr:colOff>12700</xdr:colOff>
          <xdr:row>3433</xdr:row>
          <xdr:rowOff>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1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587</xdr:row>
          <xdr:rowOff>0</xdr:rowOff>
        </xdr:from>
        <xdr:to>
          <xdr:col>0</xdr:col>
          <xdr:colOff>12700</xdr:colOff>
          <xdr:row>588</xdr:row>
          <xdr:rowOff>25400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1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101600</xdr:colOff>
          <xdr:row>2</xdr:row>
          <xdr:rowOff>12700</xdr:rowOff>
        </xdr:to>
        <xdr:sp macro="" textlink="">
          <xdr:nvSpPr>
            <xdr:cNvPr id="5185" name="Button 65" descr="Reset" hidden="1">
              <a:extLst>
                <a:ext uri="{63B3BB69-23CF-44E3-9099-C40C66FF867C}">
                  <a14:compatExt spid="_x0000_s5185"/>
                </a:ext>
                <a:ext uri="{FF2B5EF4-FFF2-40B4-BE49-F238E27FC236}">
                  <a16:creationId xmlns:a16="http://schemas.microsoft.com/office/drawing/2014/main" id="{00000000-0008-0000-0100-00004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a:p>
              <a:pPr algn="ctr" rtl="0">
                <a:defRPr sz="1000"/>
              </a:pPr>
              <a:r>
                <a:rPr lang="en-US" sz="1100" b="0" i="0" u="none" strike="noStrike" baseline="0">
                  <a:solidFill>
                    <a:srgbClr val="000000"/>
                  </a:solidFill>
                  <a:latin typeface="Calibri" pitchFamily="2" charset="0"/>
                  <a:cs typeface="Calibri" pitchFamily="2" charset="0"/>
                </a:rPr>
                <a:t>Button 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137</xdr:row>
          <xdr:rowOff>12700</xdr:rowOff>
        </xdr:from>
        <xdr:to>
          <xdr:col>2</xdr:col>
          <xdr:colOff>254000</xdr:colOff>
          <xdr:row>138</xdr:row>
          <xdr:rowOff>12700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100-00004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Aspirin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167</xdr:row>
          <xdr:rowOff>25400</xdr:rowOff>
        </xdr:from>
        <xdr:to>
          <xdr:col>3</xdr:col>
          <xdr:colOff>381000</xdr:colOff>
          <xdr:row>168</xdr:row>
          <xdr:rowOff>63500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100-00004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6</xdr:row>
          <xdr:rowOff>88900</xdr:rowOff>
        </xdr:from>
        <xdr:to>
          <xdr:col>12</xdr:col>
          <xdr:colOff>12700</xdr:colOff>
          <xdr:row>7</xdr:row>
          <xdr:rowOff>114300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100-00004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1st Party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88900</xdr:colOff>
          <xdr:row>6</xdr:row>
          <xdr:rowOff>101600</xdr:rowOff>
        </xdr:from>
        <xdr:to>
          <xdr:col>14</xdr:col>
          <xdr:colOff>215900</xdr:colOff>
          <xdr:row>7</xdr:row>
          <xdr:rowOff>101600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100-00004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2nd Party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355600</xdr:colOff>
          <xdr:row>179</xdr:row>
          <xdr:rowOff>0</xdr:rowOff>
        </xdr:from>
        <xdr:to>
          <xdr:col>3</xdr:col>
          <xdr:colOff>12700</xdr:colOff>
          <xdr:row>180</xdr:row>
          <xdr:rowOff>25400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100-00004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Aspirin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203</xdr:row>
          <xdr:rowOff>0</xdr:rowOff>
        </xdr:from>
        <xdr:to>
          <xdr:col>3</xdr:col>
          <xdr:colOff>101600</xdr:colOff>
          <xdr:row>204</xdr:row>
          <xdr:rowOff>25400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100-00004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355600</xdr:colOff>
          <xdr:row>263</xdr:row>
          <xdr:rowOff>0</xdr:rowOff>
        </xdr:from>
        <xdr:to>
          <xdr:col>3</xdr:col>
          <xdr:colOff>12700</xdr:colOff>
          <xdr:row>264</xdr:row>
          <xdr:rowOff>12700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100-00004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STROKE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355600</xdr:colOff>
          <xdr:row>278</xdr:row>
          <xdr:rowOff>0</xdr:rowOff>
        </xdr:from>
        <xdr:to>
          <xdr:col>3</xdr:col>
          <xdr:colOff>12700</xdr:colOff>
          <xdr:row>279</xdr:row>
          <xdr:rowOff>25400</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100-00005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Pulse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355600</xdr:colOff>
          <xdr:row>279</xdr:row>
          <xdr:rowOff>25400</xdr:rowOff>
        </xdr:from>
        <xdr:to>
          <xdr:col>3</xdr:col>
          <xdr:colOff>12700</xdr:colOff>
          <xdr:row>280</xdr:row>
          <xdr:rowOff>12700</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100-00005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Aspirin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254000</xdr:colOff>
          <xdr:row>3435</xdr:row>
          <xdr:rowOff>12700</xdr:rowOff>
        </xdr:from>
        <xdr:to>
          <xdr:col>15</xdr:col>
          <xdr:colOff>330200</xdr:colOff>
          <xdr:row>3436</xdr:row>
          <xdr:rowOff>0</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100-00005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203200</xdr:colOff>
          <xdr:row>6</xdr:row>
          <xdr:rowOff>101600</xdr:rowOff>
        </xdr:from>
        <xdr:to>
          <xdr:col>9</xdr:col>
          <xdr:colOff>228600</xdr:colOff>
          <xdr:row>7</xdr:row>
          <xdr:rowOff>101600</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100-00005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30</xdr:row>
          <xdr:rowOff>25400</xdr:rowOff>
        </xdr:from>
        <xdr:to>
          <xdr:col>2</xdr:col>
          <xdr:colOff>50800</xdr:colOff>
          <xdr:row>31</xdr:row>
          <xdr:rowOff>38100</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100-00005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 Choke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63500</xdr:colOff>
          <xdr:row>30</xdr:row>
          <xdr:rowOff>25400</xdr:rowOff>
        </xdr:from>
        <xdr:to>
          <xdr:col>3</xdr:col>
          <xdr:colOff>419100</xdr:colOff>
          <xdr:row>31</xdr:row>
          <xdr:rowOff>38100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100-00005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CPR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444500</xdr:colOff>
          <xdr:row>30</xdr:row>
          <xdr:rowOff>25400</xdr:rowOff>
        </xdr:from>
        <xdr:to>
          <xdr:col>3</xdr:col>
          <xdr:colOff>1079500</xdr:colOff>
          <xdr:row>31</xdr:row>
          <xdr:rowOff>38100</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100-00005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CPR 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1092200</xdr:colOff>
          <xdr:row>30</xdr:row>
          <xdr:rowOff>25400</xdr:rowOff>
        </xdr:from>
        <xdr:to>
          <xdr:col>5</xdr:col>
          <xdr:colOff>152400</xdr:colOff>
          <xdr:row>31</xdr:row>
          <xdr:rowOff>38100</xdr:rowOff>
        </xdr:to>
        <xdr:sp macro="" textlink="">
          <xdr:nvSpPr>
            <xdr:cNvPr id="5209" name="Button 89" hidden="1">
              <a:extLst>
                <a:ext uri="{63B3BB69-23CF-44E3-9099-C40C66FF867C}">
                  <a14:compatExt spid="_x0000_s5209"/>
                </a:ext>
                <a:ext uri="{FF2B5EF4-FFF2-40B4-BE49-F238E27FC236}">
                  <a16:creationId xmlns:a16="http://schemas.microsoft.com/office/drawing/2014/main" id="{00000000-0008-0000-0100-00005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CPR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177800</xdr:colOff>
          <xdr:row>30</xdr:row>
          <xdr:rowOff>25400</xdr:rowOff>
        </xdr:from>
        <xdr:to>
          <xdr:col>5</xdr:col>
          <xdr:colOff>812800</xdr:colOff>
          <xdr:row>31</xdr:row>
          <xdr:rowOff>50800</xdr:rowOff>
        </xdr:to>
        <xdr:sp macro="" textlink="">
          <xdr:nvSpPr>
            <xdr:cNvPr id="5210" name="Button 90" hidden="1">
              <a:extLst>
                <a:ext uri="{63B3BB69-23CF-44E3-9099-C40C66FF867C}">
                  <a14:compatExt spid="_x0000_s5210"/>
                </a:ext>
                <a:ext uri="{FF2B5EF4-FFF2-40B4-BE49-F238E27FC236}">
                  <a16:creationId xmlns:a16="http://schemas.microsoft.com/office/drawing/2014/main" id="{00000000-0008-0000-0100-00005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CPR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86</xdr:row>
          <xdr:rowOff>25400</xdr:rowOff>
        </xdr:from>
        <xdr:to>
          <xdr:col>3</xdr:col>
          <xdr:colOff>25400</xdr:colOff>
          <xdr:row>87</xdr:row>
          <xdr:rowOff>50800</xdr:rowOff>
        </xdr:to>
        <xdr:sp macro="" textlink="">
          <xdr:nvSpPr>
            <xdr:cNvPr id="5211" name="Button 91" hidden="1">
              <a:extLst>
                <a:ext uri="{63B3BB69-23CF-44E3-9099-C40C66FF867C}">
                  <a14:compatExt spid="_x0000_s5211"/>
                </a:ext>
                <a:ext uri="{FF2B5EF4-FFF2-40B4-BE49-F238E27FC236}">
                  <a16:creationId xmlns:a16="http://schemas.microsoft.com/office/drawing/2014/main" id="{00000000-0008-0000-0100-00005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 Eppi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218</xdr:row>
          <xdr:rowOff>0</xdr:rowOff>
        </xdr:from>
        <xdr:to>
          <xdr:col>3</xdr:col>
          <xdr:colOff>254000</xdr:colOff>
          <xdr:row>219</xdr:row>
          <xdr:rowOff>25400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100-00005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K In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325</xdr:row>
          <xdr:rowOff>0</xdr:rowOff>
        </xdr:from>
        <xdr:to>
          <xdr:col>3</xdr:col>
          <xdr:colOff>63500</xdr:colOff>
          <xdr:row>326</xdr:row>
          <xdr:rowOff>25400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100-00005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Narcan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101600</xdr:colOff>
          <xdr:row>325</xdr:row>
          <xdr:rowOff>0</xdr:rowOff>
        </xdr:from>
        <xdr:to>
          <xdr:col>3</xdr:col>
          <xdr:colOff>736600</xdr:colOff>
          <xdr:row>326</xdr:row>
          <xdr:rowOff>25400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100-00005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Narcan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336</xdr:row>
          <xdr:rowOff>25400</xdr:rowOff>
        </xdr:from>
        <xdr:to>
          <xdr:col>3</xdr:col>
          <xdr:colOff>254000</xdr:colOff>
          <xdr:row>337</xdr:row>
          <xdr:rowOff>50800</xdr:rowOff>
        </xdr:to>
        <xdr:sp macro="" textlink="">
          <xdr:nvSpPr>
            <xdr:cNvPr id="5215" name="Button 95" hidden="1">
              <a:extLst>
                <a:ext uri="{63B3BB69-23CF-44E3-9099-C40C66FF867C}">
                  <a14:compatExt spid="_x0000_s5215"/>
                </a:ext>
                <a:ext uri="{FF2B5EF4-FFF2-40B4-BE49-F238E27FC236}">
                  <a16:creationId xmlns:a16="http://schemas.microsoft.com/office/drawing/2014/main" id="{00000000-0008-0000-0100-00005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 Miscarriage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336</xdr:row>
          <xdr:rowOff>25400</xdr:rowOff>
        </xdr:from>
        <xdr:to>
          <xdr:col>3</xdr:col>
          <xdr:colOff>1092200</xdr:colOff>
          <xdr:row>337</xdr:row>
          <xdr:rowOff>50800</xdr:rowOff>
        </xdr:to>
        <xdr:sp macro="" textlink="">
          <xdr:nvSpPr>
            <xdr:cNvPr id="5216" name="Button 96" hidden="1">
              <a:extLst>
                <a:ext uri="{63B3BB69-23CF-44E3-9099-C40C66FF867C}">
                  <a14:compatExt spid="_x0000_s5216"/>
                </a:ext>
                <a:ext uri="{FF2B5EF4-FFF2-40B4-BE49-F238E27FC236}">
                  <a16:creationId xmlns:a16="http://schemas.microsoft.com/office/drawing/2014/main" id="{00000000-0008-0000-0100-00006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 Childbirth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391</xdr:row>
          <xdr:rowOff>25400</xdr:rowOff>
        </xdr:from>
        <xdr:to>
          <xdr:col>3</xdr:col>
          <xdr:colOff>342900</xdr:colOff>
          <xdr:row>392</xdr:row>
          <xdr:rowOff>38100</xdr:rowOff>
        </xdr:to>
        <xdr:sp macro="" textlink="">
          <xdr:nvSpPr>
            <xdr:cNvPr id="5217" name="Button 97" hidden="1">
              <a:extLst>
                <a:ext uri="{63B3BB69-23CF-44E3-9099-C40C66FF867C}">
                  <a14:compatExt spid="_x0000_s5217"/>
                </a:ext>
                <a:ext uri="{FF2B5EF4-FFF2-40B4-BE49-F238E27FC236}">
                  <a16:creationId xmlns:a16="http://schemas.microsoft.com/office/drawing/2014/main" id="{00000000-0008-0000-0100-00006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L Veh in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297</xdr:row>
          <xdr:rowOff>12700</xdr:rowOff>
        </xdr:from>
        <xdr:to>
          <xdr:col>3</xdr:col>
          <xdr:colOff>444500</xdr:colOff>
          <xdr:row>298</xdr:row>
          <xdr:rowOff>38100</xdr:rowOff>
        </xdr:to>
        <xdr:sp macro="" textlink="">
          <xdr:nvSpPr>
            <xdr:cNvPr id="5218" name="Button 98" hidden="1">
              <a:extLst>
                <a:ext uri="{63B3BB69-23CF-44E3-9099-C40C66FF867C}">
                  <a14:compatExt spid="_x0000_s5218"/>
                </a:ext>
                <a:ext uri="{FF2B5EF4-FFF2-40B4-BE49-F238E27FC236}">
                  <a16:creationId xmlns:a16="http://schemas.microsoft.com/office/drawing/2014/main" id="{00000000-0008-0000-0100-00006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402</xdr:row>
          <xdr:rowOff>25400</xdr:rowOff>
        </xdr:from>
        <xdr:to>
          <xdr:col>3</xdr:col>
          <xdr:colOff>444500</xdr:colOff>
          <xdr:row>403</xdr:row>
          <xdr:rowOff>50800</xdr:rowOff>
        </xdr:to>
        <xdr:sp macro="" textlink="">
          <xdr:nvSpPr>
            <xdr:cNvPr id="5219" name="Button 99" hidden="1">
              <a:extLst>
                <a:ext uri="{63B3BB69-23CF-44E3-9099-C40C66FF867C}">
                  <a14:compatExt spid="_x0000_s5219"/>
                </a:ext>
                <a:ext uri="{FF2B5EF4-FFF2-40B4-BE49-F238E27FC236}">
                  <a16:creationId xmlns:a16="http://schemas.microsoft.com/office/drawing/2014/main" id="{00000000-0008-0000-0100-00006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491</xdr:row>
          <xdr:rowOff>0</xdr:rowOff>
        </xdr:from>
        <xdr:to>
          <xdr:col>3</xdr:col>
          <xdr:colOff>495300</xdr:colOff>
          <xdr:row>492</xdr:row>
          <xdr:rowOff>12700</xdr:rowOff>
        </xdr:to>
        <xdr:sp macro="" textlink="">
          <xdr:nvSpPr>
            <xdr:cNvPr id="5220" name="Button 100" hidden="1">
              <a:extLst>
                <a:ext uri="{63B3BB69-23CF-44E3-9099-C40C66FF867C}">
                  <a14:compatExt spid="_x0000_s5220"/>
                </a:ext>
                <a:ext uri="{FF2B5EF4-FFF2-40B4-BE49-F238E27FC236}">
                  <a16:creationId xmlns:a16="http://schemas.microsoft.com/office/drawing/2014/main" id="{00000000-0008-0000-0100-00006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501</xdr:row>
          <xdr:rowOff>0</xdr:rowOff>
        </xdr:from>
        <xdr:to>
          <xdr:col>3</xdr:col>
          <xdr:colOff>482600</xdr:colOff>
          <xdr:row>502</xdr:row>
          <xdr:rowOff>25400</xdr:rowOff>
        </xdr:to>
        <xdr:sp macro="" textlink="">
          <xdr:nvSpPr>
            <xdr:cNvPr id="5221" name="Button 101" hidden="1">
              <a:extLst>
                <a:ext uri="{63B3BB69-23CF-44E3-9099-C40C66FF867C}">
                  <a14:compatExt spid="_x0000_s5221"/>
                </a:ext>
                <a:ext uri="{FF2B5EF4-FFF2-40B4-BE49-F238E27FC236}">
                  <a16:creationId xmlns:a16="http://schemas.microsoft.com/office/drawing/2014/main" id="{00000000-0008-0000-0100-00006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515</xdr:row>
          <xdr:rowOff>12700</xdr:rowOff>
        </xdr:from>
        <xdr:to>
          <xdr:col>3</xdr:col>
          <xdr:colOff>25400</xdr:colOff>
          <xdr:row>515</xdr:row>
          <xdr:rowOff>215900</xdr:rowOff>
        </xdr:to>
        <xdr:sp macro="" textlink="">
          <xdr:nvSpPr>
            <xdr:cNvPr id="5222" name="Button 102" hidden="1">
              <a:extLst>
                <a:ext uri="{63B3BB69-23CF-44E3-9099-C40C66FF867C}">
                  <a14:compatExt spid="_x0000_s5222"/>
                </a:ext>
                <a:ext uri="{FF2B5EF4-FFF2-40B4-BE49-F238E27FC236}">
                  <a16:creationId xmlns:a16="http://schemas.microsoft.com/office/drawing/2014/main" id="{00000000-0008-0000-0100-00006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Narcan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63500</xdr:colOff>
          <xdr:row>515</xdr:row>
          <xdr:rowOff>12700</xdr:rowOff>
        </xdr:from>
        <xdr:to>
          <xdr:col>3</xdr:col>
          <xdr:colOff>711200</xdr:colOff>
          <xdr:row>515</xdr:row>
          <xdr:rowOff>215900</xdr:rowOff>
        </xdr:to>
        <xdr:sp macro="" textlink="">
          <xdr:nvSpPr>
            <xdr:cNvPr id="5223" name="Button 103" hidden="1">
              <a:extLst>
                <a:ext uri="{63B3BB69-23CF-44E3-9099-C40C66FF867C}">
                  <a14:compatExt spid="_x0000_s5223"/>
                </a:ext>
                <a:ext uri="{FF2B5EF4-FFF2-40B4-BE49-F238E27FC236}">
                  <a16:creationId xmlns:a16="http://schemas.microsoft.com/office/drawing/2014/main" id="{00000000-0008-0000-0100-00006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Narcan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526</xdr:row>
          <xdr:rowOff>25400</xdr:rowOff>
        </xdr:from>
        <xdr:to>
          <xdr:col>3</xdr:col>
          <xdr:colOff>254000</xdr:colOff>
          <xdr:row>527</xdr:row>
          <xdr:rowOff>63500</xdr:rowOff>
        </xdr:to>
        <xdr:sp macro="" textlink="">
          <xdr:nvSpPr>
            <xdr:cNvPr id="5224" name="Button 104" hidden="1">
              <a:extLst>
                <a:ext uri="{63B3BB69-23CF-44E3-9099-C40C66FF867C}">
                  <a14:compatExt spid="_x0000_s5224"/>
                </a:ext>
                <a:ext uri="{FF2B5EF4-FFF2-40B4-BE49-F238E27FC236}">
                  <a16:creationId xmlns:a16="http://schemas.microsoft.com/office/drawing/2014/main" id="{00000000-0008-0000-0100-00006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 Miscarriage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526</xdr:row>
          <xdr:rowOff>25400</xdr:rowOff>
        </xdr:from>
        <xdr:to>
          <xdr:col>3</xdr:col>
          <xdr:colOff>1092200</xdr:colOff>
          <xdr:row>527</xdr:row>
          <xdr:rowOff>63500</xdr:rowOff>
        </xdr:to>
        <xdr:sp macro="" textlink="">
          <xdr:nvSpPr>
            <xdr:cNvPr id="5225" name="Button 105" hidden="1">
              <a:extLst>
                <a:ext uri="{63B3BB69-23CF-44E3-9099-C40C66FF867C}">
                  <a14:compatExt spid="_x0000_s5225"/>
                </a:ext>
                <a:ext uri="{FF2B5EF4-FFF2-40B4-BE49-F238E27FC236}">
                  <a16:creationId xmlns:a16="http://schemas.microsoft.com/office/drawing/2014/main" id="{00000000-0008-0000-0100-00006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 Childbirth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537</xdr:row>
          <xdr:rowOff>12700</xdr:rowOff>
        </xdr:from>
        <xdr:to>
          <xdr:col>3</xdr:col>
          <xdr:colOff>482600</xdr:colOff>
          <xdr:row>538</xdr:row>
          <xdr:rowOff>38100</xdr:rowOff>
        </xdr:to>
        <xdr:sp macro="" textlink="">
          <xdr:nvSpPr>
            <xdr:cNvPr id="5226" name="Button 106" hidden="1">
              <a:extLst>
                <a:ext uri="{63B3BB69-23CF-44E3-9099-C40C66FF867C}">
                  <a14:compatExt spid="_x0000_s5226"/>
                </a:ext>
                <a:ext uri="{FF2B5EF4-FFF2-40B4-BE49-F238E27FC236}">
                  <a16:creationId xmlns:a16="http://schemas.microsoft.com/office/drawing/2014/main" id="{00000000-0008-0000-0100-00006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548</xdr:row>
          <xdr:rowOff>63500</xdr:rowOff>
        </xdr:from>
        <xdr:to>
          <xdr:col>3</xdr:col>
          <xdr:colOff>812800</xdr:colOff>
          <xdr:row>549</xdr:row>
          <xdr:rowOff>101600</xdr:rowOff>
        </xdr:to>
        <xdr:sp macro="" textlink="">
          <xdr:nvSpPr>
            <xdr:cNvPr id="5227" name="Button 107" hidden="1">
              <a:extLst>
                <a:ext uri="{63B3BB69-23CF-44E3-9099-C40C66FF867C}">
                  <a14:compatExt spid="_x0000_s5227"/>
                </a:ext>
                <a:ext uri="{FF2B5EF4-FFF2-40B4-BE49-F238E27FC236}">
                  <a16:creationId xmlns:a16="http://schemas.microsoft.com/office/drawing/2014/main" id="{00000000-0008-0000-0100-00006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368</xdr:row>
          <xdr:rowOff>0</xdr:rowOff>
        </xdr:from>
        <xdr:to>
          <xdr:col>3</xdr:col>
          <xdr:colOff>482600</xdr:colOff>
          <xdr:row>369</xdr:row>
          <xdr:rowOff>25400</xdr:rowOff>
        </xdr:to>
        <xdr:sp macro="" textlink="">
          <xdr:nvSpPr>
            <xdr:cNvPr id="5228" name="Button 108" hidden="1">
              <a:extLst>
                <a:ext uri="{63B3BB69-23CF-44E3-9099-C40C66FF867C}">
                  <a14:compatExt spid="_x0000_s5228"/>
                </a:ext>
                <a:ext uri="{FF2B5EF4-FFF2-40B4-BE49-F238E27FC236}">
                  <a16:creationId xmlns:a16="http://schemas.microsoft.com/office/drawing/2014/main" id="{00000000-0008-0000-0100-00006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561</xdr:row>
          <xdr:rowOff>12700</xdr:rowOff>
        </xdr:from>
        <xdr:to>
          <xdr:col>3</xdr:col>
          <xdr:colOff>25400</xdr:colOff>
          <xdr:row>562</xdr:row>
          <xdr:rowOff>0</xdr:rowOff>
        </xdr:to>
        <xdr:sp macro="" textlink="">
          <xdr:nvSpPr>
            <xdr:cNvPr id="5231" name="Button 111" hidden="1">
              <a:extLst>
                <a:ext uri="{63B3BB69-23CF-44E3-9099-C40C66FF867C}">
                  <a14:compatExt spid="_x0000_s5231"/>
                </a:ext>
                <a:ext uri="{FF2B5EF4-FFF2-40B4-BE49-F238E27FC236}">
                  <a16:creationId xmlns:a16="http://schemas.microsoft.com/office/drawing/2014/main" id="{00000000-0008-0000-0100-00006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Narcan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63500</xdr:colOff>
          <xdr:row>561</xdr:row>
          <xdr:rowOff>12700</xdr:rowOff>
        </xdr:from>
        <xdr:to>
          <xdr:col>3</xdr:col>
          <xdr:colOff>711200</xdr:colOff>
          <xdr:row>562</xdr:row>
          <xdr:rowOff>0</xdr:rowOff>
        </xdr:to>
        <xdr:sp macro="" textlink="">
          <xdr:nvSpPr>
            <xdr:cNvPr id="5232" name="Button 112" hidden="1">
              <a:extLst>
                <a:ext uri="{63B3BB69-23CF-44E3-9099-C40C66FF867C}">
                  <a14:compatExt spid="_x0000_s5232"/>
                </a:ext>
                <a:ext uri="{FF2B5EF4-FFF2-40B4-BE49-F238E27FC236}">
                  <a16:creationId xmlns:a16="http://schemas.microsoft.com/office/drawing/2014/main" id="{00000000-0008-0000-0100-00007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Narcan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101600</xdr:colOff>
          <xdr:row>3098</xdr:row>
          <xdr:rowOff>0</xdr:rowOff>
        </xdr:from>
        <xdr:to>
          <xdr:col>3</xdr:col>
          <xdr:colOff>114300</xdr:colOff>
          <xdr:row>3099</xdr:row>
          <xdr:rowOff>12700</xdr:rowOff>
        </xdr:to>
        <xdr:sp macro="" textlink="">
          <xdr:nvSpPr>
            <xdr:cNvPr id="5233" name="Button 113" hidden="1">
              <a:extLst>
                <a:ext uri="{63B3BB69-23CF-44E3-9099-C40C66FF867C}">
                  <a14:compatExt spid="_x0000_s5233"/>
                </a:ext>
                <a:ext uri="{FF2B5EF4-FFF2-40B4-BE49-F238E27FC236}">
                  <a16:creationId xmlns:a16="http://schemas.microsoft.com/office/drawing/2014/main" id="{00000000-0008-0000-0100-00007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CPR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177800</xdr:colOff>
          <xdr:row>3098</xdr:row>
          <xdr:rowOff>0</xdr:rowOff>
        </xdr:from>
        <xdr:to>
          <xdr:col>3</xdr:col>
          <xdr:colOff>825500</xdr:colOff>
          <xdr:row>3099</xdr:row>
          <xdr:rowOff>12700</xdr:rowOff>
        </xdr:to>
        <xdr:sp macro="" textlink="">
          <xdr:nvSpPr>
            <xdr:cNvPr id="5234" name="Button 114" hidden="1">
              <a:extLst>
                <a:ext uri="{63B3BB69-23CF-44E3-9099-C40C66FF867C}">
                  <a14:compatExt spid="_x0000_s5234"/>
                </a:ext>
                <a:ext uri="{FF2B5EF4-FFF2-40B4-BE49-F238E27FC236}">
                  <a16:creationId xmlns:a16="http://schemas.microsoft.com/office/drawing/2014/main" id="{00000000-0008-0000-0100-00007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CPR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608</xdr:row>
          <xdr:rowOff>38100</xdr:rowOff>
        </xdr:from>
        <xdr:to>
          <xdr:col>7</xdr:col>
          <xdr:colOff>342900</xdr:colOff>
          <xdr:row>610</xdr:row>
          <xdr:rowOff>0</xdr:rowOff>
        </xdr:to>
        <xdr:sp macro="" textlink="">
          <xdr:nvSpPr>
            <xdr:cNvPr id="5848" name="Button 728" hidden="1">
              <a:extLst>
                <a:ext uri="{63B3BB69-23CF-44E3-9099-C40C66FF867C}">
                  <a14:compatExt spid="_x0000_s5848"/>
                </a:ext>
                <a:ext uri="{FF2B5EF4-FFF2-40B4-BE49-F238E27FC236}">
                  <a16:creationId xmlns:a16="http://schemas.microsoft.com/office/drawing/2014/main" id="{00000000-0008-0000-0100-0000D8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Medical Facility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3279</xdr:row>
          <xdr:rowOff>0</xdr:rowOff>
        </xdr:from>
        <xdr:to>
          <xdr:col>3</xdr:col>
          <xdr:colOff>190500</xdr:colOff>
          <xdr:row>3280</xdr:row>
          <xdr:rowOff>38100</xdr:rowOff>
        </xdr:to>
        <xdr:sp macro="" textlink="">
          <xdr:nvSpPr>
            <xdr:cNvPr id="5849" name="Button 729" hidden="1">
              <a:extLst>
                <a:ext uri="{63B3BB69-23CF-44E3-9099-C40C66FF867C}">
                  <a14:compatExt spid="_x0000_s5849"/>
                </a:ext>
                <a:ext uri="{FF2B5EF4-FFF2-40B4-BE49-F238E27FC236}">
                  <a16:creationId xmlns:a16="http://schemas.microsoft.com/office/drawing/2014/main" id="{00000000-0008-0000-0100-0000D9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Safety 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165100</xdr:colOff>
          <xdr:row>3306</xdr:row>
          <xdr:rowOff>12700</xdr:rowOff>
        </xdr:from>
        <xdr:to>
          <xdr:col>7</xdr:col>
          <xdr:colOff>368300</xdr:colOff>
          <xdr:row>3307</xdr:row>
          <xdr:rowOff>50800</xdr:rowOff>
        </xdr:to>
        <xdr:sp macro="" textlink="">
          <xdr:nvSpPr>
            <xdr:cNvPr id="5850" name="Button 730" hidden="1">
              <a:extLst>
                <a:ext uri="{63B3BB69-23CF-44E3-9099-C40C66FF867C}">
                  <a14:compatExt spid="_x0000_s5850"/>
                </a:ext>
                <a:ext uri="{FF2B5EF4-FFF2-40B4-BE49-F238E27FC236}">
                  <a16:creationId xmlns:a16="http://schemas.microsoft.com/office/drawing/2014/main" id="{00000000-0008-0000-0100-0000DA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Safety 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1257300</xdr:colOff>
          <xdr:row>17</xdr:row>
          <xdr:rowOff>0</xdr:rowOff>
        </xdr:from>
        <xdr:to>
          <xdr:col>5</xdr:col>
          <xdr:colOff>203200</xdr:colOff>
          <xdr:row>18</xdr:row>
          <xdr:rowOff>12700</xdr:rowOff>
        </xdr:to>
        <xdr:sp macro="" textlink="">
          <xdr:nvSpPr>
            <xdr:cNvPr id="5854" name="Button 734" hidden="1">
              <a:extLst>
                <a:ext uri="{63B3BB69-23CF-44E3-9099-C40C66FF867C}">
                  <a14:compatExt spid="_x0000_s5854"/>
                </a:ext>
                <a:ext uri="{FF2B5EF4-FFF2-40B4-BE49-F238E27FC236}">
                  <a16:creationId xmlns:a16="http://schemas.microsoft.com/office/drawing/2014/main" id="{00000000-0008-0000-0100-0000DE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ECHO7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17</xdr:row>
          <xdr:rowOff>0</xdr:rowOff>
        </xdr:from>
        <xdr:to>
          <xdr:col>6</xdr:col>
          <xdr:colOff>76200</xdr:colOff>
          <xdr:row>18</xdr:row>
          <xdr:rowOff>25400</xdr:rowOff>
        </xdr:to>
        <xdr:sp macro="" textlink="">
          <xdr:nvSpPr>
            <xdr:cNvPr id="5855" name="Button 735" hidden="1">
              <a:extLst>
                <a:ext uri="{63B3BB69-23CF-44E3-9099-C40C66FF867C}">
                  <a14:compatExt spid="_x0000_s5855"/>
                </a:ext>
                <a:ext uri="{FF2B5EF4-FFF2-40B4-BE49-F238E27FC236}">
                  <a16:creationId xmlns:a16="http://schemas.microsoft.com/office/drawing/2014/main" id="{00000000-0008-0000-0100-0000DF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ECHO9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17</xdr:row>
          <xdr:rowOff>0</xdr:rowOff>
        </xdr:from>
        <xdr:to>
          <xdr:col>7</xdr:col>
          <xdr:colOff>139700</xdr:colOff>
          <xdr:row>18</xdr:row>
          <xdr:rowOff>12700</xdr:rowOff>
        </xdr:to>
        <xdr:sp macro="" textlink="">
          <xdr:nvSpPr>
            <xdr:cNvPr id="5856" name="Button 736" hidden="1">
              <a:extLst>
                <a:ext uri="{63B3BB69-23CF-44E3-9099-C40C66FF867C}">
                  <a14:compatExt spid="_x0000_s5856"/>
                </a:ext>
                <a:ext uri="{FF2B5EF4-FFF2-40B4-BE49-F238E27FC236}">
                  <a16:creationId xmlns:a16="http://schemas.microsoft.com/office/drawing/2014/main" id="{00000000-0008-0000-0100-0000E0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ECHO14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187</xdr:row>
          <xdr:rowOff>0</xdr:rowOff>
        </xdr:from>
        <xdr:to>
          <xdr:col>3</xdr:col>
          <xdr:colOff>0</xdr:colOff>
          <xdr:row>188</xdr:row>
          <xdr:rowOff>25400</xdr:rowOff>
        </xdr:to>
        <xdr:sp macro="" textlink="">
          <xdr:nvSpPr>
            <xdr:cNvPr id="5857" name="Button 737" hidden="1">
              <a:extLst>
                <a:ext uri="{63B3BB69-23CF-44E3-9099-C40C66FF867C}">
                  <a14:compatExt spid="_x0000_s5857"/>
                </a:ext>
                <a:ext uri="{FF2B5EF4-FFF2-40B4-BE49-F238E27FC236}">
                  <a16:creationId xmlns:a16="http://schemas.microsoft.com/office/drawing/2014/main" id="{00000000-0008-0000-0100-0000E1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 Choke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215900</xdr:colOff>
          <xdr:row>3287</xdr:row>
          <xdr:rowOff>25400</xdr:rowOff>
        </xdr:from>
        <xdr:to>
          <xdr:col>3</xdr:col>
          <xdr:colOff>25400</xdr:colOff>
          <xdr:row>3288</xdr:row>
          <xdr:rowOff>50800</xdr:rowOff>
        </xdr:to>
        <xdr:sp macro="" textlink="">
          <xdr:nvSpPr>
            <xdr:cNvPr id="5863" name="Button 743" hidden="1">
              <a:extLst>
                <a:ext uri="{63B3BB69-23CF-44E3-9099-C40C66FF867C}">
                  <a14:compatExt spid="_x0000_s5863"/>
                </a:ext>
                <a:ext uri="{FF2B5EF4-FFF2-40B4-BE49-F238E27FC236}">
                  <a16:creationId xmlns:a16="http://schemas.microsoft.com/office/drawing/2014/main" id="{00000000-0008-0000-0100-0000E7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Stay on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3288</xdr:row>
          <xdr:rowOff>25400</xdr:rowOff>
        </xdr:from>
        <xdr:to>
          <xdr:col>3</xdr:col>
          <xdr:colOff>520700</xdr:colOff>
          <xdr:row>3289</xdr:row>
          <xdr:rowOff>25400</xdr:rowOff>
        </xdr:to>
        <xdr:sp macro="" textlink="">
          <xdr:nvSpPr>
            <xdr:cNvPr id="5864" name="Button 744" hidden="1">
              <a:extLst>
                <a:ext uri="{63B3BB69-23CF-44E3-9099-C40C66FF867C}">
                  <a14:compatExt spid="_x0000_s5864"/>
                </a:ext>
                <a:ext uri="{FF2B5EF4-FFF2-40B4-BE49-F238E27FC236}">
                  <a16:creationId xmlns:a16="http://schemas.microsoft.com/office/drawing/2014/main" id="{00000000-0008-0000-0100-0000E8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Urgent Dissconnect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3280</xdr:row>
          <xdr:rowOff>38100</xdr:rowOff>
        </xdr:from>
        <xdr:to>
          <xdr:col>3</xdr:col>
          <xdr:colOff>203200</xdr:colOff>
          <xdr:row>3281</xdr:row>
          <xdr:rowOff>63500</xdr:rowOff>
        </xdr:to>
        <xdr:sp macro="" textlink="">
          <xdr:nvSpPr>
            <xdr:cNvPr id="5865" name="Button 745" hidden="1">
              <a:extLst>
                <a:ext uri="{63B3BB69-23CF-44E3-9099-C40C66FF867C}">
                  <a14:compatExt spid="_x0000_s5865"/>
                </a:ext>
                <a:ext uri="{FF2B5EF4-FFF2-40B4-BE49-F238E27FC236}">
                  <a16:creationId xmlns:a16="http://schemas.microsoft.com/office/drawing/2014/main" id="{00000000-0008-0000-0100-0000E9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3325</xdr:row>
          <xdr:rowOff>0</xdr:rowOff>
        </xdr:from>
        <xdr:to>
          <xdr:col>2</xdr:col>
          <xdr:colOff>228600</xdr:colOff>
          <xdr:row>3326</xdr:row>
          <xdr:rowOff>25400</xdr:rowOff>
        </xdr:to>
        <xdr:sp macro="" textlink="">
          <xdr:nvSpPr>
            <xdr:cNvPr id="5866" name="Button 746" hidden="1">
              <a:extLst>
                <a:ext uri="{63B3BB69-23CF-44E3-9099-C40C66FF867C}">
                  <a14:compatExt spid="_x0000_s5866"/>
                </a:ext>
                <a:ext uri="{FF2B5EF4-FFF2-40B4-BE49-F238E27FC236}">
                  <a16:creationId xmlns:a16="http://schemas.microsoft.com/office/drawing/2014/main" id="{00000000-0008-0000-0100-0000EA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Stay on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3327</xdr:row>
          <xdr:rowOff>0</xdr:rowOff>
        </xdr:from>
        <xdr:to>
          <xdr:col>3</xdr:col>
          <xdr:colOff>330200</xdr:colOff>
          <xdr:row>3328</xdr:row>
          <xdr:rowOff>25400</xdr:rowOff>
        </xdr:to>
        <xdr:sp macro="" textlink="">
          <xdr:nvSpPr>
            <xdr:cNvPr id="5867" name="Button 747" hidden="1">
              <a:extLst>
                <a:ext uri="{63B3BB69-23CF-44E3-9099-C40C66FF867C}">
                  <a14:compatExt spid="_x0000_s5867"/>
                </a:ext>
                <a:ext uri="{FF2B5EF4-FFF2-40B4-BE49-F238E27FC236}">
                  <a16:creationId xmlns:a16="http://schemas.microsoft.com/office/drawing/2014/main" id="{00000000-0008-0000-0100-0000EB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Urgent Disconnect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241300</xdr:colOff>
          <xdr:row>3329</xdr:row>
          <xdr:rowOff>139700</xdr:rowOff>
        </xdr:from>
        <xdr:to>
          <xdr:col>2</xdr:col>
          <xdr:colOff>215900</xdr:colOff>
          <xdr:row>3330</xdr:row>
          <xdr:rowOff>152400</xdr:rowOff>
        </xdr:to>
        <xdr:sp macro="" textlink="">
          <xdr:nvSpPr>
            <xdr:cNvPr id="5868" name="Button 748" hidden="1">
              <a:extLst>
                <a:ext uri="{63B3BB69-23CF-44E3-9099-C40C66FF867C}">
                  <a14:compatExt spid="_x0000_s5868"/>
                </a:ext>
                <a:ext uri="{FF2B5EF4-FFF2-40B4-BE49-F238E27FC236}">
                  <a16:creationId xmlns:a16="http://schemas.microsoft.com/office/drawing/2014/main" id="{00000000-0008-0000-0100-0000EC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Bleeding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379</xdr:row>
          <xdr:rowOff>25400</xdr:rowOff>
        </xdr:from>
        <xdr:to>
          <xdr:col>3</xdr:col>
          <xdr:colOff>482600</xdr:colOff>
          <xdr:row>380</xdr:row>
          <xdr:rowOff>88900</xdr:rowOff>
        </xdr:to>
        <xdr:sp macro="" textlink="">
          <xdr:nvSpPr>
            <xdr:cNvPr id="5884" name="Button 764" hidden="1">
              <a:extLst>
                <a:ext uri="{63B3BB69-23CF-44E3-9099-C40C66FF867C}">
                  <a14:compatExt spid="_x0000_s5884"/>
                </a:ext>
                <a:ext uri="{FF2B5EF4-FFF2-40B4-BE49-F238E27FC236}">
                  <a16:creationId xmlns:a16="http://schemas.microsoft.com/office/drawing/2014/main" id="{00000000-0008-0000-0100-0000FC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Stroke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3439</xdr:row>
          <xdr:rowOff>63500</xdr:rowOff>
        </xdr:from>
        <xdr:to>
          <xdr:col>2</xdr:col>
          <xdr:colOff>12700</xdr:colOff>
          <xdr:row>3440</xdr:row>
          <xdr:rowOff>114300</xdr:rowOff>
        </xdr:to>
        <xdr:sp macro="" textlink="">
          <xdr:nvSpPr>
            <xdr:cNvPr id="5898" name="Button 778" hidden="1">
              <a:extLst>
                <a:ext uri="{63B3BB69-23CF-44E3-9099-C40C66FF867C}">
                  <a14:compatExt spid="_x0000_s5898"/>
                </a:ext>
                <a:ext uri="{FF2B5EF4-FFF2-40B4-BE49-F238E27FC236}">
                  <a16:creationId xmlns:a16="http://schemas.microsoft.com/office/drawing/2014/main" id="{00000000-0008-0000-0100-00000A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357</xdr:row>
          <xdr:rowOff>25400</xdr:rowOff>
        </xdr:from>
        <xdr:to>
          <xdr:col>3</xdr:col>
          <xdr:colOff>114300</xdr:colOff>
          <xdr:row>358</xdr:row>
          <xdr:rowOff>25400</xdr:rowOff>
        </xdr:to>
        <xdr:sp macro="" textlink="">
          <xdr:nvSpPr>
            <xdr:cNvPr id="5904" name="Button 784" hidden="1">
              <a:extLst>
                <a:ext uri="{63B3BB69-23CF-44E3-9099-C40C66FF867C}">
                  <a14:compatExt spid="_x0000_s5904"/>
                </a:ext>
                <a:ext uri="{FF2B5EF4-FFF2-40B4-BE49-F238E27FC236}">
                  <a16:creationId xmlns:a16="http://schemas.microsoft.com/office/drawing/2014/main" id="{00000000-0008-0000-0100-000010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Stroke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30</xdr:row>
          <xdr:rowOff>25400</xdr:rowOff>
        </xdr:from>
        <xdr:to>
          <xdr:col>7</xdr:col>
          <xdr:colOff>12700</xdr:colOff>
          <xdr:row>31</xdr:row>
          <xdr:rowOff>50800</xdr:rowOff>
        </xdr:to>
        <xdr:sp macro="" textlink="">
          <xdr:nvSpPr>
            <xdr:cNvPr id="5905" name="Button 785" hidden="1">
              <a:extLst>
                <a:ext uri="{63B3BB69-23CF-44E3-9099-C40C66FF867C}">
                  <a14:compatExt spid="_x0000_s5905"/>
                </a:ext>
                <a:ext uri="{FF2B5EF4-FFF2-40B4-BE49-F238E27FC236}">
                  <a16:creationId xmlns:a16="http://schemas.microsoft.com/office/drawing/2014/main" id="{00000000-0008-0000-0100-000011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3323</xdr:row>
          <xdr:rowOff>38100</xdr:rowOff>
        </xdr:from>
        <xdr:to>
          <xdr:col>2</xdr:col>
          <xdr:colOff>254000</xdr:colOff>
          <xdr:row>3324</xdr:row>
          <xdr:rowOff>50800</xdr:rowOff>
        </xdr:to>
        <xdr:sp macro="" textlink="">
          <xdr:nvSpPr>
            <xdr:cNvPr id="5918" name="Button 798" hidden="1">
              <a:extLst>
                <a:ext uri="{63B3BB69-23CF-44E3-9099-C40C66FF867C}">
                  <a14:compatExt spid="_x0000_s5918"/>
                </a:ext>
                <a:ext uri="{FF2B5EF4-FFF2-40B4-BE49-F238E27FC236}">
                  <a16:creationId xmlns:a16="http://schemas.microsoft.com/office/drawing/2014/main" id="{00000000-0008-0000-0100-00001E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MedFacility</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457</xdr:row>
          <xdr:rowOff>139700</xdr:rowOff>
        </xdr:from>
        <xdr:to>
          <xdr:col>1</xdr:col>
          <xdr:colOff>190500</xdr:colOff>
          <xdr:row>458</xdr:row>
          <xdr:rowOff>139700</xdr:rowOff>
        </xdr:to>
        <xdr:sp macro="" textlink="">
          <xdr:nvSpPr>
            <xdr:cNvPr id="5919" name="Button 799" hidden="1">
              <a:extLst>
                <a:ext uri="{63B3BB69-23CF-44E3-9099-C40C66FF867C}">
                  <a14:compatExt spid="_x0000_s5919"/>
                </a:ext>
                <a:ext uri="{FF2B5EF4-FFF2-40B4-BE49-F238E27FC236}">
                  <a16:creationId xmlns:a16="http://schemas.microsoft.com/office/drawing/2014/main" id="{00000000-0008-0000-0100-00001F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495</xdr:row>
          <xdr:rowOff>12700</xdr:rowOff>
        </xdr:from>
        <xdr:to>
          <xdr:col>1</xdr:col>
          <xdr:colOff>152400</xdr:colOff>
          <xdr:row>496</xdr:row>
          <xdr:rowOff>12700</xdr:rowOff>
        </xdr:to>
        <xdr:sp macro="" textlink="">
          <xdr:nvSpPr>
            <xdr:cNvPr id="5920" name="Button 800" hidden="1">
              <a:extLst>
                <a:ext uri="{63B3BB69-23CF-44E3-9099-C40C66FF867C}">
                  <a14:compatExt spid="_x0000_s5920"/>
                </a:ext>
                <a:ext uri="{FF2B5EF4-FFF2-40B4-BE49-F238E27FC236}">
                  <a16:creationId xmlns:a16="http://schemas.microsoft.com/office/drawing/2014/main" id="{00000000-0008-0000-0100-000020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352</xdr:row>
          <xdr:rowOff>152400</xdr:rowOff>
        </xdr:from>
        <xdr:to>
          <xdr:col>1</xdr:col>
          <xdr:colOff>139700</xdr:colOff>
          <xdr:row>353</xdr:row>
          <xdr:rowOff>152400</xdr:rowOff>
        </xdr:to>
        <xdr:sp macro="" textlink="">
          <xdr:nvSpPr>
            <xdr:cNvPr id="5921" name="Button 801" hidden="1">
              <a:extLst>
                <a:ext uri="{63B3BB69-23CF-44E3-9099-C40C66FF867C}">
                  <a14:compatExt spid="_x0000_s5921"/>
                </a:ext>
                <a:ext uri="{FF2B5EF4-FFF2-40B4-BE49-F238E27FC236}">
                  <a16:creationId xmlns:a16="http://schemas.microsoft.com/office/drawing/2014/main" id="{00000000-0008-0000-0100-000021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291</xdr:row>
          <xdr:rowOff>12700</xdr:rowOff>
        </xdr:from>
        <xdr:to>
          <xdr:col>1</xdr:col>
          <xdr:colOff>139700</xdr:colOff>
          <xdr:row>292</xdr:row>
          <xdr:rowOff>12700</xdr:rowOff>
        </xdr:to>
        <xdr:sp macro="" textlink="">
          <xdr:nvSpPr>
            <xdr:cNvPr id="5922" name="Button 802" hidden="1">
              <a:extLst>
                <a:ext uri="{63B3BB69-23CF-44E3-9099-C40C66FF867C}">
                  <a14:compatExt spid="_x0000_s5922"/>
                </a:ext>
                <a:ext uri="{FF2B5EF4-FFF2-40B4-BE49-F238E27FC236}">
                  <a16:creationId xmlns:a16="http://schemas.microsoft.com/office/drawing/2014/main" id="{00000000-0008-0000-0100-000022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254</xdr:row>
          <xdr:rowOff>12700</xdr:rowOff>
        </xdr:from>
        <xdr:to>
          <xdr:col>1</xdr:col>
          <xdr:colOff>139700</xdr:colOff>
          <xdr:row>255</xdr:row>
          <xdr:rowOff>12700</xdr:rowOff>
        </xdr:to>
        <xdr:sp macro="" textlink="">
          <xdr:nvSpPr>
            <xdr:cNvPr id="5923" name="Button 803" hidden="1">
              <a:extLst>
                <a:ext uri="{63B3BB69-23CF-44E3-9099-C40C66FF867C}">
                  <a14:compatExt spid="_x0000_s5923"/>
                </a:ext>
                <a:ext uri="{FF2B5EF4-FFF2-40B4-BE49-F238E27FC236}">
                  <a16:creationId xmlns:a16="http://schemas.microsoft.com/office/drawing/2014/main" id="{00000000-0008-0000-0100-000023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206</xdr:row>
          <xdr:rowOff>152400</xdr:rowOff>
        </xdr:from>
        <xdr:to>
          <xdr:col>1</xdr:col>
          <xdr:colOff>152400</xdr:colOff>
          <xdr:row>207</xdr:row>
          <xdr:rowOff>152400</xdr:rowOff>
        </xdr:to>
        <xdr:sp macro="" textlink="">
          <xdr:nvSpPr>
            <xdr:cNvPr id="5924" name="Button 804" hidden="1">
              <a:extLst>
                <a:ext uri="{63B3BB69-23CF-44E3-9099-C40C66FF867C}">
                  <a14:compatExt spid="_x0000_s5924"/>
                </a:ext>
                <a:ext uri="{FF2B5EF4-FFF2-40B4-BE49-F238E27FC236}">
                  <a16:creationId xmlns:a16="http://schemas.microsoft.com/office/drawing/2014/main" id="{00000000-0008-0000-0100-000024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171</xdr:row>
          <xdr:rowOff>25400</xdr:rowOff>
        </xdr:from>
        <xdr:to>
          <xdr:col>1</xdr:col>
          <xdr:colOff>139700</xdr:colOff>
          <xdr:row>172</xdr:row>
          <xdr:rowOff>25400</xdr:rowOff>
        </xdr:to>
        <xdr:sp macro="" textlink="">
          <xdr:nvSpPr>
            <xdr:cNvPr id="5925" name="Button 805" hidden="1">
              <a:extLst>
                <a:ext uri="{63B3BB69-23CF-44E3-9099-C40C66FF867C}">
                  <a14:compatExt spid="_x0000_s5925"/>
                </a:ext>
                <a:ext uri="{FF2B5EF4-FFF2-40B4-BE49-F238E27FC236}">
                  <a16:creationId xmlns:a16="http://schemas.microsoft.com/office/drawing/2014/main" id="{00000000-0008-0000-0100-000025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127</xdr:row>
          <xdr:rowOff>0</xdr:rowOff>
        </xdr:from>
        <xdr:to>
          <xdr:col>1</xdr:col>
          <xdr:colOff>139700</xdr:colOff>
          <xdr:row>128</xdr:row>
          <xdr:rowOff>0</xdr:rowOff>
        </xdr:to>
        <xdr:sp macro="" textlink="">
          <xdr:nvSpPr>
            <xdr:cNvPr id="5926" name="Button 806" hidden="1">
              <a:extLst>
                <a:ext uri="{63B3BB69-23CF-44E3-9099-C40C66FF867C}">
                  <a14:compatExt spid="_x0000_s5926"/>
                </a:ext>
                <a:ext uri="{FF2B5EF4-FFF2-40B4-BE49-F238E27FC236}">
                  <a16:creationId xmlns:a16="http://schemas.microsoft.com/office/drawing/2014/main" id="{00000000-0008-0000-0100-000026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254000</xdr:colOff>
          <xdr:row>3432</xdr:row>
          <xdr:rowOff>25400</xdr:rowOff>
        </xdr:from>
        <xdr:to>
          <xdr:col>2</xdr:col>
          <xdr:colOff>190500</xdr:colOff>
          <xdr:row>3433</xdr:row>
          <xdr:rowOff>0</xdr:rowOff>
        </xdr:to>
        <xdr:sp macro="" textlink="">
          <xdr:nvSpPr>
            <xdr:cNvPr id="5949" name="Button 829" hidden="1">
              <a:extLst>
                <a:ext uri="{63B3BB69-23CF-44E3-9099-C40C66FF867C}">
                  <a14:compatExt spid="_x0000_s5949"/>
                </a:ext>
                <a:ext uri="{FF2B5EF4-FFF2-40B4-BE49-F238E27FC236}">
                  <a16:creationId xmlns:a16="http://schemas.microsoft.com/office/drawing/2014/main" id="{00000000-0008-0000-0100-00003D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Asprin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414</xdr:row>
          <xdr:rowOff>12700</xdr:rowOff>
        </xdr:from>
        <xdr:to>
          <xdr:col>2</xdr:col>
          <xdr:colOff>254000</xdr:colOff>
          <xdr:row>415</xdr:row>
          <xdr:rowOff>38100</xdr:rowOff>
        </xdr:to>
        <xdr:sp macro="" textlink="">
          <xdr:nvSpPr>
            <xdr:cNvPr id="5955" name="Button 835" hidden="1">
              <a:extLst>
                <a:ext uri="{63B3BB69-23CF-44E3-9099-C40C66FF867C}">
                  <a14:compatExt spid="_x0000_s5955"/>
                </a:ext>
                <a:ext uri="{FF2B5EF4-FFF2-40B4-BE49-F238E27FC236}">
                  <a16:creationId xmlns:a16="http://schemas.microsoft.com/office/drawing/2014/main" id="{00000000-0008-0000-0100-000043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711200</xdr:colOff>
          <xdr:row>561</xdr:row>
          <xdr:rowOff>12700</xdr:rowOff>
        </xdr:from>
        <xdr:to>
          <xdr:col>4</xdr:col>
          <xdr:colOff>139700</xdr:colOff>
          <xdr:row>561</xdr:row>
          <xdr:rowOff>203200</xdr:rowOff>
        </xdr:to>
        <xdr:sp macro="" textlink="">
          <xdr:nvSpPr>
            <xdr:cNvPr id="5957" name="Button 837" hidden="1">
              <a:extLst>
                <a:ext uri="{63B3BB69-23CF-44E3-9099-C40C66FF867C}">
                  <a14:compatExt spid="_x0000_s5957"/>
                </a:ext>
                <a:ext uri="{FF2B5EF4-FFF2-40B4-BE49-F238E27FC236}">
                  <a16:creationId xmlns:a16="http://schemas.microsoft.com/office/drawing/2014/main" id="{00000000-0008-0000-0100-000045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76200</xdr:rowOff>
        </xdr:from>
        <xdr:to>
          <xdr:col>5</xdr:col>
          <xdr:colOff>419100</xdr:colOff>
          <xdr:row>25</xdr:row>
          <xdr:rowOff>114300</xdr:rowOff>
        </xdr:to>
        <xdr:sp macro="" textlink="">
          <xdr:nvSpPr>
            <xdr:cNvPr id="5958" name="Button 838" hidden="1">
              <a:extLst>
                <a:ext uri="{63B3BB69-23CF-44E3-9099-C40C66FF867C}">
                  <a14:compatExt spid="_x0000_s5958"/>
                </a:ext>
                <a:ext uri="{FF2B5EF4-FFF2-40B4-BE49-F238E27FC236}">
                  <a16:creationId xmlns:a16="http://schemas.microsoft.com/office/drawing/2014/main" id="{00000000-0008-0000-0100-000046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3315</xdr:row>
          <xdr:rowOff>12700</xdr:rowOff>
        </xdr:from>
        <xdr:to>
          <xdr:col>3</xdr:col>
          <xdr:colOff>63500</xdr:colOff>
          <xdr:row>3316</xdr:row>
          <xdr:rowOff>50800</xdr:rowOff>
        </xdr:to>
        <xdr:sp macro="" textlink="">
          <xdr:nvSpPr>
            <xdr:cNvPr id="5960" name="Button 840" hidden="1">
              <a:extLst>
                <a:ext uri="{63B3BB69-23CF-44E3-9099-C40C66FF867C}">
                  <a14:compatExt spid="_x0000_s5960"/>
                </a:ext>
                <a:ext uri="{FF2B5EF4-FFF2-40B4-BE49-F238E27FC236}">
                  <a16:creationId xmlns:a16="http://schemas.microsoft.com/office/drawing/2014/main" id="{00000000-0008-0000-0100-0000481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3435</xdr:row>
          <xdr:rowOff>12700</xdr:rowOff>
        </xdr:from>
        <xdr:to>
          <xdr:col>2</xdr:col>
          <xdr:colOff>139700</xdr:colOff>
          <xdr:row>3435</xdr:row>
          <xdr:rowOff>177800</xdr:rowOff>
        </xdr:to>
        <xdr:sp macro="" textlink="">
          <xdr:nvSpPr>
            <xdr:cNvPr id="5962" name="Button 842" hidden="1">
              <a:extLst>
                <a:ext uri="{63B3BB69-23CF-44E3-9099-C40C66FF867C}">
                  <a14:compatExt spid="_x0000_s5962"/>
                </a:ext>
                <a:ext uri="{FF2B5EF4-FFF2-40B4-BE49-F238E27FC236}">
                  <a16:creationId xmlns:a16="http://schemas.microsoft.com/office/drawing/2014/main" id="{00000000-0008-0000-0100-00004A17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pitchFamily="2" charset="0"/>
                  <a:cs typeface="Calibri" pitchFamily="2" charset="0"/>
                </a:rPr>
                <a:t>EIDS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25400</xdr:rowOff>
        </xdr:from>
        <xdr:to>
          <xdr:col>1</xdr:col>
          <xdr:colOff>152400</xdr:colOff>
          <xdr:row>2</xdr:row>
          <xdr:rowOff>38100</xdr:rowOff>
        </xdr:to>
        <xdr:sp macro="" textlink="">
          <xdr:nvSpPr>
            <xdr:cNvPr id="9219" name="Button 3" descr="Reset"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8</xdr:row>
          <xdr:rowOff>25400</xdr:rowOff>
        </xdr:from>
        <xdr:to>
          <xdr:col>6</xdr:col>
          <xdr:colOff>482600</xdr:colOff>
          <xdr:row>9</xdr:row>
          <xdr:rowOff>12700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12700</xdr:rowOff>
        </xdr:from>
        <xdr:to>
          <xdr:col>6</xdr:col>
          <xdr:colOff>508000</xdr:colOff>
          <xdr:row>10</xdr:row>
          <xdr:rowOff>25400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11</xdr:row>
          <xdr:rowOff>25400</xdr:rowOff>
        </xdr:from>
        <xdr:to>
          <xdr:col>6</xdr:col>
          <xdr:colOff>482600</xdr:colOff>
          <xdr:row>12</xdr:row>
          <xdr:rowOff>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25400</xdr:rowOff>
        </xdr:from>
        <xdr:to>
          <xdr:col>6</xdr:col>
          <xdr:colOff>482600</xdr:colOff>
          <xdr:row>12</xdr:row>
          <xdr:rowOff>190500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12700</xdr:rowOff>
        </xdr:from>
        <xdr:to>
          <xdr:col>6</xdr:col>
          <xdr:colOff>482600</xdr:colOff>
          <xdr:row>13</xdr:row>
          <xdr:rowOff>190500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25400</xdr:rowOff>
        </xdr:from>
        <xdr:to>
          <xdr:col>6</xdr:col>
          <xdr:colOff>533400</xdr:colOff>
          <xdr:row>15</xdr:row>
          <xdr:rowOff>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15</xdr:row>
          <xdr:rowOff>0</xdr:rowOff>
        </xdr:from>
        <xdr:to>
          <xdr:col>6</xdr:col>
          <xdr:colOff>520700</xdr:colOff>
          <xdr:row>16</xdr:row>
          <xdr:rowOff>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25400</xdr:rowOff>
        </xdr:from>
        <xdr:to>
          <xdr:col>6</xdr:col>
          <xdr:colOff>495300</xdr:colOff>
          <xdr:row>17</xdr:row>
          <xdr:rowOff>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12700</xdr:rowOff>
        </xdr:from>
        <xdr:to>
          <xdr:col>6</xdr:col>
          <xdr:colOff>520700</xdr:colOff>
          <xdr:row>18</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12700</xdr:rowOff>
        </xdr:from>
        <xdr:to>
          <xdr:col>6</xdr:col>
          <xdr:colOff>482600</xdr:colOff>
          <xdr:row>19</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25400</xdr:rowOff>
        </xdr:from>
        <xdr:to>
          <xdr:col>6</xdr:col>
          <xdr:colOff>546100</xdr:colOff>
          <xdr:row>19</xdr:row>
          <xdr:rowOff>177800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20</xdr:row>
          <xdr:rowOff>12700</xdr:rowOff>
        </xdr:from>
        <xdr:to>
          <xdr:col>6</xdr:col>
          <xdr:colOff>533400</xdr:colOff>
          <xdr:row>21</xdr:row>
          <xdr:rowOff>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12700</xdr:rowOff>
        </xdr:from>
        <xdr:to>
          <xdr:col>6</xdr:col>
          <xdr:colOff>444500</xdr:colOff>
          <xdr:row>21</xdr:row>
          <xdr:rowOff>177800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22</xdr:row>
          <xdr:rowOff>25400</xdr:rowOff>
        </xdr:from>
        <xdr:to>
          <xdr:col>6</xdr:col>
          <xdr:colOff>520700</xdr:colOff>
          <xdr:row>23</xdr:row>
          <xdr:rowOff>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8</xdr:row>
          <xdr:rowOff>12700</xdr:rowOff>
        </xdr:from>
        <xdr:to>
          <xdr:col>7</xdr:col>
          <xdr:colOff>457200</xdr:colOff>
          <xdr:row>9</xdr:row>
          <xdr:rowOff>12700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9</xdr:row>
          <xdr:rowOff>12700</xdr:rowOff>
        </xdr:from>
        <xdr:to>
          <xdr:col>7</xdr:col>
          <xdr:colOff>444500</xdr:colOff>
          <xdr:row>10</xdr:row>
          <xdr:rowOff>12700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11</xdr:row>
          <xdr:rowOff>25400</xdr:rowOff>
        </xdr:from>
        <xdr:to>
          <xdr:col>7</xdr:col>
          <xdr:colOff>469900</xdr:colOff>
          <xdr:row>12</xdr:row>
          <xdr:rowOff>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3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12</xdr:row>
          <xdr:rowOff>12700</xdr:rowOff>
        </xdr:from>
        <xdr:to>
          <xdr:col>7</xdr:col>
          <xdr:colOff>444500</xdr:colOff>
          <xdr:row>12</xdr:row>
          <xdr:rowOff>190500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12700</xdr:rowOff>
        </xdr:from>
        <xdr:to>
          <xdr:col>7</xdr:col>
          <xdr:colOff>508000</xdr:colOff>
          <xdr:row>13</xdr:row>
          <xdr:rowOff>190500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14</xdr:row>
          <xdr:rowOff>12700</xdr:rowOff>
        </xdr:from>
        <xdr:to>
          <xdr:col>7</xdr:col>
          <xdr:colOff>482600</xdr:colOff>
          <xdr:row>14</xdr:row>
          <xdr:rowOff>190500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15</xdr:row>
          <xdr:rowOff>25400</xdr:rowOff>
        </xdr:from>
        <xdr:to>
          <xdr:col>7</xdr:col>
          <xdr:colOff>482600</xdr:colOff>
          <xdr:row>16</xdr:row>
          <xdr:rowOff>12700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16</xdr:row>
          <xdr:rowOff>12700</xdr:rowOff>
        </xdr:from>
        <xdr:to>
          <xdr:col>7</xdr:col>
          <xdr:colOff>482600</xdr:colOff>
          <xdr:row>17</xdr:row>
          <xdr:rowOff>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17</xdr:row>
          <xdr:rowOff>0</xdr:rowOff>
        </xdr:from>
        <xdr:to>
          <xdr:col>7</xdr:col>
          <xdr:colOff>495300</xdr:colOff>
          <xdr:row>17</xdr:row>
          <xdr:rowOff>190500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18</xdr:row>
          <xdr:rowOff>12700</xdr:rowOff>
        </xdr:from>
        <xdr:to>
          <xdr:col>7</xdr:col>
          <xdr:colOff>495300</xdr:colOff>
          <xdr:row>18</xdr:row>
          <xdr:rowOff>177800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300-00001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19</xdr:row>
          <xdr:rowOff>25400</xdr:rowOff>
        </xdr:from>
        <xdr:to>
          <xdr:col>7</xdr:col>
          <xdr:colOff>444500</xdr:colOff>
          <xdr:row>20</xdr:row>
          <xdr:rowOff>12700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20</xdr:row>
          <xdr:rowOff>25400</xdr:rowOff>
        </xdr:from>
        <xdr:to>
          <xdr:col>7</xdr:col>
          <xdr:colOff>508000</xdr:colOff>
          <xdr:row>21</xdr:row>
          <xdr:rowOff>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300-00002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21</xdr:row>
          <xdr:rowOff>12700</xdr:rowOff>
        </xdr:from>
        <xdr:to>
          <xdr:col>7</xdr:col>
          <xdr:colOff>508000</xdr:colOff>
          <xdr:row>21</xdr:row>
          <xdr:rowOff>190500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300-00002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22</xdr:row>
          <xdr:rowOff>0</xdr:rowOff>
        </xdr:from>
        <xdr:to>
          <xdr:col>7</xdr:col>
          <xdr:colOff>482600</xdr:colOff>
          <xdr:row>22</xdr:row>
          <xdr:rowOff>190500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300-00002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723900</xdr:colOff>
          <xdr:row>27</xdr:row>
          <xdr:rowOff>12700</xdr:rowOff>
        </xdr:from>
        <xdr:to>
          <xdr:col>5</xdr:col>
          <xdr:colOff>12700</xdr:colOff>
          <xdr:row>28</xdr:row>
          <xdr:rowOff>12700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300-00002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6</xdr:col>
          <xdr:colOff>508000</xdr:colOff>
          <xdr:row>51</xdr:row>
          <xdr:rowOff>177800</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300-00002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12700</xdr:rowOff>
        </xdr:from>
        <xdr:to>
          <xdr:col>7</xdr:col>
          <xdr:colOff>482600</xdr:colOff>
          <xdr:row>51</xdr:row>
          <xdr:rowOff>165100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300-00002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59</xdr:row>
          <xdr:rowOff>25400</xdr:rowOff>
        </xdr:from>
        <xdr:to>
          <xdr:col>6</xdr:col>
          <xdr:colOff>495300</xdr:colOff>
          <xdr:row>60</xdr:row>
          <xdr:rowOff>12700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60</xdr:row>
          <xdr:rowOff>25400</xdr:rowOff>
        </xdr:from>
        <xdr:to>
          <xdr:col>6</xdr:col>
          <xdr:colOff>457200</xdr:colOff>
          <xdr:row>61</xdr:row>
          <xdr:rowOff>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59</xdr:row>
          <xdr:rowOff>12700</xdr:rowOff>
        </xdr:from>
        <xdr:to>
          <xdr:col>7</xdr:col>
          <xdr:colOff>520700</xdr:colOff>
          <xdr:row>59</xdr:row>
          <xdr:rowOff>177800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300-00002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60</xdr:row>
          <xdr:rowOff>12700</xdr:rowOff>
        </xdr:from>
        <xdr:to>
          <xdr:col>7</xdr:col>
          <xdr:colOff>508000</xdr:colOff>
          <xdr:row>60</xdr:row>
          <xdr:rowOff>177800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300-00002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79</xdr:row>
          <xdr:rowOff>25400</xdr:rowOff>
        </xdr:from>
        <xdr:to>
          <xdr:col>6</xdr:col>
          <xdr:colOff>457200</xdr:colOff>
          <xdr:row>79</xdr:row>
          <xdr:rowOff>177800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79</xdr:row>
          <xdr:rowOff>0</xdr:rowOff>
        </xdr:from>
        <xdr:to>
          <xdr:col>7</xdr:col>
          <xdr:colOff>457200</xdr:colOff>
          <xdr:row>79</xdr:row>
          <xdr:rowOff>177800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711200</xdr:colOff>
          <xdr:row>82</xdr:row>
          <xdr:rowOff>228600</xdr:rowOff>
        </xdr:from>
        <xdr:to>
          <xdr:col>5</xdr:col>
          <xdr:colOff>0</xdr:colOff>
          <xdr:row>84</xdr:row>
          <xdr:rowOff>12700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300-00002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736600</xdr:colOff>
          <xdr:row>65</xdr:row>
          <xdr:rowOff>177800</xdr:rowOff>
        </xdr:from>
        <xdr:to>
          <xdr:col>5</xdr:col>
          <xdr:colOff>12700</xdr:colOff>
          <xdr:row>67</xdr:row>
          <xdr:rowOff>12700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300-00002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355600</xdr:colOff>
          <xdr:row>10</xdr:row>
          <xdr:rowOff>0</xdr:rowOff>
        </xdr:from>
        <xdr:to>
          <xdr:col>6</xdr:col>
          <xdr:colOff>0</xdr:colOff>
          <xdr:row>11</xdr:row>
          <xdr:rowOff>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300-00002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25400</xdr:rowOff>
        </xdr:from>
        <xdr:to>
          <xdr:col>6</xdr:col>
          <xdr:colOff>444500</xdr:colOff>
          <xdr:row>11</xdr:row>
          <xdr:rowOff>12700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300-00002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10</xdr:row>
          <xdr:rowOff>25400</xdr:rowOff>
        </xdr:from>
        <xdr:to>
          <xdr:col>7</xdr:col>
          <xdr:colOff>444500</xdr:colOff>
          <xdr:row>11</xdr:row>
          <xdr:rowOff>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300-00003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9</xdr:row>
          <xdr:rowOff>12700</xdr:rowOff>
        </xdr:from>
        <xdr:to>
          <xdr:col>6</xdr:col>
          <xdr:colOff>533400</xdr:colOff>
          <xdr:row>9</xdr:row>
          <xdr:rowOff>177800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12700</xdr:rowOff>
        </xdr:from>
        <xdr:to>
          <xdr:col>7</xdr:col>
          <xdr:colOff>444500</xdr:colOff>
          <xdr:row>9</xdr:row>
          <xdr:rowOff>177800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12700</xdr:rowOff>
        </xdr:from>
        <xdr:to>
          <xdr:col>6</xdr:col>
          <xdr:colOff>508000</xdr:colOff>
          <xdr:row>11</xdr:row>
          <xdr:rowOff>12700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25400</xdr:colOff>
          <xdr:row>11</xdr:row>
          <xdr:rowOff>12700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4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6</xdr:col>
          <xdr:colOff>495300</xdr:colOff>
          <xdr:row>13</xdr:row>
          <xdr:rowOff>25400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12</xdr:row>
          <xdr:rowOff>0</xdr:rowOff>
        </xdr:from>
        <xdr:to>
          <xdr:col>7</xdr:col>
          <xdr:colOff>469900</xdr:colOff>
          <xdr:row>13</xdr:row>
          <xdr:rowOff>12700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4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622300</xdr:colOff>
          <xdr:row>12</xdr:row>
          <xdr:rowOff>177800</xdr:rowOff>
        </xdr:from>
        <xdr:to>
          <xdr:col>6</xdr:col>
          <xdr:colOff>76200</xdr:colOff>
          <xdr:row>14</xdr:row>
          <xdr:rowOff>12700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4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177800</xdr:rowOff>
        </xdr:from>
        <xdr:to>
          <xdr:col>6</xdr:col>
          <xdr:colOff>508000</xdr:colOff>
          <xdr:row>13</xdr:row>
          <xdr:rowOff>177800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4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13</xdr:row>
          <xdr:rowOff>25400</xdr:rowOff>
        </xdr:from>
        <xdr:to>
          <xdr:col>7</xdr:col>
          <xdr:colOff>444500</xdr:colOff>
          <xdr:row>14</xdr:row>
          <xdr:rowOff>25400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4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26</xdr:row>
          <xdr:rowOff>0</xdr:rowOff>
        </xdr:from>
        <xdr:to>
          <xdr:col>6</xdr:col>
          <xdr:colOff>88900</xdr:colOff>
          <xdr:row>27</xdr:row>
          <xdr:rowOff>25400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4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26</xdr:row>
          <xdr:rowOff>12700</xdr:rowOff>
        </xdr:from>
        <xdr:to>
          <xdr:col>6</xdr:col>
          <xdr:colOff>520700</xdr:colOff>
          <xdr:row>27</xdr:row>
          <xdr:rowOff>12700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4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26</xdr:row>
          <xdr:rowOff>25400</xdr:rowOff>
        </xdr:from>
        <xdr:to>
          <xdr:col>7</xdr:col>
          <xdr:colOff>431800</xdr:colOff>
          <xdr:row>27</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4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26</xdr:row>
          <xdr:rowOff>177800</xdr:rowOff>
        </xdr:from>
        <xdr:to>
          <xdr:col>6</xdr:col>
          <xdr:colOff>76200</xdr:colOff>
          <xdr:row>28</xdr:row>
          <xdr:rowOff>25400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4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27</xdr:row>
          <xdr:rowOff>12700</xdr:rowOff>
        </xdr:from>
        <xdr:to>
          <xdr:col>6</xdr:col>
          <xdr:colOff>482600</xdr:colOff>
          <xdr:row>28</xdr:row>
          <xdr:rowOff>12700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4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27</xdr:row>
          <xdr:rowOff>0</xdr:rowOff>
        </xdr:from>
        <xdr:to>
          <xdr:col>7</xdr:col>
          <xdr:colOff>444500</xdr:colOff>
          <xdr:row>28</xdr:row>
          <xdr:rowOff>12700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27</xdr:row>
          <xdr:rowOff>177800</xdr:rowOff>
        </xdr:from>
        <xdr:to>
          <xdr:col>6</xdr:col>
          <xdr:colOff>76200</xdr:colOff>
          <xdr:row>29</xdr:row>
          <xdr:rowOff>12700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400-00002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27</xdr:row>
          <xdr:rowOff>177800</xdr:rowOff>
        </xdr:from>
        <xdr:to>
          <xdr:col>6</xdr:col>
          <xdr:colOff>533400</xdr:colOff>
          <xdr:row>29</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4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28</xdr:row>
          <xdr:rowOff>25400</xdr:rowOff>
        </xdr:from>
        <xdr:to>
          <xdr:col>8</xdr:col>
          <xdr:colOff>50800</xdr:colOff>
          <xdr:row>29</xdr:row>
          <xdr:rowOff>12700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4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28</xdr:row>
          <xdr:rowOff>165100</xdr:rowOff>
        </xdr:from>
        <xdr:to>
          <xdr:col>6</xdr:col>
          <xdr:colOff>88900</xdr:colOff>
          <xdr:row>30</xdr:row>
          <xdr:rowOff>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4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482600</xdr:colOff>
          <xdr:row>30</xdr:row>
          <xdr:rowOff>25400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4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29</xdr:row>
          <xdr:rowOff>25400</xdr:rowOff>
        </xdr:from>
        <xdr:to>
          <xdr:col>7</xdr:col>
          <xdr:colOff>482600</xdr:colOff>
          <xdr:row>30</xdr:row>
          <xdr:rowOff>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4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29</xdr:row>
          <xdr:rowOff>177800</xdr:rowOff>
        </xdr:from>
        <xdr:to>
          <xdr:col>6</xdr:col>
          <xdr:colOff>88900</xdr:colOff>
          <xdr:row>31</xdr:row>
          <xdr:rowOff>12700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4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30</xdr:row>
          <xdr:rowOff>177800</xdr:rowOff>
        </xdr:from>
        <xdr:to>
          <xdr:col>6</xdr:col>
          <xdr:colOff>76200</xdr:colOff>
          <xdr:row>32</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4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32</xdr:row>
          <xdr:rowOff>0</xdr:rowOff>
        </xdr:from>
        <xdr:to>
          <xdr:col>6</xdr:col>
          <xdr:colOff>88900</xdr:colOff>
          <xdr:row>33</xdr:row>
          <xdr:rowOff>25400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4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33</xdr:row>
          <xdr:rowOff>0</xdr:rowOff>
        </xdr:from>
        <xdr:to>
          <xdr:col>6</xdr:col>
          <xdr:colOff>88900</xdr:colOff>
          <xdr:row>34</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4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34</xdr:row>
          <xdr:rowOff>0</xdr:rowOff>
        </xdr:from>
        <xdr:to>
          <xdr:col>6</xdr:col>
          <xdr:colOff>76200</xdr:colOff>
          <xdr:row>35</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4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34</xdr:row>
          <xdr:rowOff>177800</xdr:rowOff>
        </xdr:from>
        <xdr:to>
          <xdr:col>6</xdr:col>
          <xdr:colOff>76200</xdr:colOff>
          <xdr:row>36</xdr:row>
          <xdr:rowOff>25400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4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36</xdr:row>
          <xdr:rowOff>0</xdr:rowOff>
        </xdr:from>
        <xdr:to>
          <xdr:col>6</xdr:col>
          <xdr:colOff>76200</xdr:colOff>
          <xdr:row>37</xdr:row>
          <xdr:rowOff>25400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4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37</xdr:row>
          <xdr:rowOff>12700</xdr:rowOff>
        </xdr:from>
        <xdr:to>
          <xdr:col>6</xdr:col>
          <xdr:colOff>76200</xdr:colOff>
          <xdr:row>38</xdr:row>
          <xdr:rowOff>38100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4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37</xdr:row>
          <xdr:rowOff>177800</xdr:rowOff>
        </xdr:from>
        <xdr:to>
          <xdr:col>6</xdr:col>
          <xdr:colOff>88900</xdr:colOff>
          <xdr:row>39</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4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38</xdr:row>
          <xdr:rowOff>177800</xdr:rowOff>
        </xdr:from>
        <xdr:to>
          <xdr:col>6</xdr:col>
          <xdr:colOff>88900</xdr:colOff>
          <xdr:row>40</xdr:row>
          <xdr:rowOff>25400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39</xdr:row>
          <xdr:rowOff>177800</xdr:rowOff>
        </xdr:from>
        <xdr:to>
          <xdr:col>6</xdr:col>
          <xdr:colOff>88900</xdr:colOff>
          <xdr:row>41</xdr:row>
          <xdr:rowOff>25400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4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41</xdr:row>
          <xdr:rowOff>12700</xdr:rowOff>
        </xdr:from>
        <xdr:to>
          <xdr:col>6</xdr:col>
          <xdr:colOff>88900</xdr:colOff>
          <xdr:row>42</xdr:row>
          <xdr:rowOff>38100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4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42</xdr:row>
          <xdr:rowOff>0</xdr:rowOff>
        </xdr:from>
        <xdr:to>
          <xdr:col>6</xdr:col>
          <xdr:colOff>88900</xdr:colOff>
          <xdr:row>43</xdr:row>
          <xdr:rowOff>25400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4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42</xdr:row>
          <xdr:rowOff>177800</xdr:rowOff>
        </xdr:from>
        <xdr:to>
          <xdr:col>6</xdr:col>
          <xdr:colOff>88900</xdr:colOff>
          <xdr:row>44</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4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44</xdr:row>
          <xdr:rowOff>0</xdr:rowOff>
        </xdr:from>
        <xdr:to>
          <xdr:col>6</xdr:col>
          <xdr:colOff>76200</xdr:colOff>
          <xdr:row>45</xdr:row>
          <xdr:rowOff>25400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4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0</xdr:rowOff>
        </xdr:from>
        <xdr:to>
          <xdr:col>6</xdr:col>
          <xdr:colOff>520700</xdr:colOff>
          <xdr:row>30</xdr:row>
          <xdr:rowOff>177800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4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31</xdr:row>
          <xdr:rowOff>0</xdr:rowOff>
        </xdr:from>
        <xdr:to>
          <xdr:col>6</xdr:col>
          <xdr:colOff>520700</xdr:colOff>
          <xdr:row>31</xdr:row>
          <xdr:rowOff>177800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4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32</xdr:row>
          <xdr:rowOff>25400</xdr:rowOff>
        </xdr:from>
        <xdr:to>
          <xdr:col>6</xdr:col>
          <xdr:colOff>546100</xdr:colOff>
          <xdr:row>33</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4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33</xdr:row>
          <xdr:rowOff>12700</xdr:rowOff>
        </xdr:from>
        <xdr:to>
          <xdr:col>6</xdr:col>
          <xdr:colOff>546100</xdr:colOff>
          <xdr:row>34</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4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34</xdr:row>
          <xdr:rowOff>12700</xdr:rowOff>
        </xdr:from>
        <xdr:to>
          <xdr:col>6</xdr:col>
          <xdr:colOff>508000</xdr:colOff>
          <xdr:row>34</xdr:row>
          <xdr:rowOff>177800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4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35</xdr:row>
          <xdr:rowOff>12700</xdr:rowOff>
        </xdr:from>
        <xdr:to>
          <xdr:col>6</xdr:col>
          <xdr:colOff>558800</xdr:colOff>
          <xdr:row>35</xdr:row>
          <xdr:rowOff>165100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4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36</xdr:row>
          <xdr:rowOff>25400</xdr:rowOff>
        </xdr:from>
        <xdr:to>
          <xdr:col>6</xdr:col>
          <xdr:colOff>495300</xdr:colOff>
          <xdr:row>36</xdr:row>
          <xdr:rowOff>177800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4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37</xdr:row>
          <xdr:rowOff>0</xdr:rowOff>
        </xdr:from>
        <xdr:to>
          <xdr:col>6</xdr:col>
          <xdr:colOff>520700</xdr:colOff>
          <xdr:row>38</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4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38</xdr:row>
          <xdr:rowOff>25400</xdr:rowOff>
        </xdr:from>
        <xdr:to>
          <xdr:col>6</xdr:col>
          <xdr:colOff>533400</xdr:colOff>
          <xdr:row>38</xdr:row>
          <xdr:rowOff>177800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4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39</xdr:row>
          <xdr:rowOff>12700</xdr:rowOff>
        </xdr:from>
        <xdr:to>
          <xdr:col>6</xdr:col>
          <xdr:colOff>533400</xdr:colOff>
          <xdr:row>39</xdr:row>
          <xdr:rowOff>177800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4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40</xdr:row>
          <xdr:rowOff>25400</xdr:rowOff>
        </xdr:from>
        <xdr:to>
          <xdr:col>6</xdr:col>
          <xdr:colOff>520700</xdr:colOff>
          <xdr:row>41</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4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41</xdr:row>
          <xdr:rowOff>25400</xdr:rowOff>
        </xdr:from>
        <xdr:to>
          <xdr:col>6</xdr:col>
          <xdr:colOff>533400</xdr:colOff>
          <xdr:row>41</xdr:row>
          <xdr:rowOff>177800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4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42</xdr:row>
          <xdr:rowOff>25400</xdr:rowOff>
        </xdr:from>
        <xdr:to>
          <xdr:col>6</xdr:col>
          <xdr:colOff>482600</xdr:colOff>
          <xdr:row>42</xdr:row>
          <xdr:rowOff>177800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4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43</xdr:row>
          <xdr:rowOff>25400</xdr:rowOff>
        </xdr:from>
        <xdr:to>
          <xdr:col>6</xdr:col>
          <xdr:colOff>508000</xdr:colOff>
          <xdr:row>43</xdr:row>
          <xdr:rowOff>177800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4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44</xdr:row>
          <xdr:rowOff>12700</xdr:rowOff>
        </xdr:from>
        <xdr:to>
          <xdr:col>6</xdr:col>
          <xdr:colOff>482600</xdr:colOff>
          <xdr:row>44</xdr:row>
          <xdr:rowOff>177800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4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30</xdr:row>
          <xdr:rowOff>38100</xdr:rowOff>
        </xdr:from>
        <xdr:to>
          <xdr:col>7</xdr:col>
          <xdr:colOff>482600</xdr:colOff>
          <xdr:row>30</xdr:row>
          <xdr:rowOff>177800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4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31</xdr:row>
          <xdr:rowOff>0</xdr:rowOff>
        </xdr:from>
        <xdr:to>
          <xdr:col>7</xdr:col>
          <xdr:colOff>482600</xdr:colOff>
          <xdr:row>32</xdr:row>
          <xdr:rowOff>12700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4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32</xdr:row>
          <xdr:rowOff>25400</xdr:rowOff>
        </xdr:from>
        <xdr:to>
          <xdr:col>8</xdr:col>
          <xdr:colOff>12700</xdr:colOff>
          <xdr:row>33</xdr:row>
          <xdr:rowOff>12700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400-00004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33</xdr:row>
          <xdr:rowOff>0</xdr:rowOff>
        </xdr:from>
        <xdr:to>
          <xdr:col>7</xdr:col>
          <xdr:colOff>495300</xdr:colOff>
          <xdr:row>34</xdr:row>
          <xdr:rowOff>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400-00004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33</xdr:row>
          <xdr:rowOff>177800</xdr:rowOff>
        </xdr:from>
        <xdr:to>
          <xdr:col>8</xdr:col>
          <xdr:colOff>0</xdr:colOff>
          <xdr:row>35</xdr:row>
          <xdr:rowOff>12700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400-00004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34</xdr:row>
          <xdr:rowOff>177800</xdr:rowOff>
        </xdr:from>
        <xdr:to>
          <xdr:col>7</xdr:col>
          <xdr:colOff>482600</xdr:colOff>
          <xdr:row>36</xdr:row>
          <xdr:rowOff>12700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400-00004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35</xdr:row>
          <xdr:rowOff>177800</xdr:rowOff>
        </xdr:from>
        <xdr:to>
          <xdr:col>8</xdr:col>
          <xdr:colOff>12700</xdr:colOff>
          <xdr:row>37</xdr:row>
          <xdr:rowOff>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400-00004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37</xdr:row>
          <xdr:rowOff>12700</xdr:rowOff>
        </xdr:from>
        <xdr:to>
          <xdr:col>7</xdr:col>
          <xdr:colOff>495300</xdr:colOff>
          <xdr:row>38</xdr:row>
          <xdr:rowOff>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400-00004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38</xdr:row>
          <xdr:rowOff>0</xdr:rowOff>
        </xdr:from>
        <xdr:to>
          <xdr:col>7</xdr:col>
          <xdr:colOff>482600</xdr:colOff>
          <xdr:row>38</xdr:row>
          <xdr:rowOff>177800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400-00004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39</xdr:row>
          <xdr:rowOff>12700</xdr:rowOff>
        </xdr:from>
        <xdr:to>
          <xdr:col>7</xdr:col>
          <xdr:colOff>482600</xdr:colOff>
          <xdr:row>40</xdr:row>
          <xdr:rowOff>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4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177800</xdr:rowOff>
        </xdr:from>
        <xdr:to>
          <xdr:col>7</xdr:col>
          <xdr:colOff>457200</xdr:colOff>
          <xdr:row>41</xdr:row>
          <xdr:rowOff>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4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8</xdr:col>
          <xdr:colOff>0</xdr:colOff>
          <xdr:row>41</xdr:row>
          <xdr:rowOff>177800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4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177800</xdr:rowOff>
        </xdr:from>
        <xdr:to>
          <xdr:col>7</xdr:col>
          <xdr:colOff>482600</xdr:colOff>
          <xdr:row>42</xdr:row>
          <xdr:rowOff>177800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4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8</xdr:col>
          <xdr:colOff>0</xdr:colOff>
          <xdr:row>43</xdr:row>
          <xdr:rowOff>177800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4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25400</xdr:rowOff>
        </xdr:from>
        <xdr:to>
          <xdr:col>7</xdr:col>
          <xdr:colOff>482600</xdr:colOff>
          <xdr:row>45</xdr:row>
          <xdr:rowOff>12700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4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62</xdr:row>
          <xdr:rowOff>177800</xdr:rowOff>
        </xdr:from>
        <xdr:to>
          <xdr:col>6</xdr:col>
          <xdr:colOff>101600</xdr:colOff>
          <xdr:row>63</xdr:row>
          <xdr:rowOff>165100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4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63</xdr:row>
          <xdr:rowOff>177800</xdr:rowOff>
        </xdr:from>
        <xdr:to>
          <xdr:col>6</xdr:col>
          <xdr:colOff>114300</xdr:colOff>
          <xdr:row>65</xdr:row>
          <xdr:rowOff>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4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66</xdr:row>
          <xdr:rowOff>12700</xdr:rowOff>
        </xdr:from>
        <xdr:to>
          <xdr:col>6</xdr:col>
          <xdr:colOff>101600</xdr:colOff>
          <xdr:row>66</xdr:row>
          <xdr:rowOff>177800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4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61</xdr:row>
          <xdr:rowOff>25400</xdr:rowOff>
        </xdr:from>
        <xdr:to>
          <xdr:col>6</xdr:col>
          <xdr:colOff>533400</xdr:colOff>
          <xdr:row>62</xdr:row>
          <xdr:rowOff>25400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4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62</xdr:row>
          <xdr:rowOff>0</xdr:rowOff>
        </xdr:from>
        <xdr:to>
          <xdr:col>6</xdr:col>
          <xdr:colOff>533400</xdr:colOff>
          <xdr:row>63</xdr:row>
          <xdr:rowOff>12700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4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63</xdr:row>
          <xdr:rowOff>12700</xdr:rowOff>
        </xdr:from>
        <xdr:to>
          <xdr:col>6</xdr:col>
          <xdr:colOff>457200</xdr:colOff>
          <xdr:row>64</xdr:row>
          <xdr:rowOff>12700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4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63</xdr:row>
          <xdr:rowOff>177800</xdr:rowOff>
        </xdr:from>
        <xdr:to>
          <xdr:col>6</xdr:col>
          <xdr:colOff>546100</xdr:colOff>
          <xdr:row>64</xdr:row>
          <xdr:rowOff>177800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4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66</xdr:row>
          <xdr:rowOff>12700</xdr:rowOff>
        </xdr:from>
        <xdr:to>
          <xdr:col>6</xdr:col>
          <xdr:colOff>533400</xdr:colOff>
          <xdr:row>67</xdr:row>
          <xdr:rowOff>25400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4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61</xdr:row>
          <xdr:rowOff>25400</xdr:rowOff>
        </xdr:from>
        <xdr:to>
          <xdr:col>8</xdr:col>
          <xdr:colOff>12700</xdr:colOff>
          <xdr:row>62</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4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62</xdr:row>
          <xdr:rowOff>25400</xdr:rowOff>
        </xdr:from>
        <xdr:to>
          <xdr:col>8</xdr:col>
          <xdr:colOff>12700</xdr:colOff>
          <xdr:row>63</xdr:row>
          <xdr:rowOff>38100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4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63</xdr:row>
          <xdr:rowOff>25400</xdr:rowOff>
        </xdr:from>
        <xdr:to>
          <xdr:col>8</xdr:col>
          <xdr:colOff>0</xdr:colOff>
          <xdr:row>64</xdr:row>
          <xdr:rowOff>50800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4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64</xdr:row>
          <xdr:rowOff>25400</xdr:rowOff>
        </xdr:from>
        <xdr:to>
          <xdr:col>8</xdr:col>
          <xdr:colOff>38100</xdr:colOff>
          <xdr:row>65</xdr:row>
          <xdr:rowOff>25400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4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66</xdr:row>
          <xdr:rowOff>12700</xdr:rowOff>
        </xdr:from>
        <xdr:to>
          <xdr:col>8</xdr:col>
          <xdr:colOff>38100</xdr:colOff>
          <xdr:row>67</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4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79</xdr:row>
          <xdr:rowOff>0</xdr:rowOff>
        </xdr:from>
        <xdr:to>
          <xdr:col>6</xdr:col>
          <xdr:colOff>469900</xdr:colOff>
          <xdr:row>80</xdr:row>
          <xdr:rowOff>25400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4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80</xdr:row>
          <xdr:rowOff>12700</xdr:rowOff>
        </xdr:from>
        <xdr:to>
          <xdr:col>6</xdr:col>
          <xdr:colOff>495300</xdr:colOff>
          <xdr:row>81</xdr:row>
          <xdr:rowOff>38100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4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81</xdr:row>
          <xdr:rowOff>12700</xdr:rowOff>
        </xdr:from>
        <xdr:to>
          <xdr:col>6</xdr:col>
          <xdr:colOff>482600</xdr:colOff>
          <xdr:row>82</xdr:row>
          <xdr:rowOff>38100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4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81</xdr:row>
          <xdr:rowOff>177800</xdr:rowOff>
        </xdr:from>
        <xdr:to>
          <xdr:col>6</xdr:col>
          <xdr:colOff>508000</xdr:colOff>
          <xdr:row>83</xdr:row>
          <xdr:rowOff>25400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4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79</xdr:row>
          <xdr:rowOff>0</xdr:rowOff>
        </xdr:from>
        <xdr:to>
          <xdr:col>8</xdr:col>
          <xdr:colOff>0</xdr:colOff>
          <xdr:row>80</xdr:row>
          <xdr:rowOff>25400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4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80</xdr:row>
          <xdr:rowOff>0</xdr:rowOff>
        </xdr:from>
        <xdr:to>
          <xdr:col>8</xdr:col>
          <xdr:colOff>0</xdr:colOff>
          <xdr:row>81</xdr:row>
          <xdr:rowOff>25400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4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81</xdr:row>
          <xdr:rowOff>0</xdr:rowOff>
        </xdr:from>
        <xdr:to>
          <xdr:col>7</xdr:col>
          <xdr:colOff>444500</xdr:colOff>
          <xdr:row>82</xdr:row>
          <xdr:rowOff>25400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4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81</xdr:row>
          <xdr:rowOff>177800</xdr:rowOff>
        </xdr:from>
        <xdr:to>
          <xdr:col>7</xdr:col>
          <xdr:colOff>482600</xdr:colOff>
          <xdr:row>83</xdr:row>
          <xdr:rowOff>25400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4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596900</xdr:colOff>
          <xdr:row>11</xdr:row>
          <xdr:rowOff>12700</xdr:rowOff>
        </xdr:from>
        <xdr:to>
          <xdr:col>6</xdr:col>
          <xdr:colOff>76200</xdr:colOff>
          <xdr:row>12</xdr:row>
          <xdr:rowOff>12700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4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457200</xdr:colOff>
          <xdr:row>12</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4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11</xdr:row>
          <xdr:rowOff>25400</xdr:rowOff>
        </xdr:from>
        <xdr:to>
          <xdr:col>7</xdr:col>
          <xdr:colOff>444500</xdr:colOff>
          <xdr:row>12</xdr:row>
          <xdr:rowOff>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4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622300</xdr:colOff>
          <xdr:row>14</xdr:row>
          <xdr:rowOff>38100</xdr:rowOff>
        </xdr:from>
        <xdr:to>
          <xdr:col>6</xdr:col>
          <xdr:colOff>76200</xdr:colOff>
          <xdr:row>14</xdr:row>
          <xdr:rowOff>177800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4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38100</xdr:rowOff>
        </xdr:from>
        <xdr:to>
          <xdr:col>6</xdr:col>
          <xdr:colOff>482600</xdr:colOff>
          <xdr:row>15</xdr:row>
          <xdr:rowOff>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4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14</xdr:row>
          <xdr:rowOff>25400</xdr:rowOff>
        </xdr:from>
        <xdr:to>
          <xdr:col>7</xdr:col>
          <xdr:colOff>444500</xdr:colOff>
          <xdr:row>15</xdr:row>
          <xdr:rowOff>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4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9</xdr:row>
          <xdr:rowOff>12700</xdr:rowOff>
        </xdr:from>
        <xdr:to>
          <xdr:col>6</xdr:col>
          <xdr:colOff>533400</xdr:colOff>
          <xdr:row>9</xdr:row>
          <xdr:rowOff>177800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12700</xdr:rowOff>
        </xdr:from>
        <xdr:to>
          <xdr:col>7</xdr:col>
          <xdr:colOff>444500</xdr:colOff>
          <xdr:row>9</xdr:row>
          <xdr:rowOff>177800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12700</xdr:rowOff>
        </xdr:from>
        <xdr:to>
          <xdr:col>6</xdr:col>
          <xdr:colOff>508000</xdr:colOff>
          <xdr:row>11</xdr:row>
          <xdr:rowOff>12700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5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7</xdr:col>
          <xdr:colOff>520700</xdr:colOff>
          <xdr:row>11</xdr:row>
          <xdr:rowOff>12700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5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177800</xdr:rowOff>
        </xdr:from>
        <xdr:to>
          <xdr:col>6</xdr:col>
          <xdr:colOff>495300</xdr:colOff>
          <xdr:row>13</xdr:row>
          <xdr:rowOff>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5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12</xdr:row>
          <xdr:rowOff>0</xdr:rowOff>
        </xdr:from>
        <xdr:to>
          <xdr:col>7</xdr:col>
          <xdr:colOff>469900</xdr:colOff>
          <xdr:row>13</xdr:row>
          <xdr:rowOff>12700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5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622300</xdr:colOff>
          <xdr:row>12</xdr:row>
          <xdr:rowOff>177800</xdr:rowOff>
        </xdr:from>
        <xdr:to>
          <xdr:col>6</xdr:col>
          <xdr:colOff>0</xdr:colOff>
          <xdr:row>14</xdr:row>
          <xdr:rowOff>12700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5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177800</xdr:rowOff>
        </xdr:from>
        <xdr:to>
          <xdr:col>6</xdr:col>
          <xdr:colOff>508000</xdr:colOff>
          <xdr:row>13</xdr:row>
          <xdr:rowOff>177800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5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177800</xdr:rowOff>
        </xdr:from>
        <xdr:to>
          <xdr:col>7</xdr:col>
          <xdr:colOff>431800</xdr:colOff>
          <xdr:row>13</xdr:row>
          <xdr:rowOff>177800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28</xdr:row>
          <xdr:rowOff>177800</xdr:rowOff>
        </xdr:from>
        <xdr:to>
          <xdr:col>6</xdr:col>
          <xdr:colOff>12700</xdr:colOff>
          <xdr:row>30</xdr:row>
          <xdr:rowOff>25400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29</xdr:row>
          <xdr:rowOff>12700</xdr:rowOff>
        </xdr:from>
        <xdr:to>
          <xdr:col>6</xdr:col>
          <xdr:colOff>520700</xdr:colOff>
          <xdr:row>30</xdr:row>
          <xdr:rowOff>12700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29</xdr:row>
          <xdr:rowOff>25400</xdr:rowOff>
        </xdr:from>
        <xdr:to>
          <xdr:col>7</xdr:col>
          <xdr:colOff>431800</xdr:colOff>
          <xdr:row>30</xdr:row>
          <xdr:rowOff>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29</xdr:row>
          <xdr:rowOff>177800</xdr:rowOff>
        </xdr:from>
        <xdr:to>
          <xdr:col>6</xdr:col>
          <xdr:colOff>0</xdr:colOff>
          <xdr:row>31</xdr:row>
          <xdr:rowOff>25400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500-00001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30</xdr:row>
          <xdr:rowOff>12700</xdr:rowOff>
        </xdr:from>
        <xdr:to>
          <xdr:col>6</xdr:col>
          <xdr:colOff>482600</xdr:colOff>
          <xdr:row>31</xdr:row>
          <xdr:rowOff>12700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500-00001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30</xdr:row>
          <xdr:rowOff>0</xdr:rowOff>
        </xdr:from>
        <xdr:to>
          <xdr:col>7</xdr:col>
          <xdr:colOff>444500</xdr:colOff>
          <xdr:row>31</xdr:row>
          <xdr:rowOff>12700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500-00001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30</xdr:row>
          <xdr:rowOff>177800</xdr:rowOff>
        </xdr:from>
        <xdr:to>
          <xdr:col>6</xdr:col>
          <xdr:colOff>0</xdr:colOff>
          <xdr:row>32</xdr:row>
          <xdr:rowOff>12700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500-00001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30</xdr:row>
          <xdr:rowOff>177800</xdr:rowOff>
        </xdr:from>
        <xdr:to>
          <xdr:col>6</xdr:col>
          <xdr:colOff>533400</xdr:colOff>
          <xdr:row>32</xdr:row>
          <xdr:rowOff>0</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500-00001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31</xdr:row>
          <xdr:rowOff>25400</xdr:rowOff>
        </xdr:from>
        <xdr:to>
          <xdr:col>7</xdr:col>
          <xdr:colOff>558800</xdr:colOff>
          <xdr:row>32</xdr:row>
          <xdr:rowOff>12700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500-00001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31</xdr:row>
          <xdr:rowOff>165100</xdr:rowOff>
        </xdr:from>
        <xdr:to>
          <xdr:col>6</xdr:col>
          <xdr:colOff>12700</xdr:colOff>
          <xdr:row>33</xdr:row>
          <xdr:rowOff>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500-00001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32</xdr:row>
          <xdr:rowOff>12700</xdr:rowOff>
        </xdr:from>
        <xdr:to>
          <xdr:col>6</xdr:col>
          <xdr:colOff>482600</xdr:colOff>
          <xdr:row>33</xdr:row>
          <xdr:rowOff>25400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500-00001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32</xdr:row>
          <xdr:rowOff>25400</xdr:rowOff>
        </xdr:from>
        <xdr:to>
          <xdr:col>7</xdr:col>
          <xdr:colOff>482600</xdr:colOff>
          <xdr:row>33</xdr:row>
          <xdr:rowOff>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500-00001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32</xdr:row>
          <xdr:rowOff>177800</xdr:rowOff>
        </xdr:from>
        <xdr:to>
          <xdr:col>6</xdr:col>
          <xdr:colOff>12700</xdr:colOff>
          <xdr:row>34</xdr:row>
          <xdr:rowOff>12700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500-00001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33</xdr:row>
          <xdr:rowOff>177800</xdr:rowOff>
        </xdr:from>
        <xdr:to>
          <xdr:col>6</xdr:col>
          <xdr:colOff>0</xdr:colOff>
          <xdr:row>35</xdr:row>
          <xdr:rowOff>12700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500-00001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35</xdr:row>
          <xdr:rowOff>0</xdr:rowOff>
        </xdr:from>
        <xdr:to>
          <xdr:col>6</xdr:col>
          <xdr:colOff>12700</xdr:colOff>
          <xdr:row>36</xdr:row>
          <xdr:rowOff>25400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500-00001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36</xdr:row>
          <xdr:rowOff>0</xdr:rowOff>
        </xdr:from>
        <xdr:to>
          <xdr:col>6</xdr:col>
          <xdr:colOff>12700</xdr:colOff>
          <xdr:row>37</xdr:row>
          <xdr:rowOff>25400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37</xdr:row>
          <xdr:rowOff>0</xdr:rowOff>
        </xdr:from>
        <xdr:to>
          <xdr:col>6</xdr:col>
          <xdr:colOff>0</xdr:colOff>
          <xdr:row>38</xdr:row>
          <xdr:rowOff>25400</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500-00001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37</xdr:row>
          <xdr:rowOff>177800</xdr:rowOff>
        </xdr:from>
        <xdr:to>
          <xdr:col>6</xdr:col>
          <xdr:colOff>0</xdr:colOff>
          <xdr:row>39</xdr:row>
          <xdr:rowOff>25400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500-00001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33</xdr:row>
          <xdr:rowOff>0</xdr:rowOff>
        </xdr:from>
        <xdr:to>
          <xdr:col>6</xdr:col>
          <xdr:colOff>520700</xdr:colOff>
          <xdr:row>33</xdr:row>
          <xdr:rowOff>177800</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500-00002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34</xdr:row>
          <xdr:rowOff>0</xdr:rowOff>
        </xdr:from>
        <xdr:to>
          <xdr:col>6</xdr:col>
          <xdr:colOff>520700</xdr:colOff>
          <xdr:row>34</xdr:row>
          <xdr:rowOff>177800</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500-00002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35</xdr:row>
          <xdr:rowOff>0</xdr:rowOff>
        </xdr:from>
        <xdr:to>
          <xdr:col>6</xdr:col>
          <xdr:colOff>520700</xdr:colOff>
          <xdr:row>35</xdr:row>
          <xdr:rowOff>177800</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500-00002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36</xdr:row>
          <xdr:rowOff>12700</xdr:rowOff>
        </xdr:from>
        <xdr:to>
          <xdr:col>6</xdr:col>
          <xdr:colOff>546100</xdr:colOff>
          <xdr:row>37</xdr:row>
          <xdr:rowOff>12700</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500-00002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37</xdr:row>
          <xdr:rowOff>12700</xdr:rowOff>
        </xdr:from>
        <xdr:to>
          <xdr:col>6</xdr:col>
          <xdr:colOff>508000</xdr:colOff>
          <xdr:row>37</xdr:row>
          <xdr:rowOff>177800</xdr:rowOff>
        </xdr:to>
        <xdr:sp macro="" textlink="">
          <xdr:nvSpPr>
            <xdr:cNvPr id="3116" name="Check Box 44" hidden="1">
              <a:extLst>
                <a:ext uri="{63B3BB69-23CF-44E3-9099-C40C66FF867C}">
                  <a14:compatExt spid="_x0000_s3116"/>
                </a:ext>
                <a:ext uri="{FF2B5EF4-FFF2-40B4-BE49-F238E27FC236}">
                  <a16:creationId xmlns:a16="http://schemas.microsoft.com/office/drawing/2014/main" id="{00000000-0008-0000-0500-00002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38</xdr:row>
          <xdr:rowOff>12700</xdr:rowOff>
        </xdr:from>
        <xdr:to>
          <xdr:col>6</xdr:col>
          <xdr:colOff>558800</xdr:colOff>
          <xdr:row>38</xdr:row>
          <xdr:rowOff>165100</xdr:rowOff>
        </xdr:to>
        <xdr:sp macro="" textlink="">
          <xdr:nvSpPr>
            <xdr:cNvPr id="3117" name="Check Box 45" hidden="1">
              <a:extLst>
                <a:ext uri="{63B3BB69-23CF-44E3-9099-C40C66FF867C}">
                  <a14:compatExt spid="_x0000_s3117"/>
                </a:ext>
                <a:ext uri="{FF2B5EF4-FFF2-40B4-BE49-F238E27FC236}">
                  <a16:creationId xmlns:a16="http://schemas.microsoft.com/office/drawing/2014/main" id="{00000000-0008-0000-0500-00002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33</xdr:row>
          <xdr:rowOff>38100</xdr:rowOff>
        </xdr:from>
        <xdr:to>
          <xdr:col>7</xdr:col>
          <xdr:colOff>482600</xdr:colOff>
          <xdr:row>33</xdr:row>
          <xdr:rowOff>177800</xdr:rowOff>
        </xdr:to>
        <xdr:sp macro="" textlink="">
          <xdr:nvSpPr>
            <xdr:cNvPr id="3127" name="Check Box 55" hidden="1">
              <a:extLst>
                <a:ext uri="{63B3BB69-23CF-44E3-9099-C40C66FF867C}">
                  <a14:compatExt spid="_x0000_s3127"/>
                </a:ext>
                <a:ext uri="{FF2B5EF4-FFF2-40B4-BE49-F238E27FC236}">
                  <a16:creationId xmlns:a16="http://schemas.microsoft.com/office/drawing/2014/main" id="{00000000-0008-0000-0500-00003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34</xdr:row>
          <xdr:rowOff>0</xdr:rowOff>
        </xdr:from>
        <xdr:to>
          <xdr:col>7</xdr:col>
          <xdr:colOff>482600</xdr:colOff>
          <xdr:row>35</xdr:row>
          <xdr:rowOff>12700</xdr:rowOff>
        </xdr:to>
        <xdr:sp macro="" textlink="">
          <xdr:nvSpPr>
            <xdr:cNvPr id="3128" name="Check Box 56" hidden="1">
              <a:extLst>
                <a:ext uri="{63B3BB69-23CF-44E3-9099-C40C66FF867C}">
                  <a14:compatExt spid="_x0000_s3128"/>
                </a:ext>
                <a:ext uri="{FF2B5EF4-FFF2-40B4-BE49-F238E27FC236}">
                  <a16:creationId xmlns:a16="http://schemas.microsoft.com/office/drawing/2014/main" id="{00000000-0008-0000-0500-00003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35</xdr:row>
          <xdr:rowOff>25400</xdr:rowOff>
        </xdr:from>
        <xdr:to>
          <xdr:col>7</xdr:col>
          <xdr:colOff>520700</xdr:colOff>
          <xdr:row>36</xdr:row>
          <xdr:rowOff>12700</xdr:rowOff>
        </xdr:to>
        <xdr:sp macro="" textlink="">
          <xdr:nvSpPr>
            <xdr:cNvPr id="3129" name="Check Box 57" hidden="1">
              <a:extLst>
                <a:ext uri="{63B3BB69-23CF-44E3-9099-C40C66FF867C}">
                  <a14:compatExt spid="_x0000_s3129"/>
                </a:ext>
                <a:ext uri="{FF2B5EF4-FFF2-40B4-BE49-F238E27FC236}">
                  <a16:creationId xmlns:a16="http://schemas.microsoft.com/office/drawing/2014/main" id="{00000000-0008-0000-0500-00003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36</xdr:row>
          <xdr:rowOff>12700</xdr:rowOff>
        </xdr:from>
        <xdr:to>
          <xdr:col>7</xdr:col>
          <xdr:colOff>482600</xdr:colOff>
          <xdr:row>37</xdr:row>
          <xdr:rowOff>12700</xdr:rowOff>
        </xdr:to>
        <xdr:sp macro="" textlink="">
          <xdr:nvSpPr>
            <xdr:cNvPr id="3130" name="Check Box 58" hidden="1">
              <a:extLst>
                <a:ext uri="{63B3BB69-23CF-44E3-9099-C40C66FF867C}">
                  <a14:compatExt spid="_x0000_s3130"/>
                </a:ext>
                <a:ext uri="{FF2B5EF4-FFF2-40B4-BE49-F238E27FC236}">
                  <a16:creationId xmlns:a16="http://schemas.microsoft.com/office/drawing/2014/main" id="{00000000-0008-0000-0500-00003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37</xdr:row>
          <xdr:rowOff>0</xdr:rowOff>
        </xdr:from>
        <xdr:to>
          <xdr:col>7</xdr:col>
          <xdr:colOff>482600</xdr:colOff>
          <xdr:row>38</xdr:row>
          <xdr:rowOff>25400</xdr:rowOff>
        </xdr:to>
        <xdr:sp macro="" textlink="">
          <xdr:nvSpPr>
            <xdr:cNvPr id="3131" name="Check Box 59" hidden="1">
              <a:extLst>
                <a:ext uri="{63B3BB69-23CF-44E3-9099-C40C66FF867C}">
                  <a14:compatExt spid="_x0000_s3131"/>
                </a:ext>
                <a:ext uri="{FF2B5EF4-FFF2-40B4-BE49-F238E27FC236}">
                  <a16:creationId xmlns:a16="http://schemas.microsoft.com/office/drawing/2014/main" id="{00000000-0008-0000-0500-00003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37</xdr:row>
          <xdr:rowOff>177800</xdr:rowOff>
        </xdr:from>
        <xdr:to>
          <xdr:col>7</xdr:col>
          <xdr:colOff>457200</xdr:colOff>
          <xdr:row>39</xdr:row>
          <xdr:rowOff>12700</xdr:rowOff>
        </xdr:to>
        <xdr:sp macro="" textlink="">
          <xdr:nvSpPr>
            <xdr:cNvPr id="3132" name="Check Box 60" hidden="1">
              <a:extLst>
                <a:ext uri="{63B3BB69-23CF-44E3-9099-C40C66FF867C}">
                  <a14:compatExt spid="_x0000_s3132"/>
                </a:ext>
                <a:ext uri="{FF2B5EF4-FFF2-40B4-BE49-F238E27FC236}">
                  <a16:creationId xmlns:a16="http://schemas.microsoft.com/office/drawing/2014/main" id="{00000000-0008-0000-0500-00003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58</xdr:row>
          <xdr:rowOff>177800</xdr:rowOff>
        </xdr:from>
        <xdr:to>
          <xdr:col>6</xdr:col>
          <xdr:colOff>25400</xdr:colOff>
          <xdr:row>59</xdr:row>
          <xdr:rowOff>165100</xdr:rowOff>
        </xdr:to>
        <xdr:sp macro="" textlink="">
          <xdr:nvSpPr>
            <xdr:cNvPr id="3142" name="Check Box 70" hidden="1">
              <a:extLst>
                <a:ext uri="{63B3BB69-23CF-44E3-9099-C40C66FF867C}">
                  <a14:compatExt spid="_x0000_s3142"/>
                </a:ext>
                <a:ext uri="{FF2B5EF4-FFF2-40B4-BE49-F238E27FC236}">
                  <a16:creationId xmlns:a16="http://schemas.microsoft.com/office/drawing/2014/main" id="{00000000-0008-0000-0500-00004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59</xdr:row>
          <xdr:rowOff>177800</xdr:rowOff>
        </xdr:from>
        <xdr:to>
          <xdr:col>6</xdr:col>
          <xdr:colOff>38100</xdr:colOff>
          <xdr:row>61</xdr:row>
          <xdr:rowOff>0</xdr:rowOff>
        </xdr:to>
        <xdr:sp macro="" textlink="">
          <xdr:nvSpPr>
            <xdr:cNvPr id="3143" name="Check Box 71" hidden="1">
              <a:extLst>
                <a:ext uri="{63B3BB69-23CF-44E3-9099-C40C66FF867C}">
                  <a14:compatExt spid="_x0000_s3143"/>
                </a:ext>
                <a:ext uri="{FF2B5EF4-FFF2-40B4-BE49-F238E27FC236}">
                  <a16:creationId xmlns:a16="http://schemas.microsoft.com/office/drawing/2014/main" id="{00000000-0008-0000-0500-00004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622300</xdr:colOff>
          <xdr:row>62</xdr:row>
          <xdr:rowOff>0</xdr:rowOff>
        </xdr:from>
        <xdr:to>
          <xdr:col>6</xdr:col>
          <xdr:colOff>25400</xdr:colOff>
          <xdr:row>62</xdr:row>
          <xdr:rowOff>177800</xdr:rowOff>
        </xdr:to>
        <xdr:sp macro="" textlink="">
          <xdr:nvSpPr>
            <xdr:cNvPr id="3144" name="Check Box 72" hidden="1">
              <a:extLst>
                <a:ext uri="{63B3BB69-23CF-44E3-9099-C40C66FF867C}">
                  <a14:compatExt spid="_x0000_s3144"/>
                </a:ext>
                <a:ext uri="{FF2B5EF4-FFF2-40B4-BE49-F238E27FC236}">
                  <a16:creationId xmlns:a16="http://schemas.microsoft.com/office/drawing/2014/main" id="{00000000-0008-0000-0500-00004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57</xdr:row>
          <xdr:rowOff>25400</xdr:rowOff>
        </xdr:from>
        <xdr:to>
          <xdr:col>6</xdr:col>
          <xdr:colOff>533400</xdr:colOff>
          <xdr:row>58</xdr:row>
          <xdr:rowOff>25400</xdr:rowOff>
        </xdr:to>
        <xdr:sp macro="" textlink="">
          <xdr:nvSpPr>
            <xdr:cNvPr id="3145" name="Check Box 73" hidden="1">
              <a:extLst>
                <a:ext uri="{63B3BB69-23CF-44E3-9099-C40C66FF867C}">
                  <a14:compatExt spid="_x0000_s3145"/>
                </a:ext>
                <a:ext uri="{FF2B5EF4-FFF2-40B4-BE49-F238E27FC236}">
                  <a16:creationId xmlns:a16="http://schemas.microsoft.com/office/drawing/2014/main" id="{00000000-0008-0000-0500-00004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58</xdr:row>
          <xdr:rowOff>0</xdr:rowOff>
        </xdr:from>
        <xdr:to>
          <xdr:col>6</xdr:col>
          <xdr:colOff>533400</xdr:colOff>
          <xdr:row>59</xdr:row>
          <xdr:rowOff>12700</xdr:rowOff>
        </xdr:to>
        <xdr:sp macro="" textlink="">
          <xdr:nvSpPr>
            <xdr:cNvPr id="3146" name="Check Box 74" hidden="1">
              <a:extLst>
                <a:ext uri="{63B3BB69-23CF-44E3-9099-C40C66FF867C}">
                  <a14:compatExt spid="_x0000_s3146"/>
                </a:ext>
                <a:ext uri="{FF2B5EF4-FFF2-40B4-BE49-F238E27FC236}">
                  <a16:creationId xmlns:a16="http://schemas.microsoft.com/office/drawing/2014/main" id="{00000000-0008-0000-0500-00004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59</xdr:row>
          <xdr:rowOff>12700</xdr:rowOff>
        </xdr:from>
        <xdr:to>
          <xdr:col>6</xdr:col>
          <xdr:colOff>457200</xdr:colOff>
          <xdr:row>60</xdr:row>
          <xdr:rowOff>12700</xdr:rowOff>
        </xdr:to>
        <xdr:sp macro="" textlink="">
          <xdr:nvSpPr>
            <xdr:cNvPr id="3147" name="Check Box 75" hidden="1">
              <a:extLst>
                <a:ext uri="{63B3BB69-23CF-44E3-9099-C40C66FF867C}">
                  <a14:compatExt spid="_x0000_s3147"/>
                </a:ext>
                <a:ext uri="{FF2B5EF4-FFF2-40B4-BE49-F238E27FC236}">
                  <a16:creationId xmlns:a16="http://schemas.microsoft.com/office/drawing/2014/main" id="{00000000-0008-0000-0500-00004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59</xdr:row>
          <xdr:rowOff>177800</xdr:rowOff>
        </xdr:from>
        <xdr:to>
          <xdr:col>6</xdr:col>
          <xdr:colOff>546100</xdr:colOff>
          <xdr:row>60</xdr:row>
          <xdr:rowOff>177800</xdr:rowOff>
        </xdr:to>
        <xdr:sp macro="" textlink="">
          <xdr:nvSpPr>
            <xdr:cNvPr id="3148" name="Check Box 76" hidden="1">
              <a:extLst>
                <a:ext uri="{63B3BB69-23CF-44E3-9099-C40C66FF867C}">
                  <a14:compatExt spid="_x0000_s3148"/>
                </a:ext>
                <a:ext uri="{FF2B5EF4-FFF2-40B4-BE49-F238E27FC236}">
                  <a16:creationId xmlns:a16="http://schemas.microsoft.com/office/drawing/2014/main" id="{00000000-0008-0000-0500-00004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61</xdr:row>
          <xdr:rowOff>177800</xdr:rowOff>
        </xdr:from>
        <xdr:to>
          <xdr:col>6</xdr:col>
          <xdr:colOff>546100</xdr:colOff>
          <xdr:row>63</xdr:row>
          <xdr:rowOff>0</xdr:rowOff>
        </xdr:to>
        <xdr:sp macro="" textlink="">
          <xdr:nvSpPr>
            <xdr:cNvPr id="3149" name="Check Box 77" hidden="1">
              <a:extLst>
                <a:ext uri="{63B3BB69-23CF-44E3-9099-C40C66FF867C}">
                  <a14:compatExt spid="_x0000_s3149"/>
                </a:ext>
                <a:ext uri="{FF2B5EF4-FFF2-40B4-BE49-F238E27FC236}">
                  <a16:creationId xmlns:a16="http://schemas.microsoft.com/office/drawing/2014/main" id="{00000000-0008-0000-0500-00004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57</xdr:row>
          <xdr:rowOff>25400</xdr:rowOff>
        </xdr:from>
        <xdr:to>
          <xdr:col>7</xdr:col>
          <xdr:colOff>520700</xdr:colOff>
          <xdr:row>58</xdr:row>
          <xdr:rowOff>38100</xdr:rowOff>
        </xdr:to>
        <xdr:sp macro="" textlink="">
          <xdr:nvSpPr>
            <xdr:cNvPr id="3150" name="Check Box 78" hidden="1">
              <a:extLst>
                <a:ext uri="{63B3BB69-23CF-44E3-9099-C40C66FF867C}">
                  <a14:compatExt spid="_x0000_s3150"/>
                </a:ext>
                <a:ext uri="{FF2B5EF4-FFF2-40B4-BE49-F238E27FC236}">
                  <a16:creationId xmlns:a16="http://schemas.microsoft.com/office/drawing/2014/main" id="{00000000-0008-0000-0500-00004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58</xdr:row>
          <xdr:rowOff>25400</xdr:rowOff>
        </xdr:from>
        <xdr:to>
          <xdr:col>7</xdr:col>
          <xdr:colOff>520700</xdr:colOff>
          <xdr:row>59</xdr:row>
          <xdr:rowOff>38100</xdr:rowOff>
        </xdr:to>
        <xdr:sp macro="" textlink="">
          <xdr:nvSpPr>
            <xdr:cNvPr id="3151" name="Check Box 79" hidden="1">
              <a:extLst>
                <a:ext uri="{63B3BB69-23CF-44E3-9099-C40C66FF867C}">
                  <a14:compatExt spid="_x0000_s3151"/>
                </a:ext>
                <a:ext uri="{FF2B5EF4-FFF2-40B4-BE49-F238E27FC236}">
                  <a16:creationId xmlns:a16="http://schemas.microsoft.com/office/drawing/2014/main" id="{00000000-0008-0000-0500-00004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25400</xdr:rowOff>
        </xdr:from>
        <xdr:to>
          <xdr:col>7</xdr:col>
          <xdr:colOff>508000</xdr:colOff>
          <xdr:row>60</xdr:row>
          <xdr:rowOff>50800</xdr:rowOff>
        </xdr:to>
        <xdr:sp macro="" textlink="">
          <xdr:nvSpPr>
            <xdr:cNvPr id="3152" name="Check Box 80" hidden="1">
              <a:extLst>
                <a:ext uri="{63B3BB69-23CF-44E3-9099-C40C66FF867C}">
                  <a14:compatExt spid="_x0000_s3152"/>
                </a:ext>
                <a:ext uri="{FF2B5EF4-FFF2-40B4-BE49-F238E27FC236}">
                  <a16:creationId xmlns:a16="http://schemas.microsoft.com/office/drawing/2014/main" id="{00000000-0008-0000-0500-00005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60</xdr:row>
          <xdr:rowOff>25400</xdr:rowOff>
        </xdr:from>
        <xdr:to>
          <xdr:col>7</xdr:col>
          <xdr:colOff>546100</xdr:colOff>
          <xdr:row>61</xdr:row>
          <xdr:rowOff>25400</xdr:rowOff>
        </xdr:to>
        <xdr:sp macro="" textlink="">
          <xdr:nvSpPr>
            <xdr:cNvPr id="3153" name="Check Box 81" hidden="1">
              <a:extLst>
                <a:ext uri="{63B3BB69-23CF-44E3-9099-C40C66FF867C}">
                  <a14:compatExt spid="_x0000_s3153"/>
                </a:ext>
                <a:ext uri="{FF2B5EF4-FFF2-40B4-BE49-F238E27FC236}">
                  <a16:creationId xmlns:a16="http://schemas.microsoft.com/office/drawing/2014/main" id="{00000000-0008-0000-0500-00005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62</xdr:row>
          <xdr:rowOff>0</xdr:rowOff>
        </xdr:from>
        <xdr:to>
          <xdr:col>7</xdr:col>
          <xdr:colOff>546100</xdr:colOff>
          <xdr:row>62</xdr:row>
          <xdr:rowOff>177800</xdr:rowOff>
        </xdr:to>
        <xdr:sp macro="" textlink="">
          <xdr:nvSpPr>
            <xdr:cNvPr id="3154" name="Check Box 82" hidden="1">
              <a:extLst>
                <a:ext uri="{63B3BB69-23CF-44E3-9099-C40C66FF867C}">
                  <a14:compatExt spid="_x0000_s3154"/>
                </a:ext>
                <a:ext uri="{FF2B5EF4-FFF2-40B4-BE49-F238E27FC236}">
                  <a16:creationId xmlns:a16="http://schemas.microsoft.com/office/drawing/2014/main" id="{00000000-0008-0000-0500-00005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75</xdr:row>
          <xdr:rowOff>177800</xdr:rowOff>
        </xdr:from>
        <xdr:to>
          <xdr:col>6</xdr:col>
          <xdr:colOff>444500</xdr:colOff>
          <xdr:row>77</xdr:row>
          <xdr:rowOff>25400</xdr:rowOff>
        </xdr:to>
        <xdr:sp macro="" textlink="">
          <xdr:nvSpPr>
            <xdr:cNvPr id="3155" name="Check Box 83" hidden="1">
              <a:extLst>
                <a:ext uri="{63B3BB69-23CF-44E3-9099-C40C66FF867C}">
                  <a14:compatExt spid="_x0000_s3155"/>
                </a:ext>
                <a:ext uri="{FF2B5EF4-FFF2-40B4-BE49-F238E27FC236}">
                  <a16:creationId xmlns:a16="http://schemas.microsoft.com/office/drawing/2014/main" id="{00000000-0008-0000-0500-00005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77</xdr:row>
          <xdr:rowOff>12700</xdr:rowOff>
        </xdr:from>
        <xdr:to>
          <xdr:col>6</xdr:col>
          <xdr:colOff>495300</xdr:colOff>
          <xdr:row>78</xdr:row>
          <xdr:rowOff>25400</xdr:rowOff>
        </xdr:to>
        <xdr:sp macro="" textlink="">
          <xdr:nvSpPr>
            <xdr:cNvPr id="3156" name="Check Box 84" hidden="1">
              <a:extLst>
                <a:ext uri="{63B3BB69-23CF-44E3-9099-C40C66FF867C}">
                  <a14:compatExt spid="_x0000_s3156"/>
                </a:ext>
                <a:ext uri="{FF2B5EF4-FFF2-40B4-BE49-F238E27FC236}">
                  <a16:creationId xmlns:a16="http://schemas.microsoft.com/office/drawing/2014/main" id="{00000000-0008-0000-0500-00005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78</xdr:row>
          <xdr:rowOff>12700</xdr:rowOff>
        </xdr:from>
        <xdr:to>
          <xdr:col>6</xdr:col>
          <xdr:colOff>482600</xdr:colOff>
          <xdr:row>79</xdr:row>
          <xdr:rowOff>38100</xdr:rowOff>
        </xdr:to>
        <xdr:sp macro="" textlink="">
          <xdr:nvSpPr>
            <xdr:cNvPr id="3157" name="Check Box 85" hidden="1">
              <a:extLst>
                <a:ext uri="{63B3BB69-23CF-44E3-9099-C40C66FF867C}">
                  <a14:compatExt spid="_x0000_s3157"/>
                </a:ext>
                <a:ext uri="{FF2B5EF4-FFF2-40B4-BE49-F238E27FC236}">
                  <a16:creationId xmlns:a16="http://schemas.microsoft.com/office/drawing/2014/main" id="{00000000-0008-0000-0500-00005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78</xdr:row>
          <xdr:rowOff>177800</xdr:rowOff>
        </xdr:from>
        <xdr:to>
          <xdr:col>6</xdr:col>
          <xdr:colOff>495300</xdr:colOff>
          <xdr:row>80</xdr:row>
          <xdr:rowOff>25400</xdr:rowOff>
        </xdr:to>
        <xdr:sp macro="" textlink="">
          <xdr:nvSpPr>
            <xdr:cNvPr id="3158" name="Check Box 86" hidden="1">
              <a:extLst>
                <a:ext uri="{63B3BB69-23CF-44E3-9099-C40C66FF867C}">
                  <a14:compatExt spid="_x0000_s3158"/>
                </a:ext>
                <a:ext uri="{FF2B5EF4-FFF2-40B4-BE49-F238E27FC236}">
                  <a16:creationId xmlns:a16="http://schemas.microsoft.com/office/drawing/2014/main" id="{00000000-0008-0000-0500-00005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75</xdr:row>
          <xdr:rowOff>165100</xdr:rowOff>
        </xdr:from>
        <xdr:to>
          <xdr:col>7</xdr:col>
          <xdr:colOff>508000</xdr:colOff>
          <xdr:row>77</xdr:row>
          <xdr:rowOff>12700</xdr:rowOff>
        </xdr:to>
        <xdr:sp macro="" textlink="">
          <xdr:nvSpPr>
            <xdr:cNvPr id="3159" name="Check Box 87" hidden="1">
              <a:extLst>
                <a:ext uri="{63B3BB69-23CF-44E3-9099-C40C66FF867C}">
                  <a14:compatExt spid="_x0000_s3159"/>
                </a:ext>
                <a:ext uri="{FF2B5EF4-FFF2-40B4-BE49-F238E27FC236}">
                  <a16:creationId xmlns:a16="http://schemas.microsoft.com/office/drawing/2014/main" id="{00000000-0008-0000-0500-00005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77</xdr:row>
          <xdr:rowOff>0</xdr:rowOff>
        </xdr:from>
        <xdr:to>
          <xdr:col>7</xdr:col>
          <xdr:colOff>508000</xdr:colOff>
          <xdr:row>78</xdr:row>
          <xdr:rowOff>25400</xdr:rowOff>
        </xdr:to>
        <xdr:sp macro="" textlink="">
          <xdr:nvSpPr>
            <xdr:cNvPr id="3160" name="Check Box 88" hidden="1">
              <a:extLst>
                <a:ext uri="{63B3BB69-23CF-44E3-9099-C40C66FF867C}">
                  <a14:compatExt spid="_x0000_s3160"/>
                </a:ext>
                <a:ext uri="{FF2B5EF4-FFF2-40B4-BE49-F238E27FC236}">
                  <a16:creationId xmlns:a16="http://schemas.microsoft.com/office/drawing/2014/main" id="{00000000-0008-0000-0500-00005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78</xdr:row>
          <xdr:rowOff>0</xdr:rowOff>
        </xdr:from>
        <xdr:to>
          <xdr:col>7</xdr:col>
          <xdr:colOff>444500</xdr:colOff>
          <xdr:row>79</xdr:row>
          <xdr:rowOff>25400</xdr:rowOff>
        </xdr:to>
        <xdr:sp macro="" textlink="">
          <xdr:nvSpPr>
            <xdr:cNvPr id="3161" name="Check Box 89" hidden="1">
              <a:extLst>
                <a:ext uri="{63B3BB69-23CF-44E3-9099-C40C66FF867C}">
                  <a14:compatExt spid="_x0000_s3161"/>
                </a:ext>
                <a:ext uri="{FF2B5EF4-FFF2-40B4-BE49-F238E27FC236}">
                  <a16:creationId xmlns:a16="http://schemas.microsoft.com/office/drawing/2014/main" id="{00000000-0008-0000-0500-00005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78</xdr:row>
          <xdr:rowOff>177800</xdr:rowOff>
        </xdr:from>
        <xdr:to>
          <xdr:col>7</xdr:col>
          <xdr:colOff>482600</xdr:colOff>
          <xdr:row>80</xdr:row>
          <xdr:rowOff>25400</xdr:rowOff>
        </xdr:to>
        <xdr:sp macro="" textlink="">
          <xdr:nvSpPr>
            <xdr:cNvPr id="3162" name="Check Box 90" hidden="1">
              <a:extLst>
                <a:ext uri="{63B3BB69-23CF-44E3-9099-C40C66FF867C}">
                  <a14:compatExt spid="_x0000_s3162"/>
                </a:ext>
                <a:ext uri="{FF2B5EF4-FFF2-40B4-BE49-F238E27FC236}">
                  <a16:creationId xmlns:a16="http://schemas.microsoft.com/office/drawing/2014/main" id="{00000000-0008-0000-0500-00005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596900</xdr:colOff>
          <xdr:row>11</xdr:row>
          <xdr:rowOff>12700</xdr:rowOff>
        </xdr:from>
        <xdr:to>
          <xdr:col>6</xdr:col>
          <xdr:colOff>0</xdr:colOff>
          <xdr:row>12</xdr:row>
          <xdr:rowOff>12700</xdr:rowOff>
        </xdr:to>
        <xdr:sp macro="" textlink="">
          <xdr:nvSpPr>
            <xdr:cNvPr id="3163" name="Check Box 91" hidden="1">
              <a:extLst>
                <a:ext uri="{63B3BB69-23CF-44E3-9099-C40C66FF867C}">
                  <a14:compatExt spid="_x0000_s3163"/>
                </a:ext>
                <a:ext uri="{FF2B5EF4-FFF2-40B4-BE49-F238E27FC236}">
                  <a16:creationId xmlns:a16="http://schemas.microsoft.com/office/drawing/2014/main" id="{00000000-0008-0000-0500-00005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444500</xdr:colOff>
          <xdr:row>12</xdr:row>
          <xdr:rowOff>0</xdr:rowOff>
        </xdr:to>
        <xdr:sp macro="" textlink="">
          <xdr:nvSpPr>
            <xdr:cNvPr id="3164" name="Check Box 92" hidden="1">
              <a:extLst>
                <a:ext uri="{63B3BB69-23CF-44E3-9099-C40C66FF867C}">
                  <a14:compatExt spid="_x0000_s3164"/>
                </a:ext>
                <a:ext uri="{FF2B5EF4-FFF2-40B4-BE49-F238E27FC236}">
                  <a16:creationId xmlns:a16="http://schemas.microsoft.com/office/drawing/2014/main" id="{00000000-0008-0000-0500-00005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11</xdr:row>
          <xdr:rowOff>25400</xdr:rowOff>
        </xdr:from>
        <xdr:to>
          <xdr:col>7</xdr:col>
          <xdr:colOff>444500</xdr:colOff>
          <xdr:row>12</xdr:row>
          <xdr:rowOff>0</xdr:rowOff>
        </xdr:to>
        <xdr:sp macro="" textlink="">
          <xdr:nvSpPr>
            <xdr:cNvPr id="3165" name="Check Box 93" hidden="1">
              <a:extLst>
                <a:ext uri="{63B3BB69-23CF-44E3-9099-C40C66FF867C}">
                  <a14:compatExt spid="_x0000_s3165"/>
                </a:ext>
                <a:ext uri="{FF2B5EF4-FFF2-40B4-BE49-F238E27FC236}">
                  <a16:creationId xmlns:a16="http://schemas.microsoft.com/office/drawing/2014/main" id="{00000000-0008-0000-0500-00005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609600</xdr:colOff>
          <xdr:row>14</xdr:row>
          <xdr:rowOff>25400</xdr:rowOff>
        </xdr:from>
        <xdr:to>
          <xdr:col>6</xdr:col>
          <xdr:colOff>0</xdr:colOff>
          <xdr:row>15</xdr:row>
          <xdr:rowOff>0</xdr:rowOff>
        </xdr:to>
        <xdr:sp macro="" textlink="">
          <xdr:nvSpPr>
            <xdr:cNvPr id="3166" name="Check Box 94" hidden="1">
              <a:extLst>
                <a:ext uri="{63B3BB69-23CF-44E3-9099-C40C66FF867C}">
                  <a14:compatExt spid="_x0000_s3166"/>
                </a:ext>
                <a:ext uri="{FF2B5EF4-FFF2-40B4-BE49-F238E27FC236}">
                  <a16:creationId xmlns:a16="http://schemas.microsoft.com/office/drawing/2014/main" id="{00000000-0008-0000-0500-00005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609600</xdr:colOff>
          <xdr:row>15</xdr:row>
          <xdr:rowOff>50800</xdr:rowOff>
        </xdr:from>
        <xdr:to>
          <xdr:col>6</xdr:col>
          <xdr:colOff>0</xdr:colOff>
          <xdr:row>16</xdr:row>
          <xdr:rowOff>0</xdr:rowOff>
        </xdr:to>
        <xdr:sp macro="" textlink="">
          <xdr:nvSpPr>
            <xdr:cNvPr id="3167" name="Check Box 95" hidden="1">
              <a:extLst>
                <a:ext uri="{63B3BB69-23CF-44E3-9099-C40C66FF867C}">
                  <a14:compatExt spid="_x0000_s3167"/>
                </a:ext>
                <a:ext uri="{FF2B5EF4-FFF2-40B4-BE49-F238E27FC236}">
                  <a16:creationId xmlns:a16="http://schemas.microsoft.com/office/drawing/2014/main" id="{00000000-0008-0000-0500-00005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25400</xdr:rowOff>
        </xdr:from>
        <xdr:to>
          <xdr:col>6</xdr:col>
          <xdr:colOff>520700</xdr:colOff>
          <xdr:row>14</xdr:row>
          <xdr:rowOff>177800</xdr:rowOff>
        </xdr:to>
        <xdr:sp macro="" textlink="">
          <xdr:nvSpPr>
            <xdr:cNvPr id="3168" name="Check Box 96" hidden="1">
              <a:extLst>
                <a:ext uri="{63B3BB69-23CF-44E3-9099-C40C66FF867C}">
                  <a14:compatExt spid="_x0000_s3168"/>
                </a:ext>
                <a:ext uri="{FF2B5EF4-FFF2-40B4-BE49-F238E27FC236}">
                  <a16:creationId xmlns:a16="http://schemas.microsoft.com/office/drawing/2014/main" id="{00000000-0008-0000-0500-00006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15</xdr:row>
          <xdr:rowOff>0</xdr:rowOff>
        </xdr:from>
        <xdr:to>
          <xdr:col>6</xdr:col>
          <xdr:colOff>482600</xdr:colOff>
          <xdr:row>16</xdr:row>
          <xdr:rowOff>25400</xdr:rowOff>
        </xdr:to>
        <xdr:sp macro="" textlink="">
          <xdr:nvSpPr>
            <xdr:cNvPr id="3169" name="Check Box 97" hidden="1">
              <a:extLst>
                <a:ext uri="{63B3BB69-23CF-44E3-9099-C40C66FF867C}">
                  <a14:compatExt spid="_x0000_s3169"/>
                </a:ext>
                <a:ext uri="{FF2B5EF4-FFF2-40B4-BE49-F238E27FC236}">
                  <a16:creationId xmlns:a16="http://schemas.microsoft.com/office/drawing/2014/main" id="{00000000-0008-0000-0500-00006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13</xdr:row>
          <xdr:rowOff>177800</xdr:rowOff>
        </xdr:from>
        <xdr:to>
          <xdr:col>7</xdr:col>
          <xdr:colOff>469900</xdr:colOff>
          <xdr:row>15</xdr:row>
          <xdr:rowOff>0</xdr:rowOff>
        </xdr:to>
        <xdr:sp macro="" textlink="">
          <xdr:nvSpPr>
            <xdr:cNvPr id="3170" name="Check Box 98" hidden="1">
              <a:extLst>
                <a:ext uri="{63B3BB69-23CF-44E3-9099-C40C66FF867C}">
                  <a14:compatExt spid="_x0000_s3170"/>
                </a:ext>
                <a:ext uri="{FF2B5EF4-FFF2-40B4-BE49-F238E27FC236}">
                  <a16:creationId xmlns:a16="http://schemas.microsoft.com/office/drawing/2014/main" id="{00000000-0008-0000-0500-00006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14</xdr:row>
          <xdr:rowOff>165100</xdr:rowOff>
        </xdr:from>
        <xdr:to>
          <xdr:col>7</xdr:col>
          <xdr:colOff>508000</xdr:colOff>
          <xdr:row>16</xdr:row>
          <xdr:rowOff>0</xdr:rowOff>
        </xdr:to>
        <xdr:sp macro="" textlink="">
          <xdr:nvSpPr>
            <xdr:cNvPr id="3171" name="Check Box 99" hidden="1">
              <a:extLst>
                <a:ext uri="{63B3BB69-23CF-44E3-9099-C40C66FF867C}">
                  <a14:compatExt spid="_x0000_s3171"/>
                </a:ext>
                <a:ext uri="{FF2B5EF4-FFF2-40B4-BE49-F238E27FC236}">
                  <a16:creationId xmlns:a16="http://schemas.microsoft.com/office/drawing/2014/main" id="{00000000-0008-0000-0500-00006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63</xdr:row>
          <xdr:rowOff>0</xdr:rowOff>
        </xdr:from>
        <xdr:to>
          <xdr:col>6</xdr:col>
          <xdr:colOff>0</xdr:colOff>
          <xdr:row>64</xdr:row>
          <xdr:rowOff>25400</xdr:rowOff>
        </xdr:to>
        <xdr:sp macro="" textlink="">
          <xdr:nvSpPr>
            <xdr:cNvPr id="3172" name="Check Box 100" hidden="1">
              <a:extLst>
                <a:ext uri="{63B3BB69-23CF-44E3-9099-C40C66FF867C}">
                  <a14:compatExt spid="_x0000_s3172"/>
                </a:ext>
                <a:ext uri="{FF2B5EF4-FFF2-40B4-BE49-F238E27FC236}">
                  <a16:creationId xmlns:a16="http://schemas.microsoft.com/office/drawing/2014/main" id="{00000000-0008-0000-0500-00006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62</xdr:row>
          <xdr:rowOff>177800</xdr:rowOff>
        </xdr:from>
        <xdr:to>
          <xdr:col>6</xdr:col>
          <xdr:colOff>482600</xdr:colOff>
          <xdr:row>64</xdr:row>
          <xdr:rowOff>12700</xdr:rowOff>
        </xdr:to>
        <xdr:sp macro="" textlink="">
          <xdr:nvSpPr>
            <xdr:cNvPr id="3173" name="Check Box 101" hidden="1">
              <a:extLst>
                <a:ext uri="{63B3BB69-23CF-44E3-9099-C40C66FF867C}">
                  <a14:compatExt spid="_x0000_s3173"/>
                </a:ext>
                <a:ext uri="{FF2B5EF4-FFF2-40B4-BE49-F238E27FC236}">
                  <a16:creationId xmlns:a16="http://schemas.microsoft.com/office/drawing/2014/main" id="{00000000-0008-0000-0500-00006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62</xdr:row>
          <xdr:rowOff>177800</xdr:rowOff>
        </xdr:from>
        <xdr:to>
          <xdr:col>7</xdr:col>
          <xdr:colOff>444500</xdr:colOff>
          <xdr:row>64</xdr:row>
          <xdr:rowOff>0</xdr:rowOff>
        </xdr:to>
        <xdr:sp macro="" textlink="">
          <xdr:nvSpPr>
            <xdr:cNvPr id="3174" name="Check Box 102" hidden="1">
              <a:extLst>
                <a:ext uri="{63B3BB69-23CF-44E3-9099-C40C66FF867C}">
                  <a14:compatExt spid="_x0000_s3174"/>
                </a:ext>
                <a:ext uri="{FF2B5EF4-FFF2-40B4-BE49-F238E27FC236}">
                  <a16:creationId xmlns:a16="http://schemas.microsoft.com/office/drawing/2014/main" id="{00000000-0008-0000-0500-00006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596900</xdr:colOff>
          <xdr:row>16</xdr:row>
          <xdr:rowOff>25400</xdr:rowOff>
        </xdr:from>
        <xdr:to>
          <xdr:col>5</xdr:col>
          <xdr:colOff>1054100</xdr:colOff>
          <xdr:row>17</xdr:row>
          <xdr:rowOff>25400</xdr:rowOff>
        </xdr:to>
        <xdr:sp macro="" textlink="">
          <xdr:nvSpPr>
            <xdr:cNvPr id="3175" name="Check Box 103" hidden="1">
              <a:extLst>
                <a:ext uri="{63B3BB69-23CF-44E3-9099-C40C66FF867C}">
                  <a14:compatExt spid="_x0000_s3175"/>
                </a:ext>
                <a:ext uri="{FF2B5EF4-FFF2-40B4-BE49-F238E27FC236}">
                  <a16:creationId xmlns:a16="http://schemas.microsoft.com/office/drawing/2014/main" id="{00000000-0008-0000-0500-00006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16</xdr:row>
          <xdr:rowOff>38100</xdr:rowOff>
        </xdr:from>
        <xdr:to>
          <xdr:col>6</xdr:col>
          <xdr:colOff>482600</xdr:colOff>
          <xdr:row>17</xdr:row>
          <xdr:rowOff>25400</xdr:rowOff>
        </xdr:to>
        <xdr:sp macro="" textlink="">
          <xdr:nvSpPr>
            <xdr:cNvPr id="3176" name="Check Box 104" hidden="1">
              <a:extLst>
                <a:ext uri="{63B3BB69-23CF-44E3-9099-C40C66FF867C}">
                  <a14:compatExt spid="_x0000_s3176"/>
                </a:ext>
                <a:ext uri="{FF2B5EF4-FFF2-40B4-BE49-F238E27FC236}">
                  <a16:creationId xmlns:a16="http://schemas.microsoft.com/office/drawing/2014/main" id="{00000000-0008-0000-0500-00006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16</xdr:row>
          <xdr:rowOff>25400</xdr:rowOff>
        </xdr:from>
        <xdr:to>
          <xdr:col>7</xdr:col>
          <xdr:colOff>469900</xdr:colOff>
          <xdr:row>16</xdr:row>
          <xdr:rowOff>177800</xdr:rowOff>
        </xdr:to>
        <xdr:sp macro="" textlink="">
          <xdr:nvSpPr>
            <xdr:cNvPr id="3177" name="Check Box 105" hidden="1">
              <a:extLst>
                <a:ext uri="{63B3BB69-23CF-44E3-9099-C40C66FF867C}">
                  <a14:compatExt spid="_x0000_s3177"/>
                </a:ext>
                <a:ext uri="{FF2B5EF4-FFF2-40B4-BE49-F238E27FC236}">
                  <a16:creationId xmlns:a16="http://schemas.microsoft.com/office/drawing/2014/main" id="{00000000-0008-0000-0500-00006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No</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66" Type="http://schemas.openxmlformats.org/officeDocument/2006/relationships/ctrlProp" Target="../ctrlProps/ctrlProp64.xml"/><Relationship Id="rId74" Type="http://schemas.openxmlformats.org/officeDocument/2006/relationships/ctrlProp" Target="../ctrlProps/ctrlProp72.xml"/><Relationship Id="rId5" Type="http://schemas.openxmlformats.org/officeDocument/2006/relationships/ctrlProp" Target="../ctrlProps/ctrlProp3.xml"/><Relationship Id="rId61" Type="http://schemas.openxmlformats.org/officeDocument/2006/relationships/ctrlProp" Target="../ctrlProps/ctrlProp59.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64" Type="http://schemas.openxmlformats.org/officeDocument/2006/relationships/ctrlProp" Target="../ctrlProps/ctrlProp62.xml"/><Relationship Id="rId69" Type="http://schemas.openxmlformats.org/officeDocument/2006/relationships/ctrlProp" Target="../ctrlProps/ctrlProp67.xml"/><Relationship Id="rId77" Type="http://schemas.openxmlformats.org/officeDocument/2006/relationships/ctrlProp" Target="../ctrlProps/ctrlProp75.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ctrlProp" Target="../ctrlProps/ctrlProp68.xml"/><Relationship Id="rId75" Type="http://schemas.openxmlformats.org/officeDocument/2006/relationships/ctrlProp" Target="../ctrlProps/ctrlProp73.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7" Type="http://schemas.openxmlformats.org/officeDocument/2006/relationships/ctrlProp" Target="../ctrlProps/ctrlProp5.xml"/><Relationship Id="rId71" Type="http://schemas.openxmlformats.org/officeDocument/2006/relationships/ctrlProp" Target="../ctrlProps/ctrlProp69.xml"/><Relationship Id="rId2" Type="http://schemas.openxmlformats.org/officeDocument/2006/relationships/drawing" Target="../drawings/drawing2.xml"/><Relationship Id="rId29"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6.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86.xml"/><Relationship Id="rId18" Type="http://schemas.openxmlformats.org/officeDocument/2006/relationships/ctrlProp" Target="../ctrlProps/ctrlProp91.xml"/><Relationship Id="rId26" Type="http://schemas.openxmlformats.org/officeDocument/2006/relationships/ctrlProp" Target="../ctrlProps/ctrlProp99.xml"/><Relationship Id="rId39" Type="http://schemas.openxmlformats.org/officeDocument/2006/relationships/ctrlProp" Target="../ctrlProps/ctrlProp112.xml"/><Relationship Id="rId21" Type="http://schemas.openxmlformats.org/officeDocument/2006/relationships/ctrlProp" Target="../ctrlProps/ctrlProp94.xml"/><Relationship Id="rId34" Type="http://schemas.openxmlformats.org/officeDocument/2006/relationships/ctrlProp" Target="../ctrlProps/ctrlProp107.xml"/><Relationship Id="rId42" Type="http://schemas.openxmlformats.org/officeDocument/2006/relationships/ctrlProp" Target="../ctrlProps/ctrlProp115.xml"/><Relationship Id="rId7" Type="http://schemas.openxmlformats.org/officeDocument/2006/relationships/ctrlProp" Target="../ctrlProps/ctrlProp80.xml"/><Relationship Id="rId2" Type="http://schemas.openxmlformats.org/officeDocument/2006/relationships/drawing" Target="../drawings/drawing4.xml"/><Relationship Id="rId16" Type="http://schemas.openxmlformats.org/officeDocument/2006/relationships/ctrlProp" Target="../ctrlProps/ctrlProp89.xml"/><Relationship Id="rId29" Type="http://schemas.openxmlformats.org/officeDocument/2006/relationships/ctrlProp" Target="../ctrlProps/ctrlProp102.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24" Type="http://schemas.openxmlformats.org/officeDocument/2006/relationships/ctrlProp" Target="../ctrlProps/ctrlProp97.xml"/><Relationship Id="rId32" Type="http://schemas.openxmlformats.org/officeDocument/2006/relationships/ctrlProp" Target="../ctrlProps/ctrlProp105.xml"/><Relationship Id="rId37" Type="http://schemas.openxmlformats.org/officeDocument/2006/relationships/ctrlProp" Target="../ctrlProps/ctrlProp110.xml"/><Relationship Id="rId40" Type="http://schemas.openxmlformats.org/officeDocument/2006/relationships/ctrlProp" Target="../ctrlProps/ctrlProp113.xml"/><Relationship Id="rId45" Type="http://schemas.openxmlformats.org/officeDocument/2006/relationships/ctrlProp" Target="../ctrlProps/ctrlProp118.xml"/><Relationship Id="rId5" Type="http://schemas.openxmlformats.org/officeDocument/2006/relationships/ctrlProp" Target="../ctrlProps/ctrlProp78.xml"/><Relationship Id="rId15" Type="http://schemas.openxmlformats.org/officeDocument/2006/relationships/ctrlProp" Target="../ctrlProps/ctrlProp88.xml"/><Relationship Id="rId23" Type="http://schemas.openxmlformats.org/officeDocument/2006/relationships/ctrlProp" Target="../ctrlProps/ctrlProp96.xml"/><Relationship Id="rId28" Type="http://schemas.openxmlformats.org/officeDocument/2006/relationships/ctrlProp" Target="../ctrlProps/ctrlProp101.xml"/><Relationship Id="rId36" Type="http://schemas.openxmlformats.org/officeDocument/2006/relationships/ctrlProp" Target="../ctrlProps/ctrlProp109.xml"/><Relationship Id="rId10" Type="http://schemas.openxmlformats.org/officeDocument/2006/relationships/ctrlProp" Target="../ctrlProps/ctrlProp83.xml"/><Relationship Id="rId19" Type="http://schemas.openxmlformats.org/officeDocument/2006/relationships/ctrlProp" Target="../ctrlProps/ctrlProp92.xml"/><Relationship Id="rId31" Type="http://schemas.openxmlformats.org/officeDocument/2006/relationships/ctrlProp" Target="../ctrlProps/ctrlProp104.xml"/><Relationship Id="rId44" Type="http://schemas.openxmlformats.org/officeDocument/2006/relationships/ctrlProp" Target="../ctrlProps/ctrlProp117.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 Id="rId22" Type="http://schemas.openxmlformats.org/officeDocument/2006/relationships/ctrlProp" Target="../ctrlProps/ctrlProp95.xml"/><Relationship Id="rId27" Type="http://schemas.openxmlformats.org/officeDocument/2006/relationships/ctrlProp" Target="../ctrlProps/ctrlProp100.xml"/><Relationship Id="rId30" Type="http://schemas.openxmlformats.org/officeDocument/2006/relationships/ctrlProp" Target="../ctrlProps/ctrlProp103.xml"/><Relationship Id="rId35" Type="http://schemas.openxmlformats.org/officeDocument/2006/relationships/ctrlProp" Target="../ctrlProps/ctrlProp108.xml"/><Relationship Id="rId43" Type="http://schemas.openxmlformats.org/officeDocument/2006/relationships/ctrlProp" Target="../ctrlProps/ctrlProp116.xml"/><Relationship Id="rId8" Type="http://schemas.openxmlformats.org/officeDocument/2006/relationships/ctrlProp" Target="../ctrlProps/ctrlProp81.xml"/><Relationship Id="rId3" Type="http://schemas.openxmlformats.org/officeDocument/2006/relationships/vmlDrawing" Target="../drawings/vmlDrawing4.vml"/><Relationship Id="rId12" Type="http://schemas.openxmlformats.org/officeDocument/2006/relationships/ctrlProp" Target="../ctrlProps/ctrlProp85.xml"/><Relationship Id="rId17" Type="http://schemas.openxmlformats.org/officeDocument/2006/relationships/ctrlProp" Target="../ctrlProps/ctrlProp90.xml"/><Relationship Id="rId25" Type="http://schemas.openxmlformats.org/officeDocument/2006/relationships/ctrlProp" Target="../ctrlProps/ctrlProp98.xml"/><Relationship Id="rId33" Type="http://schemas.openxmlformats.org/officeDocument/2006/relationships/ctrlProp" Target="../ctrlProps/ctrlProp106.xml"/><Relationship Id="rId38" Type="http://schemas.openxmlformats.org/officeDocument/2006/relationships/ctrlProp" Target="../ctrlProps/ctrlProp111.xml"/><Relationship Id="rId20" Type="http://schemas.openxmlformats.org/officeDocument/2006/relationships/ctrlProp" Target="../ctrlProps/ctrlProp93.xml"/><Relationship Id="rId41" Type="http://schemas.openxmlformats.org/officeDocument/2006/relationships/ctrlProp" Target="../ctrlProps/ctrlProp114.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141.xml"/><Relationship Id="rId21" Type="http://schemas.openxmlformats.org/officeDocument/2006/relationships/ctrlProp" Target="../ctrlProps/ctrlProp136.xml"/><Relationship Id="rId42" Type="http://schemas.openxmlformats.org/officeDocument/2006/relationships/ctrlProp" Target="../ctrlProps/ctrlProp157.xml"/><Relationship Id="rId47" Type="http://schemas.openxmlformats.org/officeDocument/2006/relationships/ctrlProp" Target="../ctrlProps/ctrlProp162.xml"/><Relationship Id="rId63" Type="http://schemas.openxmlformats.org/officeDocument/2006/relationships/ctrlProp" Target="../ctrlProps/ctrlProp178.xml"/><Relationship Id="rId68" Type="http://schemas.openxmlformats.org/officeDocument/2006/relationships/ctrlProp" Target="../ctrlProps/ctrlProp183.xml"/><Relationship Id="rId84" Type="http://schemas.openxmlformats.org/officeDocument/2006/relationships/ctrlProp" Target="../ctrlProps/ctrlProp199.xml"/><Relationship Id="rId89" Type="http://schemas.openxmlformats.org/officeDocument/2006/relationships/ctrlProp" Target="../ctrlProps/ctrlProp204.xml"/><Relationship Id="rId16" Type="http://schemas.openxmlformats.org/officeDocument/2006/relationships/ctrlProp" Target="../ctrlProps/ctrlProp131.xml"/><Relationship Id="rId11" Type="http://schemas.openxmlformats.org/officeDocument/2006/relationships/ctrlProp" Target="../ctrlProps/ctrlProp126.xml"/><Relationship Id="rId32" Type="http://schemas.openxmlformats.org/officeDocument/2006/relationships/ctrlProp" Target="../ctrlProps/ctrlProp147.xml"/><Relationship Id="rId37" Type="http://schemas.openxmlformats.org/officeDocument/2006/relationships/ctrlProp" Target="../ctrlProps/ctrlProp152.xml"/><Relationship Id="rId53" Type="http://schemas.openxmlformats.org/officeDocument/2006/relationships/ctrlProp" Target="../ctrlProps/ctrlProp168.xml"/><Relationship Id="rId58" Type="http://schemas.openxmlformats.org/officeDocument/2006/relationships/ctrlProp" Target="../ctrlProps/ctrlProp173.xml"/><Relationship Id="rId74" Type="http://schemas.openxmlformats.org/officeDocument/2006/relationships/ctrlProp" Target="../ctrlProps/ctrlProp189.xml"/><Relationship Id="rId79" Type="http://schemas.openxmlformats.org/officeDocument/2006/relationships/ctrlProp" Target="../ctrlProps/ctrlProp194.xml"/><Relationship Id="rId5" Type="http://schemas.openxmlformats.org/officeDocument/2006/relationships/ctrlProp" Target="../ctrlProps/ctrlProp120.xml"/><Relationship Id="rId90" Type="http://schemas.openxmlformats.org/officeDocument/2006/relationships/ctrlProp" Target="../ctrlProps/ctrlProp205.xml"/><Relationship Id="rId95" Type="http://schemas.openxmlformats.org/officeDocument/2006/relationships/ctrlProp" Target="../ctrlProps/ctrlProp210.xml"/><Relationship Id="rId22" Type="http://schemas.openxmlformats.org/officeDocument/2006/relationships/ctrlProp" Target="../ctrlProps/ctrlProp137.xml"/><Relationship Id="rId27" Type="http://schemas.openxmlformats.org/officeDocument/2006/relationships/ctrlProp" Target="../ctrlProps/ctrlProp142.xml"/><Relationship Id="rId43" Type="http://schemas.openxmlformats.org/officeDocument/2006/relationships/ctrlProp" Target="../ctrlProps/ctrlProp158.xml"/><Relationship Id="rId48" Type="http://schemas.openxmlformats.org/officeDocument/2006/relationships/ctrlProp" Target="../ctrlProps/ctrlProp163.xml"/><Relationship Id="rId64" Type="http://schemas.openxmlformats.org/officeDocument/2006/relationships/ctrlProp" Target="../ctrlProps/ctrlProp179.xml"/><Relationship Id="rId69" Type="http://schemas.openxmlformats.org/officeDocument/2006/relationships/ctrlProp" Target="../ctrlProps/ctrlProp184.xml"/><Relationship Id="rId8" Type="http://schemas.openxmlformats.org/officeDocument/2006/relationships/ctrlProp" Target="../ctrlProps/ctrlProp123.xml"/><Relationship Id="rId51" Type="http://schemas.openxmlformats.org/officeDocument/2006/relationships/ctrlProp" Target="../ctrlProps/ctrlProp166.xml"/><Relationship Id="rId72" Type="http://schemas.openxmlformats.org/officeDocument/2006/relationships/ctrlProp" Target="../ctrlProps/ctrlProp187.xml"/><Relationship Id="rId80" Type="http://schemas.openxmlformats.org/officeDocument/2006/relationships/ctrlProp" Target="../ctrlProps/ctrlProp195.xml"/><Relationship Id="rId85" Type="http://schemas.openxmlformats.org/officeDocument/2006/relationships/ctrlProp" Target="../ctrlProps/ctrlProp200.xml"/><Relationship Id="rId93" Type="http://schemas.openxmlformats.org/officeDocument/2006/relationships/ctrlProp" Target="../ctrlProps/ctrlProp208.xml"/><Relationship Id="rId3" Type="http://schemas.openxmlformats.org/officeDocument/2006/relationships/vmlDrawing" Target="../drawings/vmlDrawing5.vml"/><Relationship Id="rId12" Type="http://schemas.openxmlformats.org/officeDocument/2006/relationships/ctrlProp" Target="../ctrlProps/ctrlProp127.xml"/><Relationship Id="rId17" Type="http://schemas.openxmlformats.org/officeDocument/2006/relationships/ctrlProp" Target="../ctrlProps/ctrlProp132.xml"/><Relationship Id="rId25" Type="http://schemas.openxmlformats.org/officeDocument/2006/relationships/ctrlProp" Target="../ctrlProps/ctrlProp140.xml"/><Relationship Id="rId33" Type="http://schemas.openxmlformats.org/officeDocument/2006/relationships/ctrlProp" Target="../ctrlProps/ctrlProp148.xml"/><Relationship Id="rId38" Type="http://schemas.openxmlformats.org/officeDocument/2006/relationships/ctrlProp" Target="../ctrlProps/ctrlProp153.xml"/><Relationship Id="rId46" Type="http://schemas.openxmlformats.org/officeDocument/2006/relationships/ctrlProp" Target="../ctrlProps/ctrlProp161.xml"/><Relationship Id="rId59" Type="http://schemas.openxmlformats.org/officeDocument/2006/relationships/ctrlProp" Target="../ctrlProps/ctrlProp174.xml"/><Relationship Id="rId67" Type="http://schemas.openxmlformats.org/officeDocument/2006/relationships/ctrlProp" Target="../ctrlProps/ctrlProp182.xml"/><Relationship Id="rId20" Type="http://schemas.openxmlformats.org/officeDocument/2006/relationships/ctrlProp" Target="../ctrlProps/ctrlProp135.xml"/><Relationship Id="rId41" Type="http://schemas.openxmlformats.org/officeDocument/2006/relationships/ctrlProp" Target="../ctrlProps/ctrlProp156.xml"/><Relationship Id="rId54" Type="http://schemas.openxmlformats.org/officeDocument/2006/relationships/ctrlProp" Target="../ctrlProps/ctrlProp169.xml"/><Relationship Id="rId62" Type="http://schemas.openxmlformats.org/officeDocument/2006/relationships/ctrlProp" Target="../ctrlProps/ctrlProp177.xml"/><Relationship Id="rId70" Type="http://schemas.openxmlformats.org/officeDocument/2006/relationships/ctrlProp" Target="../ctrlProps/ctrlProp185.xml"/><Relationship Id="rId75" Type="http://schemas.openxmlformats.org/officeDocument/2006/relationships/ctrlProp" Target="../ctrlProps/ctrlProp190.xml"/><Relationship Id="rId83" Type="http://schemas.openxmlformats.org/officeDocument/2006/relationships/ctrlProp" Target="../ctrlProps/ctrlProp198.xml"/><Relationship Id="rId88" Type="http://schemas.openxmlformats.org/officeDocument/2006/relationships/ctrlProp" Target="../ctrlProps/ctrlProp203.xml"/><Relationship Id="rId91" Type="http://schemas.openxmlformats.org/officeDocument/2006/relationships/ctrlProp" Target="../ctrlProps/ctrlProp206.xml"/><Relationship Id="rId96" Type="http://schemas.openxmlformats.org/officeDocument/2006/relationships/ctrlProp" Target="../ctrlProps/ctrlProp211.xml"/><Relationship Id="rId1" Type="http://schemas.openxmlformats.org/officeDocument/2006/relationships/printerSettings" Target="../printerSettings/printerSettings5.bin"/><Relationship Id="rId6" Type="http://schemas.openxmlformats.org/officeDocument/2006/relationships/ctrlProp" Target="../ctrlProps/ctrlProp121.xml"/><Relationship Id="rId15" Type="http://schemas.openxmlformats.org/officeDocument/2006/relationships/ctrlProp" Target="../ctrlProps/ctrlProp130.xml"/><Relationship Id="rId23" Type="http://schemas.openxmlformats.org/officeDocument/2006/relationships/ctrlProp" Target="../ctrlProps/ctrlProp138.xml"/><Relationship Id="rId28" Type="http://schemas.openxmlformats.org/officeDocument/2006/relationships/ctrlProp" Target="../ctrlProps/ctrlProp143.xml"/><Relationship Id="rId36" Type="http://schemas.openxmlformats.org/officeDocument/2006/relationships/ctrlProp" Target="../ctrlProps/ctrlProp151.xml"/><Relationship Id="rId49" Type="http://schemas.openxmlformats.org/officeDocument/2006/relationships/ctrlProp" Target="../ctrlProps/ctrlProp164.xml"/><Relationship Id="rId57" Type="http://schemas.openxmlformats.org/officeDocument/2006/relationships/ctrlProp" Target="../ctrlProps/ctrlProp172.xml"/><Relationship Id="rId10" Type="http://schemas.openxmlformats.org/officeDocument/2006/relationships/ctrlProp" Target="../ctrlProps/ctrlProp125.xml"/><Relationship Id="rId31" Type="http://schemas.openxmlformats.org/officeDocument/2006/relationships/ctrlProp" Target="../ctrlProps/ctrlProp146.xml"/><Relationship Id="rId44" Type="http://schemas.openxmlformats.org/officeDocument/2006/relationships/ctrlProp" Target="../ctrlProps/ctrlProp159.xml"/><Relationship Id="rId52" Type="http://schemas.openxmlformats.org/officeDocument/2006/relationships/ctrlProp" Target="../ctrlProps/ctrlProp167.xml"/><Relationship Id="rId60" Type="http://schemas.openxmlformats.org/officeDocument/2006/relationships/ctrlProp" Target="../ctrlProps/ctrlProp175.xml"/><Relationship Id="rId65" Type="http://schemas.openxmlformats.org/officeDocument/2006/relationships/ctrlProp" Target="../ctrlProps/ctrlProp180.xml"/><Relationship Id="rId73" Type="http://schemas.openxmlformats.org/officeDocument/2006/relationships/ctrlProp" Target="../ctrlProps/ctrlProp188.xml"/><Relationship Id="rId78" Type="http://schemas.openxmlformats.org/officeDocument/2006/relationships/ctrlProp" Target="../ctrlProps/ctrlProp193.xml"/><Relationship Id="rId81" Type="http://schemas.openxmlformats.org/officeDocument/2006/relationships/ctrlProp" Target="../ctrlProps/ctrlProp196.xml"/><Relationship Id="rId86" Type="http://schemas.openxmlformats.org/officeDocument/2006/relationships/ctrlProp" Target="../ctrlProps/ctrlProp201.xml"/><Relationship Id="rId94" Type="http://schemas.openxmlformats.org/officeDocument/2006/relationships/ctrlProp" Target="../ctrlProps/ctrlProp209.xml"/><Relationship Id="rId4" Type="http://schemas.openxmlformats.org/officeDocument/2006/relationships/ctrlProp" Target="../ctrlProps/ctrlProp119.xml"/><Relationship Id="rId9" Type="http://schemas.openxmlformats.org/officeDocument/2006/relationships/ctrlProp" Target="../ctrlProps/ctrlProp124.xml"/><Relationship Id="rId13" Type="http://schemas.openxmlformats.org/officeDocument/2006/relationships/ctrlProp" Target="../ctrlProps/ctrlProp128.xml"/><Relationship Id="rId18" Type="http://schemas.openxmlformats.org/officeDocument/2006/relationships/ctrlProp" Target="../ctrlProps/ctrlProp133.xml"/><Relationship Id="rId39" Type="http://schemas.openxmlformats.org/officeDocument/2006/relationships/ctrlProp" Target="../ctrlProps/ctrlProp154.xml"/><Relationship Id="rId34" Type="http://schemas.openxmlformats.org/officeDocument/2006/relationships/ctrlProp" Target="../ctrlProps/ctrlProp149.xml"/><Relationship Id="rId50" Type="http://schemas.openxmlformats.org/officeDocument/2006/relationships/ctrlProp" Target="../ctrlProps/ctrlProp165.xml"/><Relationship Id="rId55" Type="http://schemas.openxmlformats.org/officeDocument/2006/relationships/ctrlProp" Target="../ctrlProps/ctrlProp170.xml"/><Relationship Id="rId76" Type="http://schemas.openxmlformats.org/officeDocument/2006/relationships/ctrlProp" Target="../ctrlProps/ctrlProp191.xml"/><Relationship Id="rId7" Type="http://schemas.openxmlformats.org/officeDocument/2006/relationships/ctrlProp" Target="../ctrlProps/ctrlProp122.xml"/><Relationship Id="rId71" Type="http://schemas.openxmlformats.org/officeDocument/2006/relationships/ctrlProp" Target="../ctrlProps/ctrlProp186.xml"/><Relationship Id="rId92" Type="http://schemas.openxmlformats.org/officeDocument/2006/relationships/ctrlProp" Target="../ctrlProps/ctrlProp207.xml"/><Relationship Id="rId2" Type="http://schemas.openxmlformats.org/officeDocument/2006/relationships/drawing" Target="../drawings/drawing5.xml"/><Relationship Id="rId29" Type="http://schemas.openxmlformats.org/officeDocument/2006/relationships/ctrlProp" Target="../ctrlProps/ctrlProp144.xml"/><Relationship Id="rId24" Type="http://schemas.openxmlformats.org/officeDocument/2006/relationships/ctrlProp" Target="../ctrlProps/ctrlProp139.xml"/><Relationship Id="rId40" Type="http://schemas.openxmlformats.org/officeDocument/2006/relationships/ctrlProp" Target="../ctrlProps/ctrlProp155.xml"/><Relationship Id="rId45" Type="http://schemas.openxmlformats.org/officeDocument/2006/relationships/ctrlProp" Target="../ctrlProps/ctrlProp160.xml"/><Relationship Id="rId66" Type="http://schemas.openxmlformats.org/officeDocument/2006/relationships/ctrlProp" Target="../ctrlProps/ctrlProp181.xml"/><Relationship Id="rId87" Type="http://schemas.openxmlformats.org/officeDocument/2006/relationships/ctrlProp" Target="../ctrlProps/ctrlProp202.xml"/><Relationship Id="rId61" Type="http://schemas.openxmlformats.org/officeDocument/2006/relationships/ctrlProp" Target="../ctrlProps/ctrlProp176.xml"/><Relationship Id="rId82" Type="http://schemas.openxmlformats.org/officeDocument/2006/relationships/ctrlProp" Target="../ctrlProps/ctrlProp197.xml"/><Relationship Id="rId19" Type="http://schemas.openxmlformats.org/officeDocument/2006/relationships/ctrlProp" Target="../ctrlProps/ctrlProp134.xml"/><Relationship Id="rId14" Type="http://schemas.openxmlformats.org/officeDocument/2006/relationships/ctrlProp" Target="../ctrlProps/ctrlProp129.xml"/><Relationship Id="rId30" Type="http://schemas.openxmlformats.org/officeDocument/2006/relationships/ctrlProp" Target="../ctrlProps/ctrlProp145.xml"/><Relationship Id="rId35" Type="http://schemas.openxmlformats.org/officeDocument/2006/relationships/ctrlProp" Target="../ctrlProps/ctrlProp150.xml"/><Relationship Id="rId56" Type="http://schemas.openxmlformats.org/officeDocument/2006/relationships/ctrlProp" Target="../ctrlProps/ctrlProp171.xml"/><Relationship Id="rId77" Type="http://schemas.openxmlformats.org/officeDocument/2006/relationships/ctrlProp" Target="../ctrlProps/ctrlProp192.xml"/></Relationships>
</file>

<file path=xl/worksheets/_rels/sheet6.xml.rels><?xml version="1.0" encoding="UTF-8" standalone="yes"?>
<Relationships xmlns="http://schemas.openxmlformats.org/package/2006/relationships"><Relationship Id="rId26" Type="http://schemas.openxmlformats.org/officeDocument/2006/relationships/ctrlProp" Target="../ctrlProps/ctrlProp234.xml"/><Relationship Id="rId21" Type="http://schemas.openxmlformats.org/officeDocument/2006/relationships/ctrlProp" Target="../ctrlProps/ctrlProp229.xml"/><Relationship Id="rId42" Type="http://schemas.openxmlformats.org/officeDocument/2006/relationships/ctrlProp" Target="../ctrlProps/ctrlProp250.xml"/><Relationship Id="rId47" Type="http://schemas.openxmlformats.org/officeDocument/2006/relationships/ctrlProp" Target="../ctrlProps/ctrlProp255.xml"/><Relationship Id="rId63" Type="http://schemas.openxmlformats.org/officeDocument/2006/relationships/ctrlProp" Target="../ctrlProps/ctrlProp271.xml"/><Relationship Id="rId68" Type="http://schemas.openxmlformats.org/officeDocument/2006/relationships/ctrlProp" Target="../ctrlProps/ctrlProp276.xml"/><Relationship Id="rId16" Type="http://schemas.openxmlformats.org/officeDocument/2006/relationships/ctrlProp" Target="../ctrlProps/ctrlProp224.xml"/><Relationship Id="rId11" Type="http://schemas.openxmlformats.org/officeDocument/2006/relationships/ctrlProp" Target="../ctrlProps/ctrlProp219.xml"/><Relationship Id="rId24" Type="http://schemas.openxmlformats.org/officeDocument/2006/relationships/ctrlProp" Target="../ctrlProps/ctrlProp232.xml"/><Relationship Id="rId32" Type="http://schemas.openxmlformats.org/officeDocument/2006/relationships/ctrlProp" Target="../ctrlProps/ctrlProp240.xml"/><Relationship Id="rId37" Type="http://schemas.openxmlformats.org/officeDocument/2006/relationships/ctrlProp" Target="../ctrlProps/ctrlProp245.xml"/><Relationship Id="rId40" Type="http://schemas.openxmlformats.org/officeDocument/2006/relationships/ctrlProp" Target="../ctrlProps/ctrlProp248.xml"/><Relationship Id="rId45" Type="http://schemas.openxmlformats.org/officeDocument/2006/relationships/ctrlProp" Target="../ctrlProps/ctrlProp253.xml"/><Relationship Id="rId53" Type="http://schemas.openxmlformats.org/officeDocument/2006/relationships/ctrlProp" Target="../ctrlProps/ctrlProp261.xml"/><Relationship Id="rId58" Type="http://schemas.openxmlformats.org/officeDocument/2006/relationships/ctrlProp" Target="../ctrlProps/ctrlProp266.xml"/><Relationship Id="rId66" Type="http://schemas.openxmlformats.org/officeDocument/2006/relationships/ctrlProp" Target="../ctrlProps/ctrlProp274.xml"/><Relationship Id="rId74" Type="http://schemas.openxmlformats.org/officeDocument/2006/relationships/ctrlProp" Target="../ctrlProps/ctrlProp282.xml"/><Relationship Id="rId5" Type="http://schemas.openxmlformats.org/officeDocument/2006/relationships/ctrlProp" Target="../ctrlProps/ctrlProp213.xml"/><Relationship Id="rId61" Type="http://schemas.openxmlformats.org/officeDocument/2006/relationships/ctrlProp" Target="../ctrlProps/ctrlProp269.xml"/><Relationship Id="rId19" Type="http://schemas.openxmlformats.org/officeDocument/2006/relationships/ctrlProp" Target="../ctrlProps/ctrlProp227.xml"/><Relationship Id="rId14" Type="http://schemas.openxmlformats.org/officeDocument/2006/relationships/ctrlProp" Target="../ctrlProps/ctrlProp222.xml"/><Relationship Id="rId22" Type="http://schemas.openxmlformats.org/officeDocument/2006/relationships/ctrlProp" Target="../ctrlProps/ctrlProp230.xml"/><Relationship Id="rId27" Type="http://schemas.openxmlformats.org/officeDocument/2006/relationships/ctrlProp" Target="../ctrlProps/ctrlProp235.xml"/><Relationship Id="rId30" Type="http://schemas.openxmlformats.org/officeDocument/2006/relationships/ctrlProp" Target="../ctrlProps/ctrlProp238.xml"/><Relationship Id="rId35" Type="http://schemas.openxmlformats.org/officeDocument/2006/relationships/ctrlProp" Target="../ctrlProps/ctrlProp243.xml"/><Relationship Id="rId43" Type="http://schemas.openxmlformats.org/officeDocument/2006/relationships/ctrlProp" Target="../ctrlProps/ctrlProp251.xml"/><Relationship Id="rId48" Type="http://schemas.openxmlformats.org/officeDocument/2006/relationships/ctrlProp" Target="../ctrlProps/ctrlProp256.xml"/><Relationship Id="rId56" Type="http://schemas.openxmlformats.org/officeDocument/2006/relationships/ctrlProp" Target="../ctrlProps/ctrlProp264.xml"/><Relationship Id="rId64" Type="http://schemas.openxmlformats.org/officeDocument/2006/relationships/ctrlProp" Target="../ctrlProps/ctrlProp272.xml"/><Relationship Id="rId69" Type="http://schemas.openxmlformats.org/officeDocument/2006/relationships/ctrlProp" Target="../ctrlProps/ctrlProp277.xml"/><Relationship Id="rId77" Type="http://schemas.openxmlformats.org/officeDocument/2006/relationships/ctrlProp" Target="../ctrlProps/ctrlProp285.xml"/><Relationship Id="rId8" Type="http://schemas.openxmlformats.org/officeDocument/2006/relationships/ctrlProp" Target="../ctrlProps/ctrlProp216.xml"/><Relationship Id="rId51" Type="http://schemas.openxmlformats.org/officeDocument/2006/relationships/ctrlProp" Target="../ctrlProps/ctrlProp259.xml"/><Relationship Id="rId72" Type="http://schemas.openxmlformats.org/officeDocument/2006/relationships/ctrlProp" Target="../ctrlProps/ctrlProp280.xml"/><Relationship Id="rId3" Type="http://schemas.openxmlformats.org/officeDocument/2006/relationships/vmlDrawing" Target="../drawings/vmlDrawing6.vml"/><Relationship Id="rId12" Type="http://schemas.openxmlformats.org/officeDocument/2006/relationships/ctrlProp" Target="../ctrlProps/ctrlProp220.xml"/><Relationship Id="rId17" Type="http://schemas.openxmlformats.org/officeDocument/2006/relationships/ctrlProp" Target="../ctrlProps/ctrlProp225.xml"/><Relationship Id="rId25" Type="http://schemas.openxmlformats.org/officeDocument/2006/relationships/ctrlProp" Target="../ctrlProps/ctrlProp233.xml"/><Relationship Id="rId33" Type="http://schemas.openxmlformats.org/officeDocument/2006/relationships/ctrlProp" Target="../ctrlProps/ctrlProp241.xml"/><Relationship Id="rId38" Type="http://schemas.openxmlformats.org/officeDocument/2006/relationships/ctrlProp" Target="../ctrlProps/ctrlProp246.xml"/><Relationship Id="rId46" Type="http://schemas.openxmlformats.org/officeDocument/2006/relationships/ctrlProp" Target="../ctrlProps/ctrlProp254.xml"/><Relationship Id="rId59" Type="http://schemas.openxmlformats.org/officeDocument/2006/relationships/ctrlProp" Target="../ctrlProps/ctrlProp267.xml"/><Relationship Id="rId67" Type="http://schemas.openxmlformats.org/officeDocument/2006/relationships/ctrlProp" Target="../ctrlProps/ctrlProp275.xml"/><Relationship Id="rId20" Type="http://schemas.openxmlformats.org/officeDocument/2006/relationships/ctrlProp" Target="../ctrlProps/ctrlProp228.xml"/><Relationship Id="rId41" Type="http://schemas.openxmlformats.org/officeDocument/2006/relationships/ctrlProp" Target="../ctrlProps/ctrlProp249.xml"/><Relationship Id="rId54" Type="http://schemas.openxmlformats.org/officeDocument/2006/relationships/ctrlProp" Target="../ctrlProps/ctrlProp262.xml"/><Relationship Id="rId62" Type="http://schemas.openxmlformats.org/officeDocument/2006/relationships/ctrlProp" Target="../ctrlProps/ctrlProp270.xml"/><Relationship Id="rId70" Type="http://schemas.openxmlformats.org/officeDocument/2006/relationships/ctrlProp" Target="../ctrlProps/ctrlProp278.xml"/><Relationship Id="rId75" Type="http://schemas.openxmlformats.org/officeDocument/2006/relationships/ctrlProp" Target="../ctrlProps/ctrlProp283.xml"/><Relationship Id="rId1" Type="http://schemas.openxmlformats.org/officeDocument/2006/relationships/printerSettings" Target="../printerSettings/printerSettings6.bin"/><Relationship Id="rId6" Type="http://schemas.openxmlformats.org/officeDocument/2006/relationships/ctrlProp" Target="../ctrlProps/ctrlProp214.xml"/><Relationship Id="rId15" Type="http://schemas.openxmlformats.org/officeDocument/2006/relationships/ctrlProp" Target="../ctrlProps/ctrlProp223.xml"/><Relationship Id="rId23" Type="http://schemas.openxmlformats.org/officeDocument/2006/relationships/ctrlProp" Target="../ctrlProps/ctrlProp231.xml"/><Relationship Id="rId28" Type="http://schemas.openxmlformats.org/officeDocument/2006/relationships/ctrlProp" Target="../ctrlProps/ctrlProp236.xml"/><Relationship Id="rId36" Type="http://schemas.openxmlformats.org/officeDocument/2006/relationships/ctrlProp" Target="../ctrlProps/ctrlProp244.xml"/><Relationship Id="rId49" Type="http://schemas.openxmlformats.org/officeDocument/2006/relationships/ctrlProp" Target="../ctrlProps/ctrlProp257.xml"/><Relationship Id="rId57" Type="http://schemas.openxmlformats.org/officeDocument/2006/relationships/ctrlProp" Target="../ctrlProps/ctrlProp265.xml"/><Relationship Id="rId10" Type="http://schemas.openxmlformats.org/officeDocument/2006/relationships/ctrlProp" Target="../ctrlProps/ctrlProp218.xml"/><Relationship Id="rId31" Type="http://schemas.openxmlformats.org/officeDocument/2006/relationships/ctrlProp" Target="../ctrlProps/ctrlProp239.xml"/><Relationship Id="rId44" Type="http://schemas.openxmlformats.org/officeDocument/2006/relationships/ctrlProp" Target="../ctrlProps/ctrlProp252.xml"/><Relationship Id="rId52" Type="http://schemas.openxmlformats.org/officeDocument/2006/relationships/ctrlProp" Target="../ctrlProps/ctrlProp260.xml"/><Relationship Id="rId60" Type="http://schemas.openxmlformats.org/officeDocument/2006/relationships/ctrlProp" Target="../ctrlProps/ctrlProp268.xml"/><Relationship Id="rId65" Type="http://schemas.openxmlformats.org/officeDocument/2006/relationships/ctrlProp" Target="../ctrlProps/ctrlProp273.xml"/><Relationship Id="rId73" Type="http://schemas.openxmlformats.org/officeDocument/2006/relationships/ctrlProp" Target="../ctrlProps/ctrlProp281.xml"/><Relationship Id="rId78" Type="http://schemas.openxmlformats.org/officeDocument/2006/relationships/ctrlProp" Target="../ctrlProps/ctrlProp286.xml"/><Relationship Id="rId4" Type="http://schemas.openxmlformats.org/officeDocument/2006/relationships/ctrlProp" Target="../ctrlProps/ctrlProp212.xml"/><Relationship Id="rId9" Type="http://schemas.openxmlformats.org/officeDocument/2006/relationships/ctrlProp" Target="../ctrlProps/ctrlProp217.xml"/><Relationship Id="rId13" Type="http://schemas.openxmlformats.org/officeDocument/2006/relationships/ctrlProp" Target="../ctrlProps/ctrlProp221.xml"/><Relationship Id="rId18" Type="http://schemas.openxmlformats.org/officeDocument/2006/relationships/ctrlProp" Target="../ctrlProps/ctrlProp226.xml"/><Relationship Id="rId39" Type="http://schemas.openxmlformats.org/officeDocument/2006/relationships/ctrlProp" Target="../ctrlProps/ctrlProp247.xml"/><Relationship Id="rId34" Type="http://schemas.openxmlformats.org/officeDocument/2006/relationships/ctrlProp" Target="../ctrlProps/ctrlProp242.xml"/><Relationship Id="rId50" Type="http://schemas.openxmlformats.org/officeDocument/2006/relationships/ctrlProp" Target="../ctrlProps/ctrlProp258.xml"/><Relationship Id="rId55" Type="http://schemas.openxmlformats.org/officeDocument/2006/relationships/ctrlProp" Target="../ctrlProps/ctrlProp263.xml"/><Relationship Id="rId76" Type="http://schemas.openxmlformats.org/officeDocument/2006/relationships/ctrlProp" Target="../ctrlProps/ctrlProp284.xml"/><Relationship Id="rId7" Type="http://schemas.openxmlformats.org/officeDocument/2006/relationships/ctrlProp" Target="../ctrlProps/ctrlProp215.xml"/><Relationship Id="rId71" Type="http://schemas.openxmlformats.org/officeDocument/2006/relationships/ctrlProp" Target="../ctrlProps/ctrlProp279.xml"/><Relationship Id="rId2" Type="http://schemas.openxmlformats.org/officeDocument/2006/relationships/drawing" Target="../drawings/drawing6.xml"/><Relationship Id="rId29" Type="http://schemas.openxmlformats.org/officeDocument/2006/relationships/ctrlProp" Target="../ctrlProps/ctrlProp23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3" tint="0.39997558519241921"/>
  </sheetPr>
  <dimension ref="A1:P187"/>
  <sheetViews>
    <sheetView showRuler="0" view="pageLayout" zoomScaleNormal="100" workbookViewId="0">
      <selection activeCell="C4" sqref="C4:D4"/>
    </sheetView>
  </sheetViews>
  <sheetFormatPr baseColWidth="10" defaultColWidth="9.1640625" defaultRowHeight="15" x14ac:dyDescent="0.2"/>
  <cols>
    <col min="1" max="1" width="4.5" customWidth="1"/>
    <col min="2" max="2" width="5.83203125" customWidth="1"/>
    <col min="3" max="3" width="3.83203125" customWidth="1"/>
    <col min="4" max="4" width="22" bestFit="1" customWidth="1"/>
    <col min="5" max="5" width="2.5" customWidth="1"/>
    <col min="6" max="6" width="12.5" customWidth="1"/>
    <col min="7" max="7" width="7.1640625" customWidth="1"/>
    <col min="8" max="8" width="5.5" customWidth="1"/>
    <col min="9" max="9" width="2.6640625" customWidth="1"/>
    <col min="10" max="13" width="3.6640625" customWidth="1"/>
    <col min="14" max="14" width="4" customWidth="1"/>
    <col min="15" max="15" width="4.83203125" customWidth="1"/>
    <col min="16" max="16" width="5.5" customWidth="1"/>
  </cols>
  <sheetData>
    <row r="1" spans="2:15" ht="14.25" customHeight="1" thickBot="1" x14ac:dyDescent="0.25"/>
    <row r="2" spans="2:15" ht="15" customHeight="1" thickBot="1" x14ac:dyDescent="0.25">
      <c r="F2" s="2" t="s">
        <v>217</v>
      </c>
      <c r="G2" s="28">
        <f>SUM(M17,L41,L68,L82,L106,L120,L136,L155,L172)</f>
        <v>0</v>
      </c>
      <c r="H2" s="3" t="s">
        <v>1</v>
      </c>
      <c r="I2" s="529">
        <v>35</v>
      </c>
      <c r="J2" s="530"/>
      <c r="L2" s="3"/>
      <c r="M2" s="3"/>
      <c r="N2" s="519">
        <f>SUM(G2/I2)</f>
        <v>0</v>
      </c>
      <c r="O2" s="520"/>
    </row>
    <row r="3" spans="2:15" ht="7.5" customHeight="1" x14ac:dyDescent="0.2"/>
    <row r="4" spans="2:15" ht="14.25" customHeight="1" x14ac:dyDescent="0.2">
      <c r="B4" s="51" t="s">
        <v>2</v>
      </c>
      <c r="C4" s="521"/>
      <c r="D4" s="522"/>
      <c r="F4" s="51" t="s">
        <v>3</v>
      </c>
      <c r="G4" s="523"/>
      <c r="H4" s="524"/>
      <c r="J4" s="525" t="s">
        <v>218</v>
      </c>
      <c r="K4" s="526"/>
      <c r="L4" s="527" t="s">
        <v>92</v>
      </c>
      <c r="M4" s="527"/>
      <c r="N4" s="527"/>
      <c r="O4" s="528"/>
    </row>
    <row r="5" spans="2:15" ht="7.25" customHeight="1" x14ac:dyDescent="0.2"/>
    <row r="6" spans="2:15" ht="14.25" customHeight="1" x14ac:dyDescent="0.2">
      <c r="B6" s="531" t="s">
        <v>219</v>
      </c>
      <c r="C6" s="532"/>
      <c r="D6" s="56" t="s">
        <v>91</v>
      </c>
      <c r="F6" s="5" t="s">
        <v>6</v>
      </c>
      <c r="G6" s="54"/>
      <c r="H6" s="55" t="s">
        <v>220</v>
      </c>
      <c r="J6" s="529" t="s">
        <v>221</v>
      </c>
      <c r="K6" s="530"/>
      <c r="L6" s="533" t="s">
        <v>92</v>
      </c>
      <c r="M6" s="534"/>
      <c r="N6" s="534"/>
      <c r="O6" s="535"/>
    </row>
    <row r="7" spans="2:15" ht="7.25" customHeight="1" thickBot="1" x14ac:dyDescent="0.25"/>
    <row r="8" spans="2:15" ht="14.25" customHeight="1" x14ac:dyDescent="0.2">
      <c r="B8" s="511" t="s">
        <v>250</v>
      </c>
      <c r="C8" s="512"/>
      <c r="D8" s="512"/>
      <c r="E8" s="512"/>
      <c r="F8" s="512"/>
      <c r="G8" s="512"/>
      <c r="H8" s="512"/>
      <c r="I8" s="512"/>
      <c r="J8" s="512"/>
      <c r="K8" s="512"/>
      <c r="L8" s="512"/>
      <c r="M8" s="512"/>
      <c r="N8" s="512"/>
      <c r="O8" s="513"/>
    </row>
    <row r="9" spans="2:15" ht="14.25" customHeight="1" thickBot="1" x14ac:dyDescent="0.25">
      <c r="B9" s="514"/>
      <c r="C9" s="515"/>
      <c r="D9" s="515"/>
      <c r="E9" s="515"/>
      <c r="F9" s="515"/>
      <c r="G9" s="515"/>
      <c r="H9" s="515"/>
      <c r="I9" s="515"/>
      <c r="J9" s="515"/>
      <c r="K9" s="515"/>
      <c r="L9" s="515"/>
      <c r="M9" s="515"/>
      <c r="N9" s="515"/>
      <c r="O9" s="516"/>
    </row>
    <row r="10" spans="2:15" ht="14.25" customHeight="1" x14ac:dyDescent="0.2">
      <c r="B10" s="2">
        <v>1</v>
      </c>
      <c r="C10" s="538" t="s">
        <v>97</v>
      </c>
      <c r="D10" s="538"/>
      <c r="E10" s="538"/>
      <c r="F10" s="538"/>
      <c r="G10" s="538"/>
      <c r="H10" s="538"/>
      <c r="I10" s="538"/>
      <c r="J10" s="57" t="s">
        <v>211</v>
      </c>
      <c r="K10" s="1" t="s">
        <v>215</v>
      </c>
      <c r="L10" s="57" t="s">
        <v>211</v>
      </c>
      <c r="M10" s="1" t="s">
        <v>214</v>
      </c>
      <c r="N10" s="57" t="s">
        <v>211</v>
      </c>
      <c r="O10" s="1" t="s">
        <v>213</v>
      </c>
    </row>
    <row r="11" spans="2:15" ht="14.25" customHeight="1" x14ac:dyDescent="0.2">
      <c r="B11" s="2" t="s">
        <v>9</v>
      </c>
      <c r="C11" s="494" t="s">
        <v>13</v>
      </c>
      <c r="D11" s="494"/>
      <c r="E11" s="494"/>
      <c r="F11" s="494"/>
      <c r="G11" s="494"/>
      <c r="H11" s="494"/>
      <c r="I11" s="494"/>
      <c r="J11" s="57" t="s">
        <v>211</v>
      </c>
      <c r="K11" s="1" t="s">
        <v>215</v>
      </c>
      <c r="L11" s="57" t="s">
        <v>211</v>
      </c>
      <c r="M11" s="1" t="s">
        <v>214</v>
      </c>
      <c r="N11" s="57" t="s">
        <v>211</v>
      </c>
      <c r="O11" s="1" t="s">
        <v>213</v>
      </c>
    </row>
    <row r="12" spans="2:15" ht="14.25" customHeight="1" x14ac:dyDescent="0.2">
      <c r="B12" s="2" t="s">
        <v>180</v>
      </c>
      <c r="C12" s="494" t="s">
        <v>178</v>
      </c>
      <c r="D12" s="494"/>
      <c r="E12" s="494"/>
      <c r="F12" s="494"/>
      <c r="G12" s="494"/>
      <c r="H12" s="494"/>
      <c r="I12" s="494"/>
      <c r="J12" s="57" t="s">
        <v>211</v>
      </c>
      <c r="K12" s="1" t="s">
        <v>215</v>
      </c>
      <c r="L12" s="57" t="s">
        <v>211</v>
      </c>
      <c r="M12" s="1" t="s">
        <v>214</v>
      </c>
      <c r="N12" s="57" t="s">
        <v>211</v>
      </c>
      <c r="O12" s="1" t="s">
        <v>213</v>
      </c>
    </row>
    <row r="13" spans="2:15" ht="14.25" customHeight="1" x14ac:dyDescent="0.2">
      <c r="B13" s="2">
        <v>2</v>
      </c>
      <c r="C13" s="539" t="s">
        <v>99</v>
      </c>
      <c r="D13" s="539"/>
      <c r="E13" s="539"/>
      <c r="F13" s="539"/>
      <c r="G13" s="539"/>
      <c r="H13" s="539"/>
      <c r="I13" s="539"/>
      <c r="J13" s="57" t="s">
        <v>211</v>
      </c>
      <c r="K13" s="1" t="s">
        <v>215</v>
      </c>
      <c r="L13" s="57" t="s">
        <v>211</v>
      </c>
      <c r="M13" s="1" t="s">
        <v>214</v>
      </c>
      <c r="N13" s="57" t="s">
        <v>211</v>
      </c>
      <c r="O13" s="1" t="s">
        <v>213</v>
      </c>
    </row>
    <row r="14" spans="2:15" ht="14.25" customHeight="1" x14ac:dyDescent="0.2">
      <c r="B14" s="2" t="s">
        <v>100</v>
      </c>
      <c r="C14" s="539" t="s">
        <v>101</v>
      </c>
      <c r="D14" s="539"/>
      <c r="E14" s="539"/>
      <c r="F14" s="539"/>
      <c r="G14" s="539"/>
      <c r="H14" s="539"/>
      <c r="I14" s="539"/>
      <c r="J14" s="57" t="s">
        <v>211</v>
      </c>
      <c r="K14" s="1" t="s">
        <v>215</v>
      </c>
      <c r="L14" s="57" t="s">
        <v>211</v>
      </c>
      <c r="M14" s="1" t="s">
        <v>214</v>
      </c>
      <c r="N14" s="57" t="s">
        <v>211</v>
      </c>
      <c r="O14" s="1" t="s">
        <v>213</v>
      </c>
    </row>
    <row r="15" spans="2:15" ht="14.25" customHeight="1" thickBot="1" x14ac:dyDescent="0.25">
      <c r="B15" s="2">
        <v>3</v>
      </c>
      <c r="C15" s="539" t="s">
        <v>102</v>
      </c>
      <c r="D15" s="539"/>
      <c r="E15" s="539"/>
      <c r="F15" s="539"/>
      <c r="G15" s="539"/>
      <c r="H15" s="539"/>
      <c r="I15" s="539"/>
      <c r="J15" s="57" t="s">
        <v>211</v>
      </c>
      <c r="K15" s="1" t="s">
        <v>215</v>
      </c>
      <c r="L15" s="57" t="s">
        <v>211</v>
      </c>
      <c r="M15" s="1" t="s">
        <v>214</v>
      </c>
      <c r="N15" s="57" t="s">
        <v>211</v>
      </c>
      <c r="O15" s="1" t="s">
        <v>213</v>
      </c>
    </row>
    <row r="16" spans="2:15" ht="14.25" customHeight="1" thickBot="1" x14ac:dyDescent="0.25">
      <c r="C16" s="533" t="s">
        <v>120</v>
      </c>
      <c r="D16" s="534"/>
      <c r="E16" s="534"/>
      <c r="F16" s="240">
        <f>VLOOKUP(C16,Data!G49:H63,2,FALSE)</f>
        <v>0</v>
      </c>
      <c r="I16" s="11"/>
      <c r="J16" s="11">
        <f>COUNTIF(J10:J15,Data!A1)</f>
        <v>0</v>
      </c>
      <c r="K16" s="11"/>
      <c r="L16" s="11">
        <f>COUNTIF(L10:L15,Data!A1)</f>
        <v>0</v>
      </c>
      <c r="M16" s="11"/>
      <c r="N16" s="11">
        <f>COUNTIF(N10:N15,Data!A1)</f>
        <v>0</v>
      </c>
      <c r="O16" s="11"/>
    </row>
    <row r="17" spans="1:15" ht="20" thickBot="1" x14ac:dyDescent="0.3">
      <c r="F17" s="496" t="s">
        <v>222</v>
      </c>
      <c r="G17" s="496"/>
      <c r="H17" s="53">
        <v>6</v>
      </c>
      <c r="I17" s="509" t="s">
        <v>223</v>
      </c>
      <c r="J17" s="509"/>
      <c r="K17" s="509"/>
      <c r="L17" s="510"/>
      <c r="M17" s="536">
        <f>SUM(J16,L16)</f>
        <v>0</v>
      </c>
      <c r="N17" s="537"/>
      <c r="O17" s="52"/>
    </row>
    <row r="18" spans="1:15" ht="14.25" customHeight="1" x14ac:dyDescent="0.2">
      <c r="B18" t="s">
        <v>15</v>
      </c>
    </row>
    <row r="19" spans="1:15" ht="14.25" customHeight="1" x14ac:dyDescent="0.2">
      <c r="B19" s="500"/>
      <c r="C19" s="501"/>
      <c r="D19" s="501"/>
      <c r="E19" s="501"/>
      <c r="F19" s="501"/>
      <c r="G19" s="501"/>
      <c r="H19" s="501"/>
      <c r="I19" s="501"/>
      <c r="J19" s="501"/>
      <c r="K19" s="501"/>
      <c r="L19" s="501"/>
      <c r="M19" s="501"/>
      <c r="N19" s="501"/>
      <c r="O19" s="502"/>
    </row>
    <row r="20" spans="1:15" ht="14.25" customHeight="1" x14ac:dyDescent="0.2">
      <c r="B20" s="503"/>
      <c r="C20" s="504"/>
      <c r="D20" s="504"/>
      <c r="E20" s="504"/>
      <c r="F20" s="504"/>
      <c r="G20" s="504"/>
      <c r="H20" s="504"/>
      <c r="I20" s="504"/>
      <c r="J20" s="504"/>
      <c r="K20" s="504"/>
      <c r="L20" s="504"/>
      <c r="M20" s="504"/>
      <c r="N20" s="504"/>
      <c r="O20" s="505"/>
    </row>
    <row r="21" spans="1:15" ht="14.25" customHeight="1" x14ac:dyDescent="0.2">
      <c r="B21" s="503"/>
      <c r="C21" s="504"/>
      <c r="D21" s="504"/>
      <c r="E21" s="504"/>
      <c r="F21" s="504"/>
      <c r="G21" s="504"/>
      <c r="H21" s="504"/>
      <c r="I21" s="504"/>
      <c r="J21" s="504"/>
      <c r="K21" s="504"/>
      <c r="L21" s="504"/>
      <c r="M21" s="504"/>
      <c r="N21" s="504"/>
      <c r="O21" s="505"/>
    </row>
    <row r="22" spans="1:15" ht="14.25" customHeight="1" x14ac:dyDescent="0.2">
      <c r="B22" s="506"/>
      <c r="C22" s="507"/>
      <c r="D22" s="507"/>
      <c r="E22" s="507"/>
      <c r="F22" s="507"/>
      <c r="G22" s="507"/>
      <c r="H22" s="507"/>
      <c r="I22" s="507"/>
      <c r="J22" s="507"/>
      <c r="K22" s="507"/>
      <c r="L22" s="507"/>
      <c r="M22" s="507"/>
      <c r="N22" s="507"/>
      <c r="O22" s="508"/>
    </row>
    <row r="23" spans="1:15" ht="7.25" customHeight="1" thickBot="1" x14ac:dyDescent="0.25"/>
    <row r="24" spans="1:15" ht="14.25" customHeight="1" x14ac:dyDescent="0.2">
      <c r="B24" s="511" t="s">
        <v>251</v>
      </c>
      <c r="C24" s="512"/>
      <c r="D24" s="512"/>
      <c r="E24" s="512"/>
      <c r="F24" s="512"/>
      <c r="G24" s="512"/>
      <c r="H24" s="512"/>
      <c r="I24" s="512"/>
      <c r="J24" s="512"/>
      <c r="K24" s="512"/>
      <c r="L24" s="512"/>
      <c r="M24" s="512"/>
      <c r="N24" s="512"/>
      <c r="O24" s="513"/>
    </row>
    <row r="25" spans="1:15" ht="14.25" customHeight="1" thickBot="1" x14ac:dyDescent="0.25">
      <c r="B25" s="514"/>
      <c r="C25" s="515"/>
      <c r="D25" s="515"/>
      <c r="E25" s="515"/>
      <c r="F25" s="515"/>
      <c r="G25" s="515"/>
      <c r="H25" s="515"/>
      <c r="I25" s="515"/>
      <c r="J25" s="515"/>
      <c r="K25" s="515"/>
      <c r="L25" s="515"/>
      <c r="M25" s="515"/>
      <c r="N25" s="515"/>
      <c r="O25" s="516"/>
    </row>
    <row r="26" spans="1:15" ht="14.25" customHeight="1" x14ac:dyDescent="0.2"/>
    <row r="27" spans="1:15" x14ac:dyDescent="0.2">
      <c r="A27" s="224">
        <v>49</v>
      </c>
      <c r="B27">
        <v>1</v>
      </c>
      <c r="C27" s="494" t="s">
        <v>254</v>
      </c>
      <c r="D27" s="494"/>
      <c r="E27" s="494"/>
      <c r="F27" s="494"/>
      <c r="G27" s="494"/>
      <c r="H27" s="494"/>
      <c r="J27" s="57" t="s">
        <v>211</v>
      </c>
      <c r="K27" s="1" t="s">
        <v>215</v>
      </c>
      <c r="L27" s="57" t="s">
        <v>211</v>
      </c>
      <c r="M27" s="1" t="s">
        <v>214</v>
      </c>
      <c r="N27" s="57" t="s">
        <v>211</v>
      </c>
      <c r="O27" s="1" t="s">
        <v>213</v>
      </c>
    </row>
    <row r="28" spans="1:15" x14ac:dyDescent="0.2">
      <c r="B28">
        <v>2</v>
      </c>
      <c r="C28" s="494" t="s">
        <v>255</v>
      </c>
      <c r="D28" s="494"/>
      <c r="E28" s="494"/>
      <c r="F28" s="494"/>
      <c r="G28" s="494"/>
      <c r="H28" s="494"/>
      <c r="J28" s="57" t="s">
        <v>211</v>
      </c>
      <c r="K28" s="1" t="s">
        <v>215</v>
      </c>
      <c r="L28" s="57" t="s">
        <v>211</v>
      </c>
      <c r="M28" s="1" t="s">
        <v>214</v>
      </c>
      <c r="N28" s="57" t="s">
        <v>211</v>
      </c>
      <c r="O28" s="1" t="s">
        <v>213</v>
      </c>
    </row>
    <row r="29" spans="1:15" x14ac:dyDescent="0.2">
      <c r="B29">
        <v>3</v>
      </c>
      <c r="C29" s="494" t="s">
        <v>321</v>
      </c>
      <c r="D29" s="494"/>
      <c r="E29" s="494"/>
      <c r="F29" s="494"/>
      <c r="G29" s="494"/>
      <c r="H29" s="494"/>
      <c r="J29" s="57" t="s">
        <v>211</v>
      </c>
      <c r="K29" s="1" t="s">
        <v>215</v>
      </c>
      <c r="L29" s="57" t="s">
        <v>211</v>
      </c>
      <c r="M29" s="1" t="s">
        <v>214</v>
      </c>
      <c r="N29" s="57" t="s">
        <v>211</v>
      </c>
      <c r="O29" s="1" t="s">
        <v>213</v>
      </c>
    </row>
    <row r="30" spans="1:15" x14ac:dyDescent="0.2">
      <c r="B30">
        <v>4</v>
      </c>
      <c r="C30" s="494" t="s">
        <v>256</v>
      </c>
      <c r="D30" s="494"/>
      <c r="E30" s="494"/>
      <c r="F30" s="494"/>
      <c r="G30" s="494"/>
      <c r="H30" s="494"/>
      <c r="J30" s="57" t="s">
        <v>211</v>
      </c>
      <c r="K30" s="1" t="s">
        <v>215</v>
      </c>
      <c r="L30" s="57" t="s">
        <v>211</v>
      </c>
      <c r="M30" s="1" t="s">
        <v>214</v>
      </c>
      <c r="N30" s="57" t="s">
        <v>211</v>
      </c>
      <c r="O30" s="1" t="s">
        <v>213</v>
      </c>
    </row>
    <row r="31" spans="1:15" x14ac:dyDescent="0.2">
      <c r="B31">
        <v>5</v>
      </c>
      <c r="C31" s="494" t="s">
        <v>257</v>
      </c>
      <c r="D31" s="494"/>
      <c r="E31" s="494"/>
      <c r="F31" s="494"/>
      <c r="G31" s="494"/>
      <c r="H31" s="494"/>
      <c r="J31" s="57" t="s">
        <v>211</v>
      </c>
      <c r="K31" s="1" t="s">
        <v>215</v>
      </c>
      <c r="L31" s="57" t="s">
        <v>211</v>
      </c>
      <c r="M31" s="1" t="s">
        <v>214</v>
      </c>
      <c r="N31" s="57" t="s">
        <v>211</v>
      </c>
      <c r="O31" s="1" t="s">
        <v>213</v>
      </c>
    </row>
    <row r="32" spans="1:15" x14ac:dyDescent="0.2">
      <c r="B32">
        <v>6</v>
      </c>
      <c r="C32" s="494" t="s">
        <v>322</v>
      </c>
      <c r="D32" s="494"/>
      <c r="E32" s="494"/>
      <c r="F32" s="494"/>
      <c r="G32" s="494"/>
      <c r="H32" s="494"/>
      <c r="J32" s="57" t="s">
        <v>211</v>
      </c>
      <c r="K32" s="1" t="s">
        <v>215</v>
      </c>
      <c r="L32" s="57" t="s">
        <v>211</v>
      </c>
      <c r="M32" s="1" t="s">
        <v>214</v>
      </c>
      <c r="N32" s="57" t="s">
        <v>211</v>
      </c>
      <c r="O32" s="1" t="s">
        <v>213</v>
      </c>
    </row>
    <row r="33" spans="1:15" x14ac:dyDescent="0.2">
      <c r="B33">
        <v>7</v>
      </c>
      <c r="C33" s="494" t="s">
        <v>258</v>
      </c>
      <c r="D33" s="494"/>
      <c r="E33" s="494"/>
      <c r="F33" s="494"/>
      <c r="G33" s="494"/>
      <c r="H33" s="494"/>
      <c r="J33" s="57" t="s">
        <v>211</v>
      </c>
      <c r="K33" s="1" t="s">
        <v>215</v>
      </c>
      <c r="L33" s="57" t="s">
        <v>211</v>
      </c>
      <c r="M33" s="1" t="s">
        <v>214</v>
      </c>
      <c r="N33" s="57" t="s">
        <v>211</v>
      </c>
      <c r="O33" s="1" t="s">
        <v>213</v>
      </c>
    </row>
    <row r="34" spans="1:15" x14ac:dyDescent="0.2">
      <c r="B34">
        <v>8</v>
      </c>
      <c r="C34" s="494" t="s">
        <v>259</v>
      </c>
      <c r="D34" s="494"/>
      <c r="E34" s="494"/>
      <c r="F34" s="494"/>
      <c r="G34" s="494"/>
      <c r="H34" s="494"/>
      <c r="J34" s="57" t="s">
        <v>211</v>
      </c>
      <c r="K34" s="1" t="s">
        <v>215</v>
      </c>
      <c r="L34" s="57" t="s">
        <v>211</v>
      </c>
      <c r="M34" s="1" t="s">
        <v>214</v>
      </c>
      <c r="N34" s="57" t="s">
        <v>211</v>
      </c>
      <c r="O34" s="1" t="s">
        <v>213</v>
      </c>
    </row>
    <row r="35" spans="1:15" x14ac:dyDescent="0.2">
      <c r="B35">
        <v>9</v>
      </c>
      <c r="C35" t="s">
        <v>260</v>
      </c>
      <c r="J35" s="57" t="s">
        <v>211</v>
      </c>
      <c r="K35" s="1" t="s">
        <v>215</v>
      </c>
      <c r="L35" s="57" t="s">
        <v>211</v>
      </c>
      <c r="M35" s="1" t="s">
        <v>214</v>
      </c>
      <c r="N35" s="57" t="s">
        <v>211</v>
      </c>
      <c r="O35" s="1" t="s">
        <v>213</v>
      </c>
    </row>
    <row r="36" spans="1:15" x14ac:dyDescent="0.2">
      <c r="B36" s="2">
        <v>10</v>
      </c>
      <c r="C36" s="494" t="s">
        <v>40</v>
      </c>
      <c r="D36" s="494"/>
      <c r="E36" s="494"/>
      <c r="F36" s="494"/>
      <c r="G36" s="494"/>
      <c r="H36" s="494"/>
      <c r="I36" s="494"/>
      <c r="J36" s="57" t="s">
        <v>211</v>
      </c>
      <c r="K36" s="1" t="s">
        <v>215</v>
      </c>
      <c r="L36" s="57" t="s">
        <v>211</v>
      </c>
      <c r="M36" s="1" t="s">
        <v>213</v>
      </c>
      <c r="N36" s="57" t="s">
        <v>211</v>
      </c>
      <c r="O36" s="1" t="s">
        <v>214</v>
      </c>
    </row>
    <row r="37" spans="1:15" ht="16" thickBot="1" x14ac:dyDescent="0.25">
      <c r="J37" s="11">
        <f>COUNTIF(J18:J36,Data!A1)</f>
        <v>0</v>
      </c>
      <c r="K37" s="11"/>
      <c r="L37" s="11">
        <f>COUNTIF(L18:L36,Data!A1)</f>
        <v>0</v>
      </c>
      <c r="M37" s="11"/>
      <c r="N37" s="11">
        <f>COUNTIF(N18:N36,Data!A1)</f>
        <v>0</v>
      </c>
      <c r="O37" s="11"/>
    </row>
    <row r="38" spans="1:15" ht="16" thickBot="1" x14ac:dyDescent="0.25">
      <c r="C38" s="494" t="s">
        <v>21</v>
      </c>
      <c r="D38" s="494"/>
      <c r="E38" s="494"/>
      <c r="F38" s="494"/>
      <c r="G38" s="494"/>
      <c r="H38" s="494"/>
      <c r="I38" s="494"/>
      <c r="J38" s="494"/>
      <c r="K38" s="494"/>
      <c r="M38" s="59">
        <v>0</v>
      </c>
      <c r="N38" s="11">
        <f>IF(M38="",0.5,0)</f>
        <v>0</v>
      </c>
    </row>
    <row r="39" spans="1:15" x14ac:dyDescent="0.2">
      <c r="C39" s="494" t="s">
        <v>41</v>
      </c>
      <c r="D39" s="494"/>
      <c r="E39" s="494"/>
      <c r="F39" s="494"/>
      <c r="G39" s="494"/>
      <c r="H39" s="494"/>
      <c r="I39" s="494"/>
      <c r="J39" s="494"/>
      <c r="K39" s="494"/>
      <c r="L39" s="494"/>
      <c r="M39" s="494"/>
    </row>
    <row r="40" spans="1:15" ht="16" thickBot="1" x14ac:dyDescent="0.25">
      <c r="B40" s="3" t="s">
        <v>42</v>
      </c>
      <c r="C40" s="3"/>
      <c r="D40" s="22" t="s">
        <v>43</v>
      </c>
      <c r="F40" s="3" t="s">
        <v>44</v>
      </c>
      <c r="G40" s="2" t="s">
        <v>45</v>
      </c>
      <c r="H40" s="3"/>
    </row>
    <row r="41" spans="1:15" ht="20" thickBot="1" x14ac:dyDescent="0.3">
      <c r="B41" s="495" t="s">
        <v>137</v>
      </c>
      <c r="C41" s="495"/>
      <c r="D41" s="10" t="s">
        <v>138</v>
      </c>
      <c r="F41" s="10" t="s">
        <v>139</v>
      </c>
      <c r="G41" s="3">
        <v>10</v>
      </c>
      <c r="H41" s="496" t="s">
        <v>235</v>
      </c>
      <c r="I41" s="496"/>
      <c r="J41" s="496"/>
      <c r="K41" s="496"/>
      <c r="L41" s="497">
        <f>SUM(J37+L37-M38)</f>
        <v>0</v>
      </c>
      <c r="M41" s="498"/>
    </row>
    <row r="42" spans="1:15" x14ac:dyDescent="0.2">
      <c r="C42" s="494"/>
      <c r="D42" s="494"/>
      <c r="E42" s="494"/>
      <c r="F42" s="494"/>
      <c r="G42" s="494"/>
      <c r="H42" s="494"/>
      <c r="J42" s="57"/>
      <c r="K42" s="1"/>
      <c r="L42" s="57"/>
      <c r="M42" s="1"/>
      <c r="N42" s="57"/>
      <c r="O42" s="1"/>
    </row>
    <row r="43" spans="1:15" ht="7.25" customHeight="1" x14ac:dyDescent="0.2"/>
    <row r="44" spans="1:15" x14ac:dyDescent="0.2">
      <c r="A44" s="224">
        <v>9</v>
      </c>
      <c r="B44" s="2">
        <v>1</v>
      </c>
      <c r="C44" s="494" t="s">
        <v>31</v>
      </c>
      <c r="D44" s="494"/>
      <c r="E44" s="494"/>
      <c r="F44" s="494"/>
      <c r="G44" s="494"/>
      <c r="H44" s="494"/>
      <c r="I44" s="494"/>
      <c r="J44" s="57" t="s">
        <v>211</v>
      </c>
      <c r="K44" s="1" t="s">
        <v>215</v>
      </c>
      <c r="L44" s="57" t="s">
        <v>211</v>
      </c>
      <c r="M44" s="1" t="s">
        <v>214</v>
      </c>
      <c r="N44" s="57" t="s">
        <v>211</v>
      </c>
      <c r="O44" s="1" t="s">
        <v>213</v>
      </c>
    </row>
    <row r="45" spans="1:15" x14ac:dyDescent="0.2">
      <c r="B45" s="2" t="s">
        <v>9</v>
      </c>
      <c r="C45" s="494" t="s">
        <v>1943</v>
      </c>
      <c r="D45" s="494"/>
      <c r="E45" s="494"/>
      <c r="F45" s="494"/>
      <c r="G45" s="494"/>
      <c r="H45" s="494"/>
      <c r="I45" s="494"/>
      <c r="J45" s="57" t="s">
        <v>211</v>
      </c>
      <c r="K45" s="1" t="s">
        <v>215</v>
      </c>
      <c r="L45" s="57" t="s">
        <v>211</v>
      </c>
      <c r="M45" s="1" t="s">
        <v>214</v>
      </c>
      <c r="N45" s="57" t="s">
        <v>211</v>
      </c>
      <c r="O45" s="1" t="s">
        <v>213</v>
      </c>
    </row>
    <row r="46" spans="1:15" x14ac:dyDescent="0.2">
      <c r="B46" s="2" t="s">
        <v>180</v>
      </c>
      <c r="C46" s="494" t="s">
        <v>1944</v>
      </c>
      <c r="D46" s="494"/>
      <c r="E46" s="494"/>
      <c r="F46" s="494"/>
      <c r="G46" s="494"/>
      <c r="H46" s="494"/>
      <c r="I46" s="494"/>
      <c r="J46" s="57" t="s">
        <v>211</v>
      </c>
      <c r="K46" s="1" t="s">
        <v>215</v>
      </c>
      <c r="L46" s="57" t="s">
        <v>211</v>
      </c>
      <c r="M46" s="1" t="s">
        <v>214</v>
      </c>
      <c r="N46" s="57" t="s">
        <v>211</v>
      </c>
      <c r="O46" s="1" t="s">
        <v>213</v>
      </c>
    </row>
    <row r="47" spans="1:15" x14ac:dyDescent="0.2">
      <c r="B47" s="2">
        <v>2</v>
      </c>
      <c r="C47" s="494" t="s">
        <v>233</v>
      </c>
      <c r="D47" s="494"/>
      <c r="E47" s="494"/>
      <c r="F47" s="494"/>
      <c r="G47" s="494"/>
      <c r="H47" s="494"/>
      <c r="I47" s="494"/>
      <c r="J47" s="57" t="s">
        <v>211</v>
      </c>
      <c r="K47" s="1" t="s">
        <v>215</v>
      </c>
      <c r="L47" s="57" t="s">
        <v>211</v>
      </c>
      <c r="M47" s="1" t="s">
        <v>214</v>
      </c>
      <c r="N47" s="57" t="s">
        <v>211</v>
      </c>
      <c r="O47" s="1" t="s">
        <v>213</v>
      </c>
    </row>
    <row r="48" spans="1:15" x14ac:dyDescent="0.2">
      <c r="B48" s="2">
        <v>3</v>
      </c>
      <c r="C48" s="494" t="s">
        <v>1945</v>
      </c>
      <c r="D48" s="494"/>
      <c r="E48" s="494"/>
      <c r="F48" s="494"/>
      <c r="G48" s="494"/>
      <c r="H48" s="494"/>
      <c r="I48" s="494"/>
      <c r="J48" s="57" t="s">
        <v>211</v>
      </c>
      <c r="K48" s="1" t="s">
        <v>215</v>
      </c>
      <c r="L48" s="57" t="s">
        <v>211</v>
      </c>
      <c r="M48" s="1" t="s">
        <v>214</v>
      </c>
      <c r="N48" s="57" t="s">
        <v>211</v>
      </c>
      <c r="O48" s="1" t="s">
        <v>213</v>
      </c>
    </row>
    <row r="49" spans="2:15" ht="15.75" customHeight="1" x14ac:dyDescent="0.2">
      <c r="B49" s="2">
        <v>4</v>
      </c>
      <c r="C49" s="494" t="s">
        <v>1946</v>
      </c>
      <c r="D49" s="494"/>
      <c r="E49" s="494"/>
      <c r="F49" s="494"/>
      <c r="G49" s="494"/>
      <c r="H49" s="494"/>
      <c r="I49" s="494"/>
      <c r="J49" s="57" t="s">
        <v>211</v>
      </c>
      <c r="K49" s="1" t="s">
        <v>215</v>
      </c>
      <c r="L49" s="57" t="s">
        <v>211</v>
      </c>
      <c r="M49" s="1" t="s">
        <v>214</v>
      </c>
      <c r="N49" s="57" t="s">
        <v>211</v>
      </c>
      <c r="O49" s="1" t="s">
        <v>213</v>
      </c>
    </row>
    <row r="50" spans="2:15" x14ac:dyDescent="0.2">
      <c r="B50" s="2">
        <v>5</v>
      </c>
      <c r="C50" s="494" t="s">
        <v>1947</v>
      </c>
      <c r="D50" s="494"/>
      <c r="E50" s="494"/>
      <c r="F50" s="494"/>
      <c r="G50" s="494"/>
      <c r="H50" s="494"/>
      <c r="I50" s="494"/>
      <c r="J50" s="57" t="s">
        <v>211</v>
      </c>
      <c r="K50" s="1" t="s">
        <v>215</v>
      </c>
      <c r="L50" s="57" t="s">
        <v>211</v>
      </c>
      <c r="M50" s="1" t="s">
        <v>214</v>
      </c>
      <c r="N50" s="57" t="s">
        <v>211</v>
      </c>
      <c r="O50" s="1" t="s">
        <v>213</v>
      </c>
    </row>
    <row r="51" spans="2:15" x14ac:dyDescent="0.2">
      <c r="B51" s="2" t="s">
        <v>273</v>
      </c>
      <c r="C51" s="494" t="s">
        <v>24</v>
      </c>
      <c r="D51" s="494"/>
      <c r="E51" s="494"/>
      <c r="F51" s="494"/>
      <c r="G51" s="494"/>
      <c r="H51" s="494"/>
      <c r="I51" s="494"/>
      <c r="J51" s="57" t="s">
        <v>211</v>
      </c>
      <c r="K51" s="1" t="s">
        <v>215</v>
      </c>
      <c r="L51" s="57" t="s">
        <v>211</v>
      </c>
      <c r="M51" s="1" t="s">
        <v>214</v>
      </c>
      <c r="N51" s="57" t="s">
        <v>211</v>
      </c>
      <c r="O51" s="1" t="s">
        <v>213</v>
      </c>
    </row>
    <row r="52" spans="2:15" x14ac:dyDescent="0.2">
      <c r="B52" s="2" t="s">
        <v>277</v>
      </c>
      <c r="C52" s="494" t="s">
        <v>23</v>
      </c>
      <c r="D52" s="494"/>
      <c r="E52" s="494"/>
      <c r="F52" s="494"/>
      <c r="G52" s="494"/>
      <c r="H52" s="494"/>
      <c r="I52" s="494"/>
      <c r="J52" s="57" t="s">
        <v>211</v>
      </c>
      <c r="K52" s="1" t="s">
        <v>215</v>
      </c>
      <c r="L52" s="57" t="s">
        <v>211</v>
      </c>
      <c r="M52" s="1" t="s">
        <v>214</v>
      </c>
      <c r="N52" s="57" t="s">
        <v>211</v>
      </c>
      <c r="O52" s="1" t="s">
        <v>213</v>
      </c>
    </row>
    <row r="53" spans="2:15" x14ac:dyDescent="0.2">
      <c r="B53" s="2" t="s">
        <v>278</v>
      </c>
      <c r="C53" s="494" t="s">
        <v>22</v>
      </c>
      <c r="D53" s="494"/>
      <c r="E53" s="494"/>
      <c r="F53" s="494"/>
      <c r="G53" s="494"/>
      <c r="H53" s="494"/>
      <c r="I53" s="494"/>
      <c r="J53" s="57" t="s">
        <v>211</v>
      </c>
      <c r="K53" s="1" t="s">
        <v>215</v>
      </c>
      <c r="L53" s="57" t="s">
        <v>211</v>
      </c>
      <c r="M53" s="1" t="s">
        <v>214</v>
      </c>
      <c r="N53" s="57" t="s">
        <v>211</v>
      </c>
      <c r="O53" s="1" t="s">
        <v>213</v>
      </c>
    </row>
    <row r="54" spans="2:15" ht="17.25" customHeight="1" x14ac:dyDescent="0.2">
      <c r="B54" s="2" t="s">
        <v>1949</v>
      </c>
      <c r="C54" s="494" t="s">
        <v>28</v>
      </c>
      <c r="D54" s="494"/>
      <c r="E54" s="494"/>
      <c r="F54" s="494"/>
      <c r="G54" s="494"/>
      <c r="H54" s="494"/>
      <c r="I54" s="494"/>
      <c r="J54" s="57" t="s">
        <v>211</v>
      </c>
      <c r="K54" s="1" t="s">
        <v>215</v>
      </c>
      <c r="L54" s="57" t="s">
        <v>211</v>
      </c>
      <c r="M54" s="1" t="s">
        <v>214</v>
      </c>
      <c r="N54" s="57" t="s">
        <v>211</v>
      </c>
      <c r="O54" s="1" t="s">
        <v>213</v>
      </c>
    </row>
    <row r="55" spans="2:15" x14ac:dyDescent="0.2">
      <c r="B55" s="2" t="s">
        <v>1950</v>
      </c>
      <c r="C55" s="499" t="s">
        <v>1948</v>
      </c>
      <c r="D55" s="499"/>
      <c r="E55" s="499"/>
      <c r="F55" s="499"/>
      <c r="G55" s="499"/>
      <c r="H55" s="499"/>
      <c r="I55" s="499"/>
      <c r="J55" s="57" t="s">
        <v>211</v>
      </c>
      <c r="K55" s="1" t="s">
        <v>215</v>
      </c>
      <c r="L55" s="57" t="s">
        <v>211</v>
      </c>
      <c r="M55" s="1" t="s">
        <v>214</v>
      </c>
      <c r="N55" s="57" t="s">
        <v>211</v>
      </c>
      <c r="O55" s="1" t="s">
        <v>213</v>
      </c>
    </row>
    <row r="56" spans="2:15" x14ac:dyDescent="0.2">
      <c r="B56" s="2" t="s">
        <v>1951</v>
      </c>
      <c r="C56" s="494" t="s">
        <v>1941</v>
      </c>
      <c r="D56" s="494"/>
      <c r="E56" s="494"/>
      <c r="F56" s="494"/>
      <c r="G56" s="494"/>
      <c r="H56" s="494"/>
      <c r="I56" s="494"/>
      <c r="J56" s="57" t="s">
        <v>211</v>
      </c>
      <c r="K56" s="1" t="s">
        <v>215</v>
      </c>
      <c r="L56" s="57" t="s">
        <v>211</v>
      </c>
      <c r="M56" s="1" t="s">
        <v>214</v>
      </c>
      <c r="N56" s="57" t="s">
        <v>211</v>
      </c>
      <c r="O56" s="1" t="s">
        <v>213</v>
      </c>
    </row>
    <row r="57" spans="2:15" x14ac:dyDescent="0.2">
      <c r="B57" s="2" t="s">
        <v>1952</v>
      </c>
      <c r="C57" s="483" t="s">
        <v>1942</v>
      </c>
      <c r="D57" s="483"/>
      <c r="E57" s="483"/>
      <c r="F57" s="483"/>
      <c r="G57" s="483"/>
      <c r="H57" s="483"/>
      <c r="I57" s="483"/>
      <c r="J57" s="57" t="s">
        <v>211</v>
      </c>
      <c r="K57" s="1" t="s">
        <v>215</v>
      </c>
      <c r="L57" s="57" t="s">
        <v>211</v>
      </c>
      <c r="M57" s="1" t="s">
        <v>214</v>
      </c>
      <c r="N57" s="57" t="s">
        <v>211</v>
      </c>
      <c r="O57" s="1" t="s">
        <v>213</v>
      </c>
    </row>
    <row r="58" spans="2:15" ht="17.25" customHeight="1" x14ac:dyDescent="0.2">
      <c r="B58" s="2" t="s">
        <v>1953</v>
      </c>
      <c r="C58" s="483" t="s">
        <v>1940</v>
      </c>
      <c r="D58" s="483"/>
      <c r="E58" s="483"/>
      <c r="F58" s="483"/>
      <c r="G58" s="483"/>
      <c r="H58" s="483"/>
      <c r="I58" s="483"/>
      <c r="J58" s="57" t="s">
        <v>211</v>
      </c>
      <c r="K58" s="1" t="s">
        <v>215</v>
      </c>
      <c r="L58" s="57" t="s">
        <v>211</v>
      </c>
      <c r="M58" s="1" t="s">
        <v>214</v>
      </c>
      <c r="N58" s="57" t="s">
        <v>211</v>
      </c>
      <c r="O58" s="1" t="s">
        <v>213</v>
      </c>
    </row>
    <row r="59" spans="2:15" ht="14.25" customHeight="1" x14ac:dyDescent="0.2">
      <c r="B59" s="2">
        <v>6</v>
      </c>
      <c r="C59" s="499" t="s">
        <v>30</v>
      </c>
      <c r="D59" s="499"/>
      <c r="E59" s="499"/>
      <c r="F59" s="499"/>
      <c r="G59" s="499"/>
      <c r="H59" s="499"/>
      <c r="I59" s="499"/>
      <c r="J59" s="57" t="s">
        <v>211</v>
      </c>
      <c r="K59" s="1" t="s">
        <v>215</v>
      </c>
      <c r="L59" s="57" t="s">
        <v>211</v>
      </c>
      <c r="M59" s="1" t="s">
        <v>214</v>
      </c>
      <c r="N59" s="57" t="s">
        <v>211</v>
      </c>
      <c r="O59" s="1" t="s">
        <v>213</v>
      </c>
    </row>
    <row r="60" spans="2:15" ht="14.25" customHeight="1" x14ac:dyDescent="0.2">
      <c r="B60" s="2">
        <v>7</v>
      </c>
      <c r="C60" s="499" t="s">
        <v>37</v>
      </c>
      <c r="D60" s="499"/>
      <c r="E60" s="499"/>
      <c r="F60" s="499"/>
      <c r="G60" s="499"/>
      <c r="H60" s="499"/>
      <c r="I60" s="499"/>
      <c r="J60" s="57" t="s">
        <v>211</v>
      </c>
      <c r="K60" s="1" t="s">
        <v>215</v>
      </c>
      <c r="L60" s="57" t="s">
        <v>211</v>
      </c>
      <c r="M60" s="1" t="s">
        <v>214</v>
      </c>
      <c r="N60" s="57" t="s">
        <v>211</v>
      </c>
      <c r="O60" s="1" t="s">
        <v>213</v>
      </c>
    </row>
    <row r="61" spans="2:15" x14ac:dyDescent="0.2">
      <c r="B61" s="2">
        <v>8</v>
      </c>
      <c r="C61" s="494" t="s">
        <v>38</v>
      </c>
      <c r="D61" s="494"/>
      <c r="E61" s="494"/>
      <c r="F61" s="494"/>
      <c r="G61" s="494"/>
      <c r="H61" s="494"/>
      <c r="I61" s="494"/>
      <c r="J61" s="57" t="s">
        <v>211</v>
      </c>
      <c r="K61" s="1" t="s">
        <v>215</v>
      </c>
      <c r="L61" s="57" t="s">
        <v>211</v>
      </c>
      <c r="M61" s="1" t="s">
        <v>214</v>
      </c>
      <c r="N61" s="57" t="s">
        <v>211</v>
      </c>
      <c r="O61" s="1" t="s">
        <v>213</v>
      </c>
    </row>
    <row r="62" spans="2:15" x14ac:dyDescent="0.2">
      <c r="B62" s="2">
        <v>9</v>
      </c>
      <c r="C62" s="494" t="s">
        <v>234</v>
      </c>
      <c r="D62" s="494"/>
      <c r="E62" s="494"/>
      <c r="F62" s="494"/>
      <c r="G62" s="494"/>
      <c r="H62" s="494"/>
      <c r="I62" s="494"/>
      <c r="J62" s="57" t="s">
        <v>211</v>
      </c>
      <c r="K62" s="1" t="s">
        <v>215</v>
      </c>
      <c r="L62" s="57" t="s">
        <v>211</v>
      </c>
      <c r="M62" s="1" t="s">
        <v>214</v>
      </c>
      <c r="N62" s="57" t="s">
        <v>211</v>
      </c>
      <c r="O62" s="1" t="s">
        <v>213</v>
      </c>
    </row>
    <row r="63" spans="2:15" x14ac:dyDescent="0.2">
      <c r="B63" s="2">
        <v>10</v>
      </c>
      <c r="C63" s="494" t="s">
        <v>40</v>
      </c>
      <c r="D63" s="494"/>
      <c r="E63" s="494"/>
      <c r="F63" s="494"/>
      <c r="G63" s="494"/>
      <c r="H63" s="494"/>
      <c r="I63" s="494"/>
      <c r="J63" s="57"/>
      <c r="K63" s="1"/>
      <c r="L63" s="57" t="s">
        <v>211</v>
      </c>
      <c r="M63" s="1" t="s">
        <v>213</v>
      </c>
      <c r="N63" s="57" t="s">
        <v>211</v>
      </c>
      <c r="O63" s="1" t="s">
        <v>214</v>
      </c>
    </row>
    <row r="64" spans="2:15" ht="16" thickBot="1" x14ac:dyDescent="0.25">
      <c r="J64" s="11">
        <f>COUNTIF(J44:J63,Data!A1)</f>
        <v>0</v>
      </c>
      <c r="K64" s="11"/>
      <c r="L64" s="11">
        <f>COUNTIF(L44:L63,Data!A1)</f>
        <v>0</v>
      </c>
      <c r="M64" s="11"/>
      <c r="N64" s="11">
        <f>COUNTIF(N44:N63,Data!A1)</f>
        <v>0</v>
      </c>
      <c r="O64" s="11"/>
    </row>
    <row r="65" spans="1:16" ht="16" thickBot="1" x14ac:dyDescent="0.25">
      <c r="C65" s="494" t="s">
        <v>21</v>
      </c>
      <c r="D65" s="494"/>
      <c r="E65" s="494"/>
      <c r="F65" s="494"/>
      <c r="G65" s="494"/>
      <c r="H65" s="494"/>
      <c r="I65" s="494"/>
      <c r="J65" s="494"/>
      <c r="K65" s="494"/>
      <c r="M65" s="59">
        <v>0</v>
      </c>
      <c r="N65" s="11">
        <f>IF(M65="",0.5,0)</f>
        <v>0</v>
      </c>
    </row>
    <row r="66" spans="1:16" x14ac:dyDescent="0.2">
      <c r="C66" s="494" t="s">
        <v>41</v>
      </c>
      <c r="D66" s="494"/>
      <c r="E66" s="494"/>
      <c r="F66" s="494"/>
      <c r="G66" s="494"/>
      <c r="H66" s="494"/>
      <c r="I66" s="494"/>
      <c r="J66" s="494"/>
      <c r="K66" s="494"/>
      <c r="L66" s="494"/>
      <c r="M66" s="494"/>
    </row>
    <row r="67" spans="1:16" ht="16" thickBot="1" x14ac:dyDescent="0.25">
      <c r="B67" s="3" t="s">
        <v>42</v>
      </c>
      <c r="C67" s="3"/>
      <c r="D67" s="22" t="s">
        <v>43</v>
      </c>
      <c r="F67" s="3" t="s">
        <v>44</v>
      </c>
      <c r="G67" s="2" t="s">
        <v>45</v>
      </c>
      <c r="H67" s="3"/>
    </row>
    <row r="68" spans="1:16" ht="20" thickBot="1" x14ac:dyDescent="0.3">
      <c r="B68" s="495" t="s">
        <v>137</v>
      </c>
      <c r="C68" s="495"/>
      <c r="D68" s="10" t="s">
        <v>138</v>
      </c>
      <c r="F68" s="10" t="s">
        <v>139</v>
      </c>
      <c r="G68" s="3">
        <v>10</v>
      </c>
      <c r="H68" s="496" t="s">
        <v>235</v>
      </c>
      <c r="I68" s="496"/>
      <c r="J68" s="496"/>
      <c r="K68" s="496"/>
      <c r="L68" s="497">
        <f>SUM((J64+L64)/2-M65+N65)</f>
        <v>0</v>
      </c>
      <c r="M68" s="498"/>
    </row>
    <row r="69" spans="1:16" s="191" customFormat="1" ht="13.5" customHeight="1" x14ac:dyDescent="0.25">
      <c r="B69" s="192"/>
      <c r="C69" s="192"/>
      <c r="D69" s="195"/>
      <c r="F69" s="195"/>
      <c r="G69" s="194"/>
      <c r="H69" s="193"/>
      <c r="I69" s="193"/>
      <c r="J69" s="193"/>
      <c r="K69" s="193"/>
      <c r="L69" s="196"/>
      <c r="M69" s="196"/>
    </row>
    <row r="70" spans="1:16" s="191" customFormat="1" x14ac:dyDescent="0.2">
      <c r="A70" s="225">
        <v>1091</v>
      </c>
      <c r="B70" s="2">
        <v>1</v>
      </c>
      <c r="C70" s="494" t="s">
        <v>1819</v>
      </c>
      <c r="D70" s="494"/>
      <c r="E70" s="494"/>
      <c r="F70" s="494"/>
      <c r="G70" s="494"/>
      <c r="H70" s="494"/>
      <c r="I70" s="494"/>
      <c r="J70" s="57" t="s">
        <v>211</v>
      </c>
      <c r="K70" s="1" t="s">
        <v>215</v>
      </c>
      <c r="L70" s="57" t="s">
        <v>211</v>
      </c>
      <c r="M70" s="1" t="s">
        <v>214</v>
      </c>
      <c r="N70" s="57" t="s">
        <v>211</v>
      </c>
      <c r="O70" s="1" t="s">
        <v>213</v>
      </c>
    </row>
    <row r="71" spans="1:16" s="191" customFormat="1" x14ac:dyDescent="0.2">
      <c r="B71" s="198">
        <v>2</v>
      </c>
      <c r="C71" s="494" t="s">
        <v>1818</v>
      </c>
      <c r="D71" s="494"/>
      <c r="E71" s="494"/>
      <c r="F71" s="494"/>
      <c r="G71" s="494"/>
      <c r="H71" s="494"/>
      <c r="I71" s="494"/>
      <c r="J71" s="57" t="s">
        <v>211</v>
      </c>
      <c r="K71" s="1" t="s">
        <v>215</v>
      </c>
      <c r="L71" s="57" t="s">
        <v>211</v>
      </c>
      <c r="M71" s="1" t="s">
        <v>214</v>
      </c>
      <c r="N71" s="57" t="s">
        <v>211</v>
      </c>
      <c r="O71" s="1" t="s">
        <v>213</v>
      </c>
    </row>
    <row r="72" spans="1:16" s="191" customFormat="1" ht="17.25" customHeight="1" x14ac:dyDescent="0.2">
      <c r="B72" s="2">
        <v>3</v>
      </c>
      <c r="C72" s="494" t="s">
        <v>1817</v>
      </c>
      <c r="D72" s="494"/>
      <c r="E72" s="494"/>
      <c r="F72" s="494"/>
      <c r="G72" s="494"/>
      <c r="H72" s="494"/>
      <c r="I72" s="494"/>
      <c r="J72" s="57" t="s">
        <v>211</v>
      </c>
      <c r="K72" s="1" t="s">
        <v>215</v>
      </c>
      <c r="L72" s="57" t="s">
        <v>211</v>
      </c>
      <c r="M72" s="1" t="s">
        <v>214</v>
      </c>
      <c r="N72" s="57" t="s">
        <v>211</v>
      </c>
      <c r="O72" s="1" t="s">
        <v>213</v>
      </c>
    </row>
    <row r="73" spans="1:16" s="191" customFormat="1" ht="14.25" customHeight="1" x14ac:dyDescent="0.2">
      <c r="B73" s="2">
        <v>4</v>
      </c>
      <c r="C73" s="494" t="s">
        <v>1815</v>
      </c>
      <c r="D73" s="494"/>
      <c r="E73" s="494"/>
      <c r="F73" s="494"/>
      <c r="G73" s="494"/>
      <c r="H73" s="494"/>
      <c r="I73" s="494"/>
      <c r="J73" s="57" t="s">
        <v>211</v>
      </c>
      <c r="K73" s="1" t="s">
        <v>215</v>
      </c>
      <c r="L73" s="57" t="s">
        <v>211</v>
      </c>
      <c r="M73" s="1" t="s">
        <v>214</v>
      </c>
      <c r="N73" s="57" t="s">
        <v>211</v>
      </c>
      <c r="O73" s="1" t="s">
        <v>213</v>
      </c>
    </row>
    <row r="74" spans="1:16" s="191" customFormat="1" ht="14.25" customHeight="1" x14ac:dyDescent="0.2">
      <c r="B74" s="2">
        <v>5</v>
      </c>
      <c r="C74" s="494" t="s">
        <v>1816</v>
      </c>
      <c r="D74" s="494"/>
      <c r="E74" s="494"/>
      <c r="F74" s="494"/>
      <c r="G74" s="494"/>
      <c r="H74" s="494"/>
      <c r="I74" s="494"/>
      <c r="J74" s="57" t="s">
        <v>211</v>
      </c>
      <c r="K74" s="1" t="s">
        <v>215</v>
      </c>
      <c r="L74" s="57" t="s">
        <v>211</v>
      </c>
      <c r="M74" s="1" t="s">
        <v>214</v>
      </c>
      <c r="N74" s="57" t="s">
        <v>211</v>
      </c>
      <c r="O74" s="1" t="s">
        <v>213</v>
      </c>
    </row>
    <row r="75" spans="1:16" s="191" customFormat="1" x14ac:dyDescent="0.2">
      <c r="B75" s="2">
        <v>6</v>
      </c>
      <c r="C75" s="494" t="s">
        <v>38</v>
      </c>
      <c r="D75" s="494"/>
      <c r="E75" s="494"/>
      <c r="F75" s="494"/>
      <c r="G75" s="494"/>
      <c r="H75" s="494"/>
      <c r="I75" s="494"/>
      <c r="J75" s="57" t="s">
        <v>211</v>
      </c>
      <c r="K75" s="1" t="s">
        <v>215</v>
      </c>
      <c r="L75" s="57" t="s">
        <v>211</v>
      </c>
      <c r="M75" s="1" t="s">
        <v>214</v>
      </c>
      <c r="N75" s="57" t="s">
        <v>211</v>
      </c>
      <c r="O75" s="1" t="s">
        <v>213</v>
      </c>
    </row>
    <row r="76" spans="1:16" s="191" customFormat="1" x14ac:dyDescent="0.2">
      <c r="B76" s="2">
        <v>7</v>
      </c>
      <c r="C76" s="494" t="s">
        <v>234</v>
      </c>
      <c r="D76" s="494"/>
      <c r="E76" s="494"/>
      <c r="F76" s="494"/>
      <c r="G76" s="494"/>
      <c r="H76" s="494"/>
      <c r="I76" s="494"/>
      <c r="J76" s="57" t="s">
        <v>211</v>
      </c>
      <c r="K76" s="1" t="s">
        <v>215</v>
      </c>
      <c r="L76" s="57" t="s">
        <v>211</v>
      </c>
      <c r="M76" s="1" t="s">
        <v>214</v>
      </c>
      <c r="N76" s="57" t="s">
        <v>211</v>
      </c>
      <c r="O76" s="1" t="s">
        <v>213</v>
      </c>
    </row>
    <row r="77" spans="1:16" s="191" customFormat="1" x14ac:dyDescent="0.2">
      <c r="B77" s="2">
        <v>8</v>
      </c>
      <c r="C77" s="494" t="s">
        <v>40</v>
      </c>
      <c r="D77" s="494"/>
      <c r="E77" s="494"/>
      <c r="F77" s="494"/>
      <c r="G77" s="494"/>
      <c r="H77" s="494"/>
      <c r="I77" s="494"/>
      <c r="J77" s="57"/>
      <c r="K77" s="1"/>
      <c r="L77" s="57" t="s">
        <v>211</v>
      </c>
      <c r="M77" s="1" t="s">
        <v>213</v>
      </c>
      <c r="N77" s="57" t="s">
        <v>211</v>
      </c>
      <c r="O77" s="1" t="s">
        <v>214</v>
      </c>
    </row>
    <row r="78" spans="1:16" s="191" customFormat="1" ht="14.25" customHeight="1" thickBot="1" x14ac:dyDescent="0.25">
      <c r="B78" s="197"/>
      <c r="C78" s="197"/>
      <c r="D78" s="197"/>
      <c r="E78" s="197"/>
      <c r="F78" s="197"/>
      <c r="G78" s="197"/>
      <c r="H78" s="197"/>
      <c r="I78" s="197"/>
      <c r="J78" s="199">
        <f>COUNTIF(J70:J77,Data!A1)</f>
        <v>0</v>
      </c>
      <c r="K78" s="199"/>
      <c r="L78" s="199">
        <f>COUNTIF(L70:L77,Data!A1)</f>
        <v>0</v>
      </c>
      <c r="M78" s="199"/>
      <c r="N78" s="199">
        <f>COUNTIF(N70:N77,Data!A1)</f>
        <v>0</v>
      </c>
      <c r="O78" s="199"/>
      <c r="P78" s="197"/>
    </row>
    <row r="79" spans="1:16" s="191" customFormat="1" ht="16" thickBot="1" x14ac:dyDescent="0.25">
      <c r="C79" s="494" t="s">
        <v>21</v>
      </c>
      <c r="D79" s="494"/>
      <c r="E79" s="494"/>
      <c r="F79" s="494"/>
      <c r="G79" s="494"/>
      <c r="H79" s="494"/>
      <c r="I79" s="494"/>
      <c r="J79" s="494"/>
      <c r="K79" s="494"/>
      <c r="M79" s="59">
        <v>0</v>
      </c>
      <c r="N79" s="11">
        <f>IF(M79="",0.5,0)</f>
        <v>0</v>
      </c>
      <c r="O79" s="197"/>
    </row>
    <row r="80" spans="1:16" s="191" customFormat="1" x14ac:dyDescent="0.2">
      <c r="C80" s="494" t="s">
        <v>41</v>
      </c>
      <c r="D80" s="494"/>
      <c r="E80" s="494"/>
      <c r="F80" s="494"/>
      <c r="G80" s="494"/>
      <c r="H80" s="494"/>
      <c r="I80" s="494"/>
      <c r="J80" s="494"/>
      <c r="K80" s="494"/>
      <c r="L80" s="494"/>
      <c r="M80" s="494"/>
    </row>
    <row r="81" spans="1:16" s="191" customFormat="1" ht="16" thickBot="1" x14ac:dyDescent="0.25">
      <c r="B81" s="194" t="s">
        <v>42</v>
      </c>
      <c r="C81" s="194"/>
      <c r="D81" s="22" t="s">
        <v>43</v>
      </c>
      <c r="F81" s="194" t="s">
        <v>44</v>
      </c>
      <c r="G81" s="2" t="s">
        <v>45</v>
      </c>
      <c r="H81" s="194"/>
    </row>
    <row r="82" spans="1:16" s="191" customFormat="1" ht="20" thickBot="1" x14ac:dyDescent="0.3">
      <c r="B82" s="495" t="s">
        <v>137</v>
      </c>
      <c r="C82" s="495"/>
      <c r="D82" s="195" t="s">
        <v>138</v>
      </c>
      <c r="F82" s="195" t="s">
        <v>139</v>
      </c>
      <c r="G82" s="194">
        <v>10</v>
      </c>
      <c r="H82" s="496" t="s">
        <v>235</v>
      </c>
      <c r="I82" s="496"/>
      <c r="J82" s="496"/>
      <c r="K82" s="496"/>
      <c r="L82" s="497">
        <f>SUM(((J78+L78)*1.25)-N79)</f>
        <v>0</v>
      </c>
      <c r="M82" s="498"/>
    </row>
    <row r="83" spans="1:16" s="223" customFormat="1" ht="8.25" customHeight="1" x14ac:dyDescent="0.2"/>
    <row r="84" spans="1:16" s="223" customFormat="1" x14ac:dyDescent="0.2">
      <c r="A84" s="226">
        <v>28</v>
      </c>
      <c r="B84" s="227">
        <v>1</v>
      </c>
      <c r="C84" s="517" t="s">
        <v>1857</v>
      </c>
      <c r="D84" s="517"/>
      <c r="E84" s="517"/>
      <c r="F84" s="517"/>
      <c r="G84" s="517"/>
      <c r="H84" s="517"/>
      <c r="I84" s="517"/>
      <c r="J84" s="57" t="s">
        <v>211</v>
      </c>
      <c r="K84" s="229" t="s">
        <v>215</v>
      </c>
      <c r="L84" s="57" t="s">
        <v>211</v>
      </c>
      <c r="M84" s="229" t="s">
        <v>214</v>
      </c>
      <c r="N84" s="57" t="s">
        <v>211</v>
      </c>
      <c r="O84" s="229" t="s">
        <v>213</v>
      </c>
      <c r="P84" s="230"/>
    </row>
    <row r="85" spans="1:16" s="223" customFormat="1" x14ac:dyDescent="0.2">
      <c r="A85" s="230"/>
      <c r="B85" s="238">
        <v>2</v>
      </c>
      <c r="C85" s="517" t="s">
        <v>1858</v>
      </c>
      <c r="D85" s="517"/>
      <c r="E85" s="517"/>
      <c r="F85" s="517"/>
      <c r="G85" s="517"/>
      <c r="H85" s="517"/>
      <c r="I85" s="517"/>
      <c r="J85" s="57" t="s">
        <v>211</v>
      </c>
      <c r="K85" s="229" t="s">
        <v>215</v>
      </c>
      <c r="L85" s="57" t="s">
        <v>211</v>
      </c>
      <c r="M85" s="229" t="s">
        <v>214</v>
      </c>
      <c r="N85" s="57" t="s">
        <v>211</v>
      </c>
      <c r="O85" s="229" t="s">
        <v>213</v>
      </c>
      <c r="P85" s="230"/>
    </row>
    <row r="86" spans="1:16" s="223" customFormat="1" x14ac:dyDescent="0.2">
      <c r="A86" s="230"/>
      <c r="B86" s="227">
        <v>3</v>
      </c>
      <c r="C86" s="518" t="s">
        <v>1859</v>
      </c>
      <c r="D86" s="518"/>
      <c r="E86" s="518"/>
      <c r="F86" s="518"/>
      <c r="G86" s="518"/>
      <c r="H86" s="518"/>
      <c r="I86" s="518"/>
      <c r="J86" s="57" t="s">
        <v>211</v>
      </c>
      <c r="K86" s="229" t="s">
        <v>215</v>
      </c>
      <c r="L86" s="57" t="s">
        <v>211</v>
      </c>
      <c r="M86" s="229" t="s">
        <v>214</v>
      </c>
      <c r="N86" s="57" t="s">
        <v>211</v>
      </c>
      <c r="O86" s="229" t="s">
        <v>213</v>
      </c>
      <c r="P86" s="230"/>
    </row>
    <row r="87" spans="1:16" s="223" customFormat="1" x14ac:dyDescent="0.2">
      <c r="A87" s="230"/>
      <c r="B87" s="227">
        <v>4</v>
      </c>
      <c r="C87" s="517" t="s">
        <v>1865</v>
      </c>
      <c r="D87" s="517"/>
      <c r="E87" s="517"/>
      <c r="F87" s="517"/>
      <c r="G87" s="517"/>
      <c r="H87" s="517"/>
      <c r="I87" s="517"/>
      <c r="J87" s="57" t="s">
        <v>211</v>
      </c>
      <c r="K87" s="229" t="s">
        <v>215</v>
      </c>
      <c r="L87" s="57" t="s">
        <v>211</v>
      </c>
      <c r="M87" s="229" t="s">
        <v>214</v>
      </c>
      <c r="N87" s="57" t="s">
        <v>211</v>
      </c>
      <c r="O87" s="229" t="s">
        <v>213</v>
      </c>
      <c r="P87" s="230"/>
    </row>
    <row r="88" spans="1:16" s="223" customFormat="1" x14ac:dyDescent="0.2">
      <c r="A88" s="230"/>
      <c r="B88" s="227" t="s">
        <v>108</v>
      </c>
      <c r="C88" s="517" t="s">
        <v>22</v>
      </c>
      <c r="D88" s="517"/>
      <c r="E88" s="517"/>
      <c r="F88" s="517"/>
      <c r="G88" s="517"/>
      <c r="H88" s="517"/>
      <c r="I88" s="517"/>
      <c r="J88" s="57" t="s">
        <v>211</v>
      </c>
      <c r="K88" s="229" t="s">
        <v>215</v>
      </c>
      <c r="L88" s="57" t="s">
        <v>211</v>
      </c>
      <c r="M88" s="229" t="s">
        <v>214</v>
      </c>
      <c r="N88" s="57" t="s">
        <v>211</v>
      </c>
      <c r="O88" s="229" t="s">
        <v>213</v>
      </c>
      <c r="P88" s="230"/>
    </row>
    <row r="89" spans="1:16" s="223" customFormat="1" x14ac:dyDescent="0.2">
      <c r="A89" s="230"/>
      <c r="B89" s="227" t="s">
        <v>200</v>
      </c>
      <c r="C89" s="517" t="s">
        <v>23</v>
      </c>
      <c r="D89" s="517"/>
      <c r="E89" s="517"/>
      <c r="F89" s="517"/>
      <c r="G89" s="517"/>
      <c r="H89" s="517"/>
      <c r="I89" s="517"/>
      <c r="J89" s="57" t="s">
        <v>211</v>
      </c>
      <c r="K89" s="229" t="s">
        <v>215</v>
      </c>
      <c r="L89" s="57" t="s">
        <v>211</v>
      </c>
      <c r="M89" s="229" t="s">
        <v>214</v>
      </c>
      <c r="N89" s="57" t="s">
        <v>211</v>
      </c>
      <c r="O89" s="229" t="s">
        <v>213</v>
      </c>
      <c r="P89" s="230"/>
    </row>
    <row r="90" spans="1:16" s="223" customFormat="1" x14ac:dyDescent="0.2">
      <c r="A90" s="230"/>
      <c r="B90" s="227" t="s">
        <v>286</v>
      </c>
      <c r="C90" s="517" t="s">
        <v>24</v>
      </c>
      <c r="D90" s="517"/>
      <c r="E90" s="517"/>
      <c r="F90" s="517"/>
      <c r="G90" s="517"/>
      <c r="H90" s="517"/>
      <c r="I90" s="517"/>
      <c r="J90" s="57" t="s">
        <v>211</v>
      </c>
      <c r="K90" s="229" t="s">
        <v>215</v>
      </c>
      <c r="L90" s="57" t="s">
        <v>211</v>
      </c>
      <c r="M90" s="229" t="s">
        <v>214</v>
      </c>
      <c r="N90" s="57" t="s">
        <v>211</v>
      </c>
      <c r="O90" s="229" t="s">
        <v>213</v>
      </c>
      <c r="P90" s="230"/>
    </row>
    <row r="91" spans="1:16" s="223" customFormat="1" x14ac:dyDescent="0.2">
      <c r="A91" s="230"/>
      <c r="B91" s="227" t="s">
        <v>1868</v>
      </c>
      <c r="C91" s="517" t="s">
        <v>25</v>
      </c>
      <c r="D91" s="517"/>
      <c r="E91" s="517"/>
      <c r="F91" s="517"/>
      <c r="G91" s="517"/>
      <c r="H91" s="517"/>
      <c r="I91" s="517"/>
      <c r="J91" s="57" t="s">
        <v>211</v>
      </c>
      <c r="K91" s="229" t="s">
        <v>215</v>
      </c>
      <c r="L91" s="57" t="s">
        <v>211</v>
      </c>
      <c r="M91" s="229" t="s">
        <v>214</v>
      </c>
      <c r="N91" s="57" t="s">
        <v>211</v>
      </c>
      <c r="O91" s="229" t="s">
        <v>213</v>
      </c>
      <c r="P91" s="230"/>
    </row>
    <row r="92" spans="1:16" s="223" customFormat="1" x14ac:dyDescent="0.2">
      <c r="A92" s="230"/>
      <c r="B92" s="227" t="s">
        <v>1869</v>
      </c>
      <c r="C92" s="517" t="s">
        <v>26</v>
      </c>
      <c r="D92" s="517"/>
      <c r="E92" s="517"/>
      <c r="F92" s="517"/>
      <c r="G92" s="517"/>
      <c r="H92" s="517"/>
      <c r="I92" s="517"/>
      <c r="J92" s="57" t="s">
        <v>211</v>
      </c>
      <c r="K92" s="229" t="s">
        <v>215</v>
      </c>
      <c r="L92" s="57" t="s">
        <v>211</v>
      </c>
      <c r="M92" s="229" t="s">
        <v>214</v>
      </c>
      <c r="N92" s="57" t="s">
        <v>211</v>
      </c>
      <c r="O92" s="229" t="s">
        <v>213</v>
      </c>
      <c r="P92" s="230"/>
    </row>
    <row r="93" spans="1:16" s="223" customFormat="1" x14ac:dyDescent="0.2">
      <c r="A93" s="230"/>
      <c r="B93" s="227" t="s">
        <v>1870</v>
      </c>
      <c r="C93" s="517" t="s">
        <v>27</v>
      </c>
      <c r="D93" s="517"/>
      <c r="E93" s="517"/>
      <c r="F93" s="517"/>
      <c r="G93" s="517"/>
      <c r="H93" s="517"/>
      <c r="I93" s="517"/>
      <c r="J93" s="57" t="s">
        <v>211</v>
      </c>
      <c r="K93" s="229" t="s">
        <v>215</v>
      </c>
      <c r="L93" s="57" t="s">
        <v>211</v>
      </c>
      <c r="M93" s="229" t="s">
        <v>214</v>
      </c>
      <c r="N93" s="57" t="s">
        <v>211</v>
      </c>
      <c r="O93" s="229" t="s">
        <v>213</v>
      </c>
      <c r="P93" s="230"/>
    </row>
    <row r="94" spans="1:16" s="223" customFormat="1" x14ac:dyDescent="0.2">
      <c r="A94" s="230"/>
      <c r="B94" s="227" t="s">
        <v>1871</v>
      </c>
      <c r="C94" s="518" t="s">
        <v>28</v>
      </c>
      <c r="D94" s="518"/>
      <c r="E94" s="518"/>
      <c r="F94" s="518"/>
      <c r="G94" s="518"/>
      <c r="H94" s="518"/>
      <c r="I94" s="518"/>
      <c r="J94" s="57" t="s">
        <v>211</v>
      </c>
      <c r="K94" s="229" t="s">
        <v>215</v>
      </c>
      <c r="L94" s="57" t="s">
        <v>211</v>
      </c>
      <c r="M94" s="229" t="s">
        <v>214</v>
      </c>
      <c r="N94" s="57" t="s">
        <v>211</v>
      </c>
      <c r="O94" s="229" t="s">
        <v>213</v>
      </c>
      <c r="P94" s="230"/>
    </row>
    <row r="95" spans="1:16" s="223" customFormat="1" x14ac:dyDescent="0.2">
      <c r="A95" s="230"/>
      <c r="B95" s="227">
        <v>5</v>
      </c>
      <c r="C95" s="518" t="s">
        <v>1860</v>
      </c>
      <c r="D95" s="518"/>
      <c r="E95" s="518"/>
      <c r="F95" s="518"/>
      <c r="G95" s="518"/>
      <c r="H95" s="518"/>
      <c r="I95" s="518"/>
      <c r="J95" s="57" t="s">
        <v>211</v>
      </c>
      <c r="K95" s="229" t="s">
        <v>215</v>
      </c>
      <c r="L95" s="57" t="s">
        <v>211</v>
      </c>
      <c r="M95" s="229" t="s">
        <v>214</v>
      </c>
      <c r="N95" s="57" t="s">
        <v>211</v>
      </c>
      <c r="O95" s="229" t="s">
        <v>213</v>
      </c>
      <c r="P95" s="230"/>
    </row>
    <row r="96" spans="1:16" s="223" customFormat="1" x14ac:dyDescent="0.2">
      <c r="A96" s="230"/>
      <c r="B96" s="227">
        <v>6</v>
      </c>
      <c r="C96" s="518" t="s">
        <v>1861</v>
      </c>
      <c r="D96" s="518"/>
      <c r="E96" s="518"/>
      <c r="F96" s="518"/>
      <c r="G96" s="518"/>
      <c r="H96" s="518"/>
      <c r="I96" s="518"/>
      <c r="J96" s="57" t="s">
        <v>211</v>
      </c>
      <c r="K96" s="229" t="s">
        <v>215</v>
      </c>
      <c r="L96" s="57" t="s">
        <v>211</v>
      </c>
      <c r="M96" s="229" t="s">
        <v>214</v>
      </c>
      <c r="N96" s="57" t="s">
        <v>211</v>
      </c>
      <c r="O96" s="229" t="s">
        <v>213</v>
      </c>
      <c r="P96" s="230"/>
    </row>
    <row r="97" spans="1:16" s="223" customFormat="1" x14ac:dyDescent="0.2">
      <c r="A97" s="230"/>
      <c r="B97" s="227">
        <v>7</v>
      </c>
      <c r="C97" s="518" t="s">
        <v>1862</v>
      </c>
      <c r="D97" s="518"/>
      <c r="E97" s="518"/>
      <c r="F97" s="518"/>
      <c r="G97" s="518"/>
      <c r="H97" s="518"/>
      <c r="I97" s="518"/>
      <c r="J97" s="57" t="s">
        <v>211</v>
      </c>
      <c r="K97" s="229" t="s">
        <v>215</v>
      </c>
      <c r="L97" s="57" t="s">
        <v>211</v>
      </c>
      <c r="M97" s="229" t="s">
        <v>214</v>
      </c>
      <c r="N97" s="57" t="s">
        <v>211</v>
      </c>
      <c r="O97" s="229" t="s">
        <v>213</v>
      </c>
      <c r="P97" s="230"/>
    </row>
    <row r="98" spans="1:16" s="223" customFormat="1" x14ac:dyDescent="0.2">
      <c r="A98" s="230"/>
      <c r="B98" s="227">
        <v>8</v>
      </c>
      <c r="C98" s="518" t="s">
        <v>1905</v>
      </c>
      <c r="D98" s="518"/>
      <c r="E98" s="518"/>
      <c r="F98" s="518"/>
      <c r="G98" s="518"/>
      <c r="H98" s="518"/>
      <c r="I98" s="518"/>
      <c r="J98" s="57" t="s">
        <v>211</v>
      </c>
      <c r="K98" s="229" t="s">
        <v>215</v>
      </c>
      <c r="L98" s="57" t="s">
        <v>211</v>
      </c>
      <c r="M98" s="229" t="s">
        <v>214</v>
      </c>
      <c r="N98" s="57" t="s">
        <v>211</v>
      </c>
      <c r="O98" s="229" t="s">
        <v>213</v>
      </c>
      <c r="P98" s="230"/>
    </row>
    <row r="99" spans="1:16" s="223" customFormat="1" x14ac:dyDescent="0.2">
      <c r="A99" s="230"/>
      <c r="B99" s="227">
        <v>9</v>
      </c>
      <c r="C99" s="518" t="s">
        <v>1863</v>
      </c>
      <c r="D99" s="518"/>
      <c r="E99" s="518"/>
      <c r="F99" s="518"/>
      <c r="G99" s="518"/>
      <c r="H99" s="518"/>
      <c r="I99" s="518"/>
      <c r="J99" s="57" t="s">
        <v>211</v>
      </c>
      <c r="K99" s="229" t="s">
        <v>215</v>
      </c>
      <c r="L99" s="57" t="s">
        <v>211</v>
      </c>
      <c r="M99" s="229" t="s">
        <v>214</v>
      </c>
      <c r="N99" s="57" t="s">
        <v>211</v>
      </c>
      <c r="O99" s="229" t="s">
        <v>213</v>
      </c>
      <c r="P99" s="230"/>
    </row>
    <row r="100" spans="1:16" s="223" customFormat="1" x14ac:dyDescent="0.2">
      <c r="A100" s="230"/>
      <c r="B100" s="227">
        <v>10</v>
      </c>
      <c r="C100" s="517" t="s">
        <v>1864</v>
      </c>
      <c r="D100" s="517"/>
      <c r="E100" s="517"/>
      <c r="F100" s="517"/>
      <c r="G100" s="517"/>
      <c r="H100" s="517"/>
      <c r="I100" s="517"/>
      <c r="J100" s="57" t="s">
        <v>211</v>
      </c>
      <c r="K100" s="229" t="s">
        <v>215</v>
      </c>
      <c r="L100" s="57" t="s">
        <v>211</v>
      </c>
      <c r="M100" s="229" t="s">
        <v>214</v>
      </c>
      <c r="N100" s="57" t="s">
        <v>211</v>
      </c>
      <c r="O100" s="229" t="s">
        <v>213</v>
      </c>
      <c r="P100" s="230"/>
    </row>
    <row r="101" spans="1:16" s="223" customFormat="1" x14ac:dyDescent="0.2">
      <c r="A101" s="230"/>
      <c r="B101" s="227">
        <v>11</v>
      </c>
      <c r="C101" s="517" t="s">
        <v>40</v>
      </c>
      <c r="D101" s="517"/>
      <c r="E101" s="517"/>
      <c r="F101" s="517"/>
      <c r="G101" s="517"/>
      <c r="H101" s="517"/>
      <c r="I101" s="517"/>
      <c r="J101" s="228"/>
      <c r="K101" s="229"/>
      <c r="L101" s="57" t="s">
        <v>211</v>
      </c>
      <c r="M101" s="229" t="s">
        <v>213</v>
      </c>
      <c r="N101" s="57" t="s">
        <v>211</v>
      </c>
      <c r="O101" s="229" t="s">
        <v>214</v>
      </c>
      <c r="P101" s="230"/>
    </row>
    <row r="102" spans="1:16" s="223" customFormat="1" ht="16" thickBot="1" x14ac:dyDescent="0.25">
      <c r="A102" s="230"/>
      <c r="B102" s="239"/>
      <c r="C102" s="230"/>
      <c r="D102" s="230"/>
      <c r="E102" s="230"/>
      <c r="F102" s="230"/>
      <c r="G102" s="230"/>
      <c r="H102" s="127"/>
      <c r="I102" s="129"/>
      <c r="J102" s="129">
        <f>COUNTIF(J84:J101,Data!A1)</f>
        <v>0</v>
      </c>
      <c r="K102" s="129"/>
      <c r="L102" s="129">
        <f>COUNTIF(L84:L101,Data!A1)</f>
        <v>0</v>
      </c>
      <c r="M102" s="129"/>
      <c r="N102" s="129">
        <f>COUNTIF(N84:N101,Data!A1)</f>
        <v>0</v>
      </c>
      <c r="O102" s="129"/>
      <c r="P102" s="127"/>
    </row>
    <row r="103" spans="1:16" s="223" customFormat="1" ht="16" thickBot="1" x14ac:dyDescent="0.25">
      <c r="A103" s="230"/>
      <c r="B103" s="230"/>
      <c r="C103" s="230" t="s">
        <v>21</v>
      </c>
      <c r="D103" s="230"/>
      <c r="E103" s="230"/>
      <c r="F103" s="230"/>
      <c r="G103" s="230"/>
      <c r="H103" s="127"/>
      <c r="I103" s="127"/>
      <c r="J103" s="127"/>
      <c r="K103" s="127"/>
      <c r="L103" s="127"/>
      <c r="M103" s="72">
        <v>0</v>
      </c>
      <c r="N103" s="129">
        <f>IF(M103="",0.5,0)</f>
        <v>0</v>
      </c>
      <c r="O103" s="129"/>
      <c r="P103" s="127"/>
    </row>
    <row r="104" spans="1:16" s="223" customFormat="1" x14ac:dyDescent="0.2">
      <c r="A104" s="230"/>
      <c r="B104" s="230"/>
      <c r="C104" s="230" t="s">
        <v>41</v>
      </c>
      <c r="D104" s="230"/>
      <c r="E104" s="230"/>
      <c r="F104" s="230"/>
      <c r="G104" s="230"/>
      <c r="H104" s="127"/>
      <c r="I104" s="127"/>
      <c r="J104" s="127"/>
      <c r="K104" s="127"/>
      <c r="L104" s="127"/>
      <c r="M104" s="127"/>
      <c r="N104" s="129"/>
      <c r="O104" s="129"/>
      <c r="P104" s="127"/>
    </row>
    <row r="105" spans="1:16" s="223" customFormat="1" ht="16" thickBot="1" x14ac:dyDescent="0.25">
      <c r="A105" s="230"/>
      <c r="B105" s="231" t="s">
        <v>42</v>
      </c>
      <c r="C105" s="231"/>
      <c r="D105" s="232" t="s">
        <v>43</v>
      </c>
      <c r="E105" s="230"/>
      <c r="F105" s="231" t="s">
        <v>44</v>
      </c>
      <c r="G105" s="227" t="s">
        <v>45</v>
      </c>
      <c r="H105" s="128"/>
      <c r="I105" s="127"/>
      <c r="J105" s="127"/>
      <c r="K105" s="127"/>
      <c r="L105" s="127"/>
      <c r="M105" s="127"/>
      <c r="N105" s="127"/>
      <c r="O105" s="127"/>
      <c r="P105" s="127"/>
    </row>
    <row r="106" spans="1:16" s="223" customFormat="1" ht="20" thickBot="1" x14ac:dyDescent="0.3">
      <c r="A106" s="230"/>
      <c r="B106" s="233" t="s">
        <v>137</v>
      </c>
      <c r="C106" s="233"/>
      <c r="D106" s="234" t="s">
        <v>138</v>
      </c>
      <c r="E106" s="230"/>
      <c r="F106" s="234" t="s">
        <v>139</v>
      </c>
      <c r="G106" s="231">
        <v>10</v>
      </c>
      <c r="H106" s="561" t="s">
        <v>235</v>
      </c>
      <c r="I106" s="561"/>
      <c r="J106" s="561"/>
      <c r="K106" s="562"/>
      <c r="L106" s="559">
        <f>SUM((J102+L102)/1.8-M103+N103)</f>
        <v>0</v>
      </c>
      <c r="M106" s="560"/>
      <c r="N106" s="127"/>
      <c r="O106" s="127"/>
      <c r="P106" s="127"/>
    </row>
    <row r="107" spans="1:16" s="486" customFormat="1" ht="19" x14ac:dyDescent="0.25">
      <c r="A107" s="485"/>
      <c r="B107" s="233"/>
      <c r="C107" s="233"/>
      <c r="D107" s="234"/>
      <c r="E107" s="485"/>
      <c r="F107" s="234"/>
      <c r="G107" s="231"/>
      <c r="H107" s="484"/>
      <c r="I107" s="484"/>
      <c r="J107" s="484"/>
      <c r="K107" s="487"/>
      <c r="L107" s="488"/>
      <c r="M107" s="488"/>
      <c r="N107" s="127"/>
      <c r="O107" s="127"/>
      <c r="P107" s="127"/>
    </row>
    <row r="108" spans="1:16" x14ac:dyDescent="0.2">
      <c r="A108" s="489">
        <v>45</v>
      </c>
      <c r="B108" s="227">
        <v>1</v>
      </c>
      <c r="C108" s="540" t="s">
        <v>1957</v>
      </c>
      <c r="D108" s="540"/>
      <c r="E108" s="540"/>
      <c r="F108" s="540"/>
      <c r="G108" s="540"/>
      <c r="H108" s="540"/>
      <c r="I108" s="540"/>
      <c r="J108" s="57" t="s">
        <v>211</v>
      </c>
      <c r="K108" s="229" t="s">
        <v>215</v>
      </c>
      <c r="L108" s="57" t="s">
        <v>211</v>
      </c>
      <c r="M108" s="229" t="s">
        <v>214</v>
      </c>
      <c r="N108" s="57" t="s">
        <v>211</v>
      </c>
      <c r="O108" s="229" t="s">
        <v>213</v>
      </c>
      <c r="P108" s="485"/>
    </row>
    <row r="109" spans="1:16" x14ac:dyDescent="0.2">
      <c r="A109" s="485"/>
      <c r="B109" s="238">
        <v>2</v>
      </c>
      <c r="C109" s="517" t="s">
        <v>1958</v>
      </c>
      <c r="D109" s="517"/>
      <c r="E109" s="517"/>
      <c r="F109" s="517"/>
      <c r="G109" s="517"/>
      <c r="H109" s="517"/>
      <c r="I109" s="517"/>
      <c r="J109" s="57" t="s">
        <v>211</v>
      </c>
      <c r="K109" s="229" t="s">
        <v>215</v>
      </c>
      <c r="L109" s="57" t="s">
        <v>211</v>
      </c>
      <c r="M109" s="229" t="s">
        <v>214</v>
      </c>
      <c r="N109" s="57" t="s">
        <v>211</v>
      </c>
      <c r="O109" s="229" t="s">
        <v>213</v>
      </c>
      <c r="P109" s="485"/>
    </row>
    <row r="110" spans="1:16" ht="14.25" customHeight="1" x14ac:dyDescent="0.2">
      <c r="A110" s="485"/>
      <c r="B110" s="227">
        <v>3</v>
      </c>
      <c r="C110" s="517" t="s">
        <v>1959</v>
      </c>
      <c r="D110" s="517"/>
      <c r="E110" s="517"/>
      <c r="F110" s="517"/>
      <c r="G110" s="517"/>
      <c r="H110" s="517"/>
      <c r="I110" s="517"/>
      <c r="J110" s="57" t="s">
        <v>211</v>
      </c>
      <c r="K110" s="229" t="s">
        <v>215</v>
      </c>
      <c r="L110" s="57" t="s">
        <v>211</v>
      </c>
      <c r="M110" s="229" t="s">
        <v>214</v>
      </c>
      <c r="N110" s="57" t="s">
        <v>211</v>
      </c>
      <c r="O110" s="229" t="s">
        <v>213</v>
      </c>
      <c r="P110" s="485"/>
    </row>
    <row r="111" spans="1:16" ht="14.25" customHeight="1" x14ac:dyDescent="0.2">
      <c r="A111" s="485"/>
      <c r="B111" s="227">
        <v>4</v>
      </c>
      <c r="C111" s="517" t="s">
        <v>1960</v>
      </c>
      <c r="D111" s="517"/>
      <c r="E111" s="517"/>
      <c r="F111" s="517"/>
      <c r="G111" s="517"/>
      <c r="H111" s="517"/>
      <c r="I111" s="517"/>
      <c r="J111" s="57" t="s">
        <v>211</v>
      </c>
      <c r="K111" s="229" t="s">
        <v>215</v>
      </c>
      <c r="L111" s="57" t="s">
        <v>211</v>
      </c>
      <c r="M111" s="229" t="s">
        <v>214</v>
      </c>
      <c r="N111" s="57" t="s">
        <v>211</v>
      </c>
      <c r="O111" s="229" t="s">
        <v>213</v>
      </c>
      <c r="P111" s="485"/>
    </row>
    <row r="112" spans="1:16" ht="14.25" customHeight="1" x14ac:dyDescent="0.2">
      <c r="A112" s="485"/>
      <c r="B112" s="227">
        <v>5</v>
      </c>
      <c r="C112" s="517" t="s">
        <v>1961</v>
      </c>
      <c r="D112" s="517"/>
      <c r="E112" s="517"/>
      <c r="F112" s="517"/>
      <c r="G112" s="517"/>
      <c r="H112" s="517"/>
      <c r="I112" s="517"/>
      <c r="J112" s="57" t="s">
        <v>211</v>
      </c>
      <c r="K112" s="229" t="s">
        <v>215</v>
      </c>
      <c r="L112" s="57" t="s">
        <v>211</v>
      </c>
      <c r="M112" s="229" t="s">
        <v>214</v>
      </c>
      <c r="N112" s="57" t="s">
        <v>211</v>
      </c>
      <c r="O112" s="229" t="s">
        <v>213</v>
      </c>
      <c r="P112" s="485"/>
    </row>
    <row r="113" spans="1:16" x14ac:dyDescent="0.2">
      <c r="A113" s="485"/>
      <c r="B113" s="227">
        <v>6</v>
      </c>
      <c r="C113" s="517" t="s">
        <v>1962</v>
      </c>
      <c r="D113" s="517"/>
      <c r="E113" s="517"/>
      <c r="F113" s="517"/>
      <c r="G113" s="517"/>
      <c r="H113" s="517"/>
      <c r="I113" s="517"/>
      <c r="J113" s="57" t="s">
        <v>211</v>
      </c>
      <c r="K113" s="229" t="s">
        <v>215</v>
      </c>
      <c r="L113" s="57" t="s">
        <v>211</v>
      </c>
      <c r="M113" s="229" t="s">
        <v>214</v>
      </c>
      <c r="N113" s="57" t="s">
        <v>211</v>
      </c>
      <c r="O113" s="229" t="s">
        <v>213</v>
      </c>
      <c r="P113" s="485"/>
    </row>
    <row r="114" spans="1:16" x14ac:dyDescent="0.2">
      <c r="A114" s="485"/>
      <c r="B114" s="227">
        <v>7</v>
      </c>
      <c r="C114" s="517" t="s">
        <v>1963</v>
      </c>
      <c r="D114" s="517"/>
      <c r="E114" s="517"/>
      <c r="F114" s="517"/>
      <c r="G114" s="517"/>
      <c r="H114" s="517"/>
      <c r="I114" s="517"/>
      <c r="J114" s="57" t="s">
        <v>211</v>
      </c>
      <c r="K114" s="229" t="s">
        <v>215</v>
      </c>
      <c r="L114" s="57" t="s">
        <v>211</v>
      </c>
      <c r="M114" s="229" t="s">
        <v>214</v>
      </c>
      <c r="N114" s="57" t="s">
        <v>211</v>
      </c>
      <c r="O114" s="229" t="s">
        <v>213</v>
      </c>
      <c r="P114" s="485"/>
    </row>
    <row r="115" spans="1:16" ht="14.25" customHeight="1" x14ac:dyDescent="0.2">
      <c r="A115" s="485"/>
      <c r="B115" s="227">
        <v>8</v>
      </c>
      <c r="C115" s="517" t="s">
        <v>40</v>
      </c>
      <c r="D115" s="517"/>
      <c r="E115" s="517"/>
      <c r="F115" s="517"/>
      <c r="G115" s="517"/>
      <c r="H115" s="517"/>
      <c r="I115" s="517"/>
      <c r="J115" s="228"/>
      <c r="K115" s="229"/>
      <c r="L115" s="57" t="s">
        <v>211</v>
      </c>
      <c r="M115" s="229" t="s">
        <v>213</v>
      </c>
      <c r="N115" s="57" t="s">
        <v>211</v>
      </c>
      <c r="O115" s="229" t="s">
        <v>214</v>
      </c>
      <c r="P115" s="485"/>
    </row>
    <row r="116" spans="1:16" ht="7.5" customHeight="1" thickBot="1" x14ac:dyDescent="0.25">
      <c r="A116" s="485"/>
      <c r="B116" s="490"/>
      <c r="C116" s="490"/>
      <c r="D116" s="490"/>
      <c r="E116" s="490"/>
      <c r="F116" s="490"/>
      <c r="G116" s="490"/>
      <c r="H116" s="490"/>
      <c r="I116" s="490"/>
      <c r="J116" s="491">
        <f>COUNTIF(J108:J115,Data!A1)</f>
        <v>0</v>
      </c>
      <c r="K116" s="491"/>
      <c r="L116" s="491">
        <f>COUNTIF(L108:L115,Data!A1)</f>
        <v>0</v>
      </c>
      <c r="M116" s="491"/>
      <c r="N116" s="491">
        <f>COUNTIF(N108:N115,Data!A1)</f>
        <v>0</v>
      </c>
      <c r="O116" s="491"/>
      <c r="P116" s="490"/>
    </row>
    <row r="117" spans="1:16" ht="16" thickBot="1" x14ac:dyDescent="0.25">
      <c r="A117" s="485"/>
      <c r="B117" s="485"/>
      <c r="C117" s="517" t="s">
        <v>21</v>
      </c>
      <c r="D117" s="517"/>
      <c r="E117" s="517"/>
      <c r="F117" s="517"/>
      <c r="G117" s="517"/>
      <c r="H117" s="517"/>
      <c r="I117" s="517"/>
      <c r="J117" s="517"/>
      <c r="K117" s="517"/>
      <c r="L117" s="485"/>
      <c r="M117" s="59">
        <v>0</v>
      </c>
      <c r="N117" s="129">
        <f>IF(M117="",0.5,0)</f>
        <v>0</v>
      </c>
      <c r="O117" s="490"/>
      <c r="P117" s="485"/>
    </row>
    <row r="118" spans="1:16" ht="15.75" customHeight="1" x14ac:dyDescent="0.2">
      <c r="A118" s="485"/>
      <c r="B118" s="485"/>
      <c r="C118" s="517" t="s">
        <v>41</v>
      </c>
      <c r="D118" s="517"/>
      <c r="E118" s="517"/>
      <c r="F118" s="517"/>
      <c r="G118" s="517"/>
      <c r="H118" s="517"/>
      <c r="I118" s="517"/>
      <c r="J118" s="517"/>
      <c r="K118" s="517"/>
      <c r="L118" s="517"/>
      <c r="M118" s="517"/>
      <c r="N118" s="485"/>
      <c r="O118" s="485"/>
      <c r="P118" s="485"/>
    </row>
    <row r="119" spans="1:16" ht="16" thickBot="1" x14ac:dyDescent="0.25">
      <c r="A119" s="485"/>
      <c r="B119" s="231" t="s">
        <v>42</v>
      </c>
      <c r="C119" s="231"/>
      <c r="D119" s="232" t="s">
        <v>43</v>
      </c>
      <c r="E119" s="485"/>
      <c r="F119" s="231" t="s">
        <v>44</v>
      </c>
      <c r="G119" s="227" t="s">
        <v>45</v>
      </c>
      <c r="H119" s="231"/>
      <c r="I119" s="485"/>
      <c r="J119" s="485"/>
      <c r="K119" s="485"/>
      <c r="L119" s="485"/>
      <c r="M119" s="485"/>
      <c r="N119" s="485"/>
      <c r="O119" s="485"/>
      <c r="P119" s="485"/>
    </row>
    <row r="120" spans="1:16" ht="20" thickBot="1" x14ac:dyDescent="0.3">
      <c r="A120" s="485"/>
      <c r="B120" s="541" t="s">
        <v>137</v>
      </c>
      <c r="C120" s="541"/>
      <c r="D120" s="234" t="s">
        <v>138</v>
      </c>
      <c r="E120" s="485"/>
      <c r="F120" s="234" t="s">
        <v>139</v>
      </c>
      <c r="G120" s="231">
        <v>10</v>
      </c>
      <c r="H120" s="542" t="s">
        <v>235</v>
      </c>
      <c r="I120" s="542"/>
      <c r="J120" s="542"/>
      <c r="K120" s="542"/>
      <c r="L120" s="543">
        <f>SUM(((J116+L116)*1.25)-N117)</f>
        <v>0</v>
      </c>
      <c r="M120" s="544"/>
      <c r="N120" s="485"/>
      <c r="O120" s="485"/>
      <c r="P120" s="485"/>
    </row>
    <row r="121" spans="1:16" s="486" customFormat="1" ht="19" x14ac:dyDescent="0.25">
      <c r="A121" s="485"/>
      <c r="B121" s="233"/>
      <c r="C121" s="233"/>
      <c r="D121" s="234"/>
      <c r="E121" s="485"/>
      <c r="F121" s="234"/>
      <c r="G121" s="231"/>
      <c r="H121" s="492"/>
      <c r="I121" s="492"/>
      <c r="J121" s="492"/>
      <c r="K121" s="492"/>
      <c r="L121" s="493"/>
      <c r="M121" s="493"/>
      <c r="N121" s="485"/>
      <c r="O121" s="485"/>
      <c r="P121" s="485"/>
    </row>
    <row r="122" spans="1:16" x14ac:dyDescent="0.2">
      <c r="A122" s="226">
        <v>44</v>
      </c>
      <c r="B122" s="485">
        <v>1</v>
      </c>
      <c r="C122" s="517" t="s">
        <v>1964</v>
      </c>
      <c r="D122" s="517"/>
      <c r="E122" s="517"/>
      <c r="F122" s="517"/>
      <c r="G122" s="517"/>
      <c r="H122" s="517"/>
      <c r="I122" s="485"/>
      <c r="J122" s="57" t="s">
        <v>211</v>
      </c>
      <c r="K122" s="229" t="s">
        <v>215</v>
      </c>
      <c r="L122" s="57" t="s">
        <v>211</v>
      </c>
      <c r="M122" s="229" t="s">
        <v>214</v>
      </c>
      <c r="N122" s="57" t="s">
        <v>211</v>
      </c>
      <c r="O122" s="229" t="s">
        <v>213</v>
      </c>
      <c r="P122" s="485"/>
    </row>
    <row r="123" spans="1:16" x14ac:dyDescent="0.2">
      <c r="A123" s="485"/>
      <c r="B123" s="485">
        <v>2</v>
      </c>
      <c r="C123" s="517" t="s">
        <v>1965</v>
      </c>
      <c r="D123" s="517"/>
      <c r="E123" s="517"/>
      <c r="F123" s="517"/>
      <c r="G123" s="517"/>
      <c r="H123" s="517"/>
      <c r="I123" s="485"/>
      <c r="J123" s="57" t="s">
        <v>211</v>
      </c>
      <c r="K123" s="229" t="s">
        <v>215</v>
      </c>
      <c r="L123" s="57" t="s">
        <v>211</v>
      </c>
      <c r="M123" s="229" t="s">
        <v>214</v>
      </c>
      <c r="N123" s="57" t="s">
        <v>211</v>
      </c>
      <c r="O123" s="229" t="s">
        <v>213</v>
      </c>
      <c r="P123" s="485"/>
    </row>
    <row r="124" spans="1:16" x14ac:dyDescent="0.2">
      <c r="A124" s="485"/>
      <c r="B124" s="485">
        <v>3</v>
      </c>
      <c r="C124" s="517" t="s">
        <v>1966</v>
      </c>
      <c r="D124" s="517"/>
      <c r="E124" s="517"/>
      <c r="F124" s="517"/>
      <c r="G124" s="517"/>
      <c r="H124" s="517"/>
      <c r="I124" s="485"/>
      <c r="J124" s="57" t="s">
        <v>211</v>
      </c>
      <c r="K124" s="229" t="s">
        <v>215</v>
      </c>
      <c r="L124" s="57" t="s">
        <v>211</v>
      </c>
      <c r="M124" s="229" t="s">
        <v>214</v>
      </c>
      <c r="N124" s="57" t="s">
        <v>211</v>
      </c>
      <c r="O124" s="229" t="s">
        <v>213</v>
      </c>
      <c r="P124" s="485"/>
    </row>
    <row r="125" spans="1:16" x14ac:dyDescent="0.2">
      <c r="A125" s="485"/>
      <c r="B125" s="485">
        <v>4</v>
      </c>
      <c r="C125" s="518" t="s">
        <v>1967</v>
      </c>
      <c r="D125" s="518"/>
      <c r="E125" s="518"/>
      <c r="F125" s="518"/>
      <c r="G125" s="518"/>
      <c r="H125" s="518"/>
      <c r="I125" s="485"/>
      <c r="J125" s="57" t="s">
        <v>211</v>
      </c>
      <c r="K125" s="229" t="s">
        <v>215</v>
      </c>
      <c r="L125" s="57" t="s">
        <v>211</v>
      </c>
      <c r="M125" s="229" t="s">
        <v>214</v>
      </c>
      <c r="N125" s="57" t="s">
        <v>211</v>
      </c>
      <c r="O125" s="229" t="s">
        <v>213</v>
      </c>
      <c r="P125" s="485"/>
    </row>
    <row r="126" spans="1:16" x14ac:dyDescent="0.2">
      <c r="A126" s="485"/>
      <c r="B126" s="485">
        <v>5</v>
      </c>
      <c r="C126" s="518" t="s">
        <v>1968</v>
      </c>
      <c r="D126" s="518"/>
      <c r="E126" s="518"/>
      <c r="F126" s="518"/>
      <c r="G126" s="518"/>
      <c r="H126" s="518"/>
      <c r="I126" s="485"/>
      <c r="J126" s="57" t="s">
        <v>211</v>
      </c>
      <c r="K126" s="229" t="s">
        <v>215</v>
      </c>
      <c r="L126" s="57" t="s">
        <v>211</v>
      </c>
      <c r="M126" s="229" t="s">
        <v>214</v>
      </c>
      <c r="N126" s="57" t="s">
        <v>211</v>
      </c>
      <c r="O126" s="229" t="s">
        <v>213</v>
      </c>
      <c r="P126" s="485"/>
    </row>
    <row r="127" spans="1:16" x14ac:dyDescent="0.2">
      <c r="A127" s="485"/>
      <c r="B127" s="485">
        <v>6</v>
      </c>
      <c r="C127" s="518" t="s">
        <v>1969</v>
      </c>
      <c r="D127" s="518"/>
      <c r="E127" s="518"/>
      <c r="F127" s="518"/>
      <c r="G127" s="518"/>
      <c r="H127" s="518"/>
      <c r="I127" s="485"/>
      <c r="J127" s="57" t="s">
        <v>211</v>
      </c>
      <c r="K127" s="229" t="s">
        <v>215</v>
      </c>
      <c r="L127" s="57" t="s">
        <v>211</v>
      </c>
      <c r="M127" s="229" t="s">
        <v>214</v>
      </c>
      <c r="N127" s="57" t="s">
        <v>211</v>
      </c>
      <c r="O127" s="229" t="s">
        <v>213</v>
      </c>
      <c r="P127" s="485"/>
    </row>
    <row r="128" spans="1:16" x14ac:dyDescent="0.2">
      <c r="A128" s="485"/>
      <c r="B128" s="485">
        <v>7</v>
      </c>
      <c r="C128" s="518" t="s">
        <v>1970</v>
      </c>
      <c r="D128" s="518"/>
      <c r="E128" s="518"/>
      <c r="F128" s="518"/>
      <c r="G128" s="518"/>
      <c r="H128" s="518"/>
      <c r="I128" s="485"/>
      <c r="J128" s="57" t="s">
        <v>211</v>
      </c>
      <c r="K128" s="229" t="s">
        <v>215</v>
      </c>
      <c r="L128" s="57" t="s">
        <v>211</v>
      </c>
      <c r="M128" s="229" t="s">
        <v>214</v>
      </c>
      <c r="N128" s="57" t="s">
        <v>211</v>
      </c>
      <c r="O128" s="229" t="s">
        <v>213</v>
      </c>
      <c r="P128" s="485"/>
    </row>
    <row r="129" spans="1:16" x14ac:dyDescent="0.2">
      <c r="A129" s="485"/>
      <c r="B129" s="485">
        <v>8</v>
      </c>
      <c r="C129" s="518" t="s">
        <v>1971</v>
      </c>
      <c r="D129" s="518"/>
      <c r="E129" s="518"/>
      <c r="F129" s="518"/>
      <c r="G129" s="518"/>
      <c r="H129" s="518"/>
      <c r="I129" s="485"/>
      <c r="J129" s="57" t="s">
        <v>211</v>
      </c>
      <c r="K129" s="229" t="s">
        <v>215</v>
      </c>
      <c r="L129" s="57" t="s">
        <v>211</v>
      </c>
      <c r="M129" s="229" t="s">
        <v>214</v>
      </c>
      <c r="N129" s="57" t="s">
        <v>211</v>
      </c>
      <c r="O129" s="229" t="s">
        <v>213</v>
      </c>
      <c r="P129" s="485"/>
    </row>
    <row r="130" spans="1:16" x14ac:dyDescent="0.2">
      <c r="A130" s="485"/>
      <c r="B130" s="485">
        <v>9</v>
      </c>
      <c r="C130" s="567" t="s">
        <v>1962</v>
      </c>
      <c r="D130" s="567"/>
      <c r="E130" s="567"/>
      <c r="F130" s="567"/>
      <c r="G130" s="567"/>
      <c r="H130" s="567"/>
      <c r="I130" s="485"/>
      <c r="J130" s="57" t="s">
        <v>211</v>
      </c>
      <c r="K130" s="229" t="s">
        <v>215</v>
      </c>
      <c r="L130" s="57" t="s">
        <v>211</v>
      </c>
      <c r="M130" s="229" t="s">
        <v>214</v>
      </c>
      <c r="N130" s="57" t="s">
        <v>211</v>
      </c>
      <c r="O130" s="229" t="s">
        <v>213</v>
      </c>
      <c r="P130" s="485"/>
    </row>
    <row r="131" spans="1:16" x14ac:dyDescent="0.2">
      <c r="A131" s="485"/>
      <c r="B131" s="227">
        <v>10</v>
      </c>
      <c r="C131" s="517" t="s">
        <v>40</v>
      </c>
      <c r="D131" s="517"/>
      <c r="E131" s="517"/>
      <c r="F131" s="517"/>
      <c r="G131" s="517"/>
      <c r="H131" s="517"/>
      <c r="I131" s="517"/>
      <c r="J131" s="57" t="s">
        <v>211</v>
      </c>
      <c r="K131" s="229" t="s">
        <v>215</v>
      </c>
      <c r="L131" s="57" t="s">
        <v>211</v>
      </c>
      <c r="M131" s="229" t="s">
        <v>213</v>
      </c>
      <c r="N131" s="57" t="s">
        <v>211</v>
      </c>
      <c r="O131" s="229" t="s">
        <v>214</v>
      </c>
      <c r="P131" s="485"/>
    </row>
    <row r="132" spans="1:16" ht="7.25" customHeight="1" thickBot="1" x14ac:dyDescent="0.25">
      <c r="A132" s="485"/>
      <c r="B132" s="485"/>
      <c r="C132" s="485"/>
      <c r="D132" s="485"/>
      <c r="E132" s="485"/>
      <c r="F132" s="485"/>
      <c r="G132" s="485"/>
      <c r="H132" s="485"/>
      <c r="I132" s="485"/>
      <c r="J132" s="129">
        <f>COUNTIF(J122:J131,Data!A1)</f>
        <v>0</v>
      </c>
      <c r="K132" s="129"/>
      <c r="L132" s="129">
        <f>COUNTIF(L122:L131,Data!A1)</f>
        <v>0</v>
      </c>
      <c r="M132" s="129"/>
      <c r="N132" s="129">
        <f>COUNTIF(N122:N131,Data!A1)</f>
        <v>0</v>
      </c>
      <c r="O132" s="129"/>
      <c r="P132" s="485"/>
    </row>
    <row r="133" spans="1:16" ht="14.25" customHeight="1" thickBot="1" x14ac:dyDescent="0.25">
      <c r="A133" s="485"/>
      <c r="B133" s="485"/>
      <c r="C133" s="517" t="s">
        <v>21</v>
      </c>
      <c r="D133" s="517"/>
      <c r="E133" s="517"/>
      <c r="F133" s="517"/>
      <c r="G133" s="517"/>
      <c r="H133" s="517"/>
      <c r="I133" s="517"/>
      <c r="J133" s="517"/>
      <c r="K133" s="517"/>
      <c r="L133" s="485"/>
      <c r="M133" s="59">
        <v>0</v>
      </c>
      <c r="N133" s="129">
        <f>IF(M133="",0.5,0)</f>
        <v>0</v>
      </c>
      <c r="O133" s="485"/>
      <c r="P133" s="485"/>
    </row>
    <row r="134" spans="1:16" ht="14.25" customHeight="1" x14ac:dyDescent="0.2">
      <c r="A134" s="485"/>
      <c r="B134" s="485"/>
      <c r="C134" s="517" t="s">
        <v>41</v>
      </c>
      <c r="D134" s="517"/>
      <c r="E134" s="517"/>
      <c r="F134" s="517"/>
      <c r="G134" s="517"/>
      <c r="H134" s="517"/>
      <c r="I134" s="517"/>
      <c r="J134" s="517"/>
      <c r="K134" s="517"/>
      <c r="L134" s="517"/>
      <c r="M134" s="517"/>
      <c r="N134" s="485"/>
      <c r="O134" s="485"/>
      <c r="P134" s="485"/>
    </row>
    <row r="135" spans="1:16" ht="16" thickBot="1" x14ac:dyDescent="0.25">
      <c r="A135" s="485"/>
      <c r="B135" s="231" t="s">
        <v>42</v>
      </c>
      <c r="C135" s="231"/>
      <c r="D135" s="232" t="s">
        <v>43</v>
      </c>
      <c r="E135" s="485"/>
      <c r="F135" s="231" t="s">
        <v>44</v>
      </c>
      <c r="G135" s="227" t="s">
        <v>45</v>
      </c>
      <c r="H135" s="231"/>
      <c r="I135" s="485"/>
      <c r="J135" s="485"/>
      <c r="K135" s="485"/>
      <c r="L135" s="485"/>
      <c r="M135" s="485"/>
      <c r="N135" s="485"/>
      <c r="O135" s="485"/>
      <c r="P135" s="485"/>
    </row>
    <row r="136" spans="1:16" ht="20" thickBot="1" x14ac:dyDescent="0.3">
      <c r="A136" s="485"/>
      <c r="B136" s="541" t="s">
        <v>137</v>
      </c>
      <c r="C136" s="541"/>
      <c r="D136" s="234" t="s">
        <v>138</v>
      </c>
      <c r="E136" s="485"/>
      <c r="F136" s="234" t="s">
        <v>139</v>
      </c>
      <c r="G136" s="231">
        <v>10</v>
      </c>
      <c r="H136" s="542" t="s">
        <v>235</v>
      </c>
      <c r="I136" s="542"/>
      <c r="J136" s="542"/>
      <c r="K136" s="542"/>
      <c r="L136" s="543">
        <f>SUM(J132+L132-M133)</f>
        <v>0</v>
      </c>
      <c r="M136" s="544"/>
      <c r="N136" s="485"/>
      <c r="O136" s="485"/>
      <c r="P136" s="485"/>
    </row>
    <row r="137" spans="1:16" x14ac:dyDescent="0.2">
      <c r="A137" s="485"/>
      <c r="B137" s="485"/>
      <c r="C137" s="517"/>
      <c r="D137" s="517"/>
      <c r="E137" s="517"/>
      <c r="F137" s="517"/>
      <c r="G137" s="517"/>
      <c r="H137" s="517"/>
      <c r="I137" s="485"/>
      <c r="J137" s="228"/>
      <c r="K137" s="229"/>
      <c r="L137" s="228"/>
      <c r="M137" s="229"/>
      <c r="N137" s="228"/>
      <c r="O137" s="229"/>
      <c r="P137" s="485"/>
    </row>
    <row r="138" spans="1:16" x14ac:dyDescent="0.2">
      <c r="A138" s="485"/>
      <c r="B138" s="485"/>
      <c r="C138" s="485"/>
      <c r="D138" s="485"/>
      <c r="E138" s="485"/>
      <c r="F138" s="485"/>
      <c r="G138" s="485"/>
      <c r="H138" s="127"/>
      <c r="I138" s="127"/>
      <c r="J138" s="127"/>
      <c r="K138" s="127"/>
      <c r="L138" s="127"/>
      <c r="M138" s="127"/>
      <c r="N138" s="127"/>
      <c r="O138" s="127"/>
      <c r="P138" s="127"/>
    </row>
    <row r="139" spans="1:16" x14ac:dyDescent="0.2">
      <c r="A139" s="485"/>
      <c r="B139" s="485" t="s">
        <v>15</v>
      </c>
      <c r="C139" s="485"/>
      <c r="D139" s="485"/>
      <c r="E139" s="485"/>
      <c r="F139" s="485"/>
      <c r="G139" s="485"/>
      <c r="H139" s="485"/>
      <c r="I139" s="485"/>
      <c r="J139" s="485"/>
      <c r="K139" s="485"/>
      <c r="L139" s="485"/>
      <c r="M139" s="485"/>
      <c r="N139" s="485"/>
      <c r="O139" s="485"/>
      <c r="P139" s="485"/>
    </row>
    <row r="140" spans="1:16" x14ac:dyDescent="0.2">
      <c r="A140" s="485"/>
      <c r="B140" s="500"/>
      <c r="C140" s="545"/>
      <c r="D140" s="545"/>
      <c r="E140" s="545"/>
      <c r="F140" s="545"/>
      <c r="G140" s="545"/>
      <c r="H140" s="545"/>
      <c r="I140" s="545"/>
      <c r="J140" s="545"/>
      <c r="K140" s="545"/>
      <c r="L140" s="545"/>
      <c r="M140" s="545"/>
      <c r="N140" s="545"/>
      <c r="O140" s="546"/>
      <c r="P140" s="485"/>
    </row>
    <row r="141" spans="1:16" x14ac:dyDescent="0.2">
      <c r="A141" s="485"/>
      <c r="B141" s="547"/>
      <c r="C141" s="548"/>
      <c r="D141" s="548"/>
      <c r="E141" s="548"/>
      <c r="F141" s="548"/>
      <c r="G141" s="548"/>
      <c r="H141" s="548"/>
      <c r="I141" s="548"/>
      <c r="J141" s="548"/>
      <c r="K141" s="548"/>
      <c r="L141" s="548"/>
      <c r="M141" s="548"/>
      <c r="N141" s="548"/>
      <c r="O141" s="549"/>
      <c r="P141" s="485"/>
    </row>
    <row r="142" spans="1:16" ht="10.75" customHeight="1" x14ac:dyDescent="0.2">
      <c r="A142" s="485"/>
      <c r="B142" s="547"/>
      <c r="C142" s="548"/>
      <c r="D142" s="548"/>
      <c r="E142" s="548"/>
      <c r="F142" s="548"/>
      <c r="G142" s="548"/>
      <c r="H142" s="548"/>
      <c r="I142" s="548"/>
      <c r="J142" s="548"/>
      <c r="K142" s="548"/>
      <c r="L142" s="548"/>
      <c r="M142" s="548"/>
      <c r="N142" s="548"/>
      <c r="O142" s="549"/>
      <c r="P142" s="485"/>
    </row>
    <row r="143" spans="1:16" x14ac:dyDescent="0.2">
      <c r="A143" s="485"/>
      <c r="B143" s="550"/>
      <c r="C143" s="551"/>
      <c r="D143" s="551"/>
      <c r="E143" s="551"/>
      <c r="F143" s="551"/>
      <c r="G143" s="551"/>
      <c r="H143" s="551"/>
      <c r="I143" s="551"/>
      <c r="J143" s="551"/>
      <c r="K143" s="551"/>
      <c r="L143" s="551"/>
      <c r="M143" s="551"/>
      <c r="N143" s="551"/>
      <c r="O143" s="552"/>
      <c r="P143" s="485"/>
    </row>
    <row r="144" spans="1:16" ht="16" thickBot="1" x14ac:dyDescent="0.25">
      <c r="A144" s="485"/>
      <c r="B144" s="485"/>
      <c r="C144" s="485"/>
      <c r="D144" s="485"/>
      <c r="E144" s="485"/>
      <c r="F144" s="485"/>
      <c r="G144" s="485"/>
      <c r="H144" s="485"/>
      <c r="I144" s="485"/>
      <c r="J144" s="485"/>
      <c r="K144" s="485"/>
      <c r="L144" s="485"/>
      <c r="M144" s="485"/>
      <c r="N144" s="485"/>
      <c r="O144" s="485"/>
      <c r="P144" s="485"/>
    </row>
    <row r="145" spans="1:16" x14ac:dyDescent="0.2">
      <c r="A145" s="485"/>
      <c r="B145" s="553" t="s">
        <v>252</v>
      </c>
      <c r="C145" s="554"/>
      <c r="D145" s="554"/>
      <c r="E145" s="554"/>
      <c r="F145" s="554"/>
      <c r="G145" s="554"/>
      <c r="H145" s="554"/>
      <c r="I145" s="554"/>
      <c r="J145" s="554"/>
      <c r="K145" s="554"/>
      <c r="L145" s="554"/>
      <c r="M145" s="554"/>
      <c r="N145" s="554"/>
      <c r="O145" s="555"/>
      <c r="P145" s="485"/>
    </row>
    <row r="146" spans="1:16" ht="16" thickBot="1" x14ac:dyDescent="0.25">
      <c r="A146" s="485"/>
      <c r="B146" s="556"/>
      <c r="C146" s="557"/>
      <c r="D146" s="557"/>
      <c r="E146" s="557"/>
      <c r="F146" s="557"/>
      <c r="G146" s="557"/>
      <c r="H146" s="557"/>
      <c r="I146" s="557"/>
      <c r="J146" s="557"/>
      <c r="K146" s="557"/>
      <c r="L146" s="557"/>
      <c r="M146" s="557"/>
      <c r="N146" s="557"/>
      <c r="O146" s="558"/>
      <c r="P146" s="485"/>
    </row>
    <row r="147" spans="1:16" x14ac:dyDescent="0.2">
      <c r="A147" s="485"/>
      <c r="B147" s="485"/>
      <c r="C147" s="485"/>
      <c r="D147" s="485"/>
      <c r="E147" s="485"/>
      <c r="F147" s="485"/>
      <c r="G147" s="485"/>
      <c r="H147" s="485"/>
      <c r="I147" s="485"/>
      <c r="J147" s="485"/>
      <c r="K147" s="485"/>
      <c r="L147" s="485"/>
      <c r="M147" s="485"/>
      <c r="N147" s="485"/>
      <c r="O147" s="485"/>
      <c r="P147" s="485"/>
    </row>
    <row r="148" spans="1:16" x14ac:dyDescent="0.2">
      <c r="A148" s="485"/>
      <c r="B148" s="485">
        <v>1</v>
      </c>
      <c r="C148" s="517" t="s">
        <v>52</v>
      </c>
      <c r="D148" s="517"/>
      <c r="E148" s="517"/>
      <c r="F148" s="517"/>
      <c r="G148" s="517"/>
      <c r="H148" s="517"/>
      <c r="I148" s="517"/>
      <c r="J148" s="57" t="s">
        <v>211</v>
      </c>
      <c r="K148" s="229" t="s">
        <v>215</v>
      </c>
      <c r="L148" s="57" t="s">
        <v>211</v>
      </c>
      <c r="M148" s="229" t="s">
        <v>214</v>
      </c>
      <c r="N148" s="57" t="s">
        <v>211</v>
      </c>
      <c r="O148" s="229" t="s">
        <v>213</v>
      </c>
      <c r="P148" s="485"/>
    </row>
    <row r="149" spans="1:16" x14ac:dyDescent="0.2">
      <c r="A149" s="485"/>
      <c r="B149" s="485">
        <v>2</v>
      </c>
      <c r="C149" s="517" t="s">
        <v>170</v>
      </c>
      <c r="D149" s="517"/>
      <c r="E149" s="517"/>
      <c r="F149" s="517"/>
      <c r="G149" s="517"/>
      <c r="H149" s="517"/>
      <c r="I149" s="517"/>
      <c r="J149" s="57" t="s">
        <v>211</v>
      </c>
      <c r="K149" s="229" t="s">
        <v>215</v>
      </c>
      <c r="L149" s="57" t="s">
        <v>211</v>
      </c>
      <c r="M149" s="229" t="s">
        <v>214</v>
      </c>
      <c r="N149" s="57" t="s">
        <v>211</v>
      </c>
      <c r="O149" s="229" t="s">
        <v>213</v>
      </c>
      <c r="P149" s="485"/>
    </row>
    <row r="150" spans="1:16" x14ac:dyDescent="0.2">
      <c r="A150" s="485"/>
      <c r="B150" s="127">
        <v>3</v>
      </c>
      <c r="C150" s="517" t="s">
        <v>236</v>
      </c>
      <c r="D150" s="517"/>
      <c r="E150" s="517"/>
      <c r="F150" s="517"/>
      <c r="G150" s="517"/>
      <c r="H150" s="517"/>
      <c r="I150" s="517"/>
      <c r="J150" s="57" t="s">
        <v>211</v>
      </c>
      <c r="K150" s="229" t="s">
        <v>215</v>
      </c>
      <c r="L150" s="57" t="s">
        <v>211</v>
      </c>
      <c r="M150" s="229" t="s">
        <v>214</v>
      </c>
      <c r="N150" s="57" t="s">
        <v>211</v>
      </c>
      <c r="O150" s="229" t="s">
        <v>213</v>
      </c>
      <c r="P150" s="485"/>
    </row>
    <row r="151" spans="1:16" x14ac:dyDescent="0.2">
      <c r="A151" s="485"/>
      <c r="B151" s="485">
        <v>4</v>
      </c>
      <c r="C151" s="517" t="s">
        <v>237</v>
      </c>
      <c r="D151" s="517"/>
      <c r="E151" s="517"/>
      <c r="F151" s="517"/>
      <c r="G151" s="517"/>
      <c r="H151" s="517"/>
      <c r="I151" s="517"/>
      <c r="J151" s="57" t="s">
        <v>211</v>
      </c>
      <c r="K151" s="229" t="s">
        <v>215</v>
      </c>
      <c r="L151" s="57" t="s">
        <v>211</v>
      </c>
      <c r="M151" s="229" t="s">
        <v>214</v>
      </c>
      <c r="N151" s="57" t="s">
        <v>211</v>
      </c>
      <c r="O151" s="229" t="s">
        <v>213</v>
      </c>
      <c r="P151" s="485"/>
    </row>
    <row r="152" spans="1:16" x14ac:dyDescent="0.2">
      <c r="A152" s="485"/>
      <c r="B152" s="485"/>
      <c r="C152" s="517" t="s">
        <v>238</v>
      </c>
      <c r="D152" s="517"/>
      <c r="E152" s="517"/>
      <c r="F152" s="517"/>
      <c r="G152" s="517"/>
      <c r="H152" s="517"/>
      <c r="I152" s="517"/>
      <c r="J152" s="485"/>
      <c r="K152" s="485"/>
      <c r="L152" s="485"/>
      <c r="M152" s="485"/>
      <c r="N152" s="485"/>
      <c r="O152" s="485"/>
      <c r="P152" s="485"/>
    </row>
    <row r="153" spans="1:16" x14ac:dyDescent="0.2">
      <c r="A153" s="485"/>
      <c r="B153" s="485">
        <v>5</v>
      </c>
      <c r="C153" s="517" t="s">
        <v>173</v>
      </c>
      <c r="D153" s="517"/>
      <c r="E153" s="517"/>
      <c r="F153" s="517"/>
      <c r="G153" s="517"/>
      <c r="H153" s="517"/>
      <c r="I153" s="517"/>
      <c r="J153" s="57" t="s">
        <v>211</v>
      </c>
      <c r="K153" s="229" t="s">
        <v>215</v>
      </c>
      <c r="L153" s="57" t="s">
        <v>211</v>
      </c>
      <c r="M153" s="229" t="s">
        <v>214</v>
      </c>
      <c r="N153" s="57" t="s">
        <v>211</v>
      </c>
      <c r="O153" s="229" t="s">
        <v>213</v>
      </c>
      <c r="P153" s="485"/>
    </row>
    <row r="154" spans="1:16" ht="16" thickBot="1" x14ac:dyDescent="0.25">
      <c r="A154" s="485"/>
      <c r="B154" s="485"/>
      <c r="C154" s="485"/>
      <c r="D154" s="485"/>
      <c r="E154" s="485"/>
      <c r="F154" s="485"/>
      <c r="G154" s="485"/>
      <c r="H154" s="485"/>
      <c r="I154" s="485"/>
      <c r="J154" s="129">
        <f>COUNTIF(J148:J153,Data!A1)</f>
        <v>0</v>
      </c>
      <c r="K154" s="129"/>
      <c r="L154" s="129">
        <f>COUNTIF(L148:L153,Data!A1)</f>
        <v>0</v>
      </c>
      <c r="M154" s="129"/>
      <c r="N154" s="129">
        <f>COUNTIF(N148:N153,Data!A1)</f>
        <v>0</v>
      </c>
      <c r="O154" s="129"/>
      <c r="P154" s="485"/>
    </row>
    <row r="155" spans="1:16" ht="20" thickBot="1" x14ac:dyDescent="0.3">
      <c r="A155" s="485"/>
      <c r="B155" s="485"/>
      <c r="C155" s="485"/>
      <c r="D155" s="485"/>
      <c r="E155" s="485"/>
      <c r="F155" s="485"/>
      <c r="G155" s="235" t="s">
        <v>239</v>
      </c>
      <c r="H155" s="235"/>
      <c r="I155" s="235"/>
      <c r="J155" s="235"/>
      <c r="K155" s="235"/>
      <c r="L155" s="565">
        <f>SUM(J154,L154)</f>
        <v>0</v>
      </c>
      <c r="M155" s="566"/>
      <c r="N155" s="485"/>
      <c r="O155" s="485"/>
      <c r="P155" s="485"/>
    </row>
    <row r="156" spans="1:16" x14ac:dyDescent="0.2">
      <c r="A156" s="485"/>
      <c r="B156" s="485" t="s">
        <v>15</v>
      </c>
      <c r="C156" s="485"/>
      <c r="D156" s="485"/>
      <c r="E156" s="485"/>
      <c r="F156" s="485"/>
      <c r="G156" s="485"/>
      <c r="H156" s="485"/>
      <c r="I156" s="485"/>
      <c r="J156" s="485"/>
      <c r="K156" s="485"/>
      <c r="L156" s="485"/>
      <c r="M156" s="485"/>
      <c r="N156" s="485"/>
      <c r="O156" s="485"/>
      <c r="P156" s="485"/>
    </row>
    <row r="157" spans="1:16" x14ac:dyDescent="0.2">
      <c r="A157" s="485"/>
      <c r="B157" s="500"/>
      <c r="C157" s="545"/>
      <c r="D157" s="545"/>
      <c r="E157" s="545"/>
      <c r="F157" s="545"/>
      <c r="G157" s="545"/>
      <c r="H157" s="545"/>
      <c r="I157" s="545"/>
      <c r="J157" s="545"/>
      <c r="K157" s="545"/>
      <c r="L157" s="545"/>
      <c r="M157" s="545"/>
      <c r="N157" s="545"/>
      <c r="O157" s="546"/>
      <c r="P157" s="485"/>
    </row>
    <row r="158" spans="1:16" x14ac:dyDescent="0.2">
      <c r="A158" s="485"/>
      <c r="B158" s="547"/>
      <c r="C158" s="548"/>
      <c r="D158" s="548"/>
      <c r="E158" s="548"/>
      <c r="F158" s="548"/>
      <c r="G158" s="548"/>
      <c r="H158" s="548"/>
      <c r="I158" s="548"/>
      <c r="J158" s="548"/>
      <c r="K158" s="548"/>
      <c r="L158" s="548"/>
      <c r="M158" s="548"/>
      <c r="N158" s="548"/>
      <c r="O158" s="549"/>
      <c r="P158" s="485"/>
    </row>
    <row r="159" spans="1:16" x14ac:dyDescent="0.2">
      <c r="A159" s="485"/>
      <c r="B159" s="547"/>
      <c r="C159" s="548"/>
      <c r="D159" s="548"/>
      <c r="E159" s="548"/>
      <c r="F159" s="548"/>
      <c r="G159" s="548"/>
      <c r="H159" s="548"/>
      <c r="I159" s="548"/>
      <c r="J159" s="548"/>
      <c r="K159" s="548"/>
      <c r="L159" s="548"/>
      <c r="M159" s="548"/>
      <c r="N159" s="548"/>
      <c r="O159" s="549"/>
      <c r="P159" s="485"/>
    </row>
    <row r="160" spans="1:16" x14ac:dyDescent="0.2">
      <c r="A160" s="485"/>
      <c r="B160" s="550"/>
      <c r="C160" s="551"/>
      <c r="D160" s="551"/>
      <c r="E160" s="551"/>
      <c r="F160" s="551"/>
      <c r="G160" s="551"/>
      <c r="H160" s="551"/>
      <c r="I160" s="551"/>
      <c r="J160" s="551"/>
      <c r="K160" s="551"/>
      <c r="L160" s="551"/>
      <c r="M160" s="551"/>
      <c r="N160" s="551"/>
      <c r="O160" s="552"/>
      <c r="P160" s="485"/>
    </row>
    <row r="161" spans="1:16" ht="16" thickBot="1" x14ac:dyDescent="0.25">
      <c r="A161" s="485"/>
      <c r="B161" s="485"/>
      <c r="C161" s="485"/>
      <c r="D161" s="485"/>
      <c r="E161" s="485"/>
      <c r="F161" s="485"/>
      <c r="G161" s="485"/>
      <c r="H161" s="485"/>
      <c r="I161" s="485"/>
      <c r="J161" s="485"/>
      <c r="K161" s="485"/>
      <c r="L161" s="485"/>
      <c r="M161" s="485"/>
      <c r="N161" s="485"/>
      <c r="O161" s="485"/>
      <c r="P161" s="485"/>
    </row>
    <row r="162" spans="1:16" x14ac:dyDescent="0.2">
      <c r="A162" s="485"/>
      <c r="B162" s="553" t="s">
        <v>253</v>
      </c>
      <c r="C162" s="554"/>
      <c r="D162" s="554"/>
      <c r="E162" s="554"/>
      <c r="F162" s="554"/>
      <c r="G162" s="554"/>
      <c r="H162" s="554"/>
      <c r="I162" s="554"/>
      <c r="J162" s="554"/>
      <c r="K162" s="554"/>
      <c r="L162" s="554"/>
      <c r="M162" s="554"/>
      <c r="N162" s="554"/>
      <c r="O162" s="555"/>
      <c r="P162" s="485"/>
    </row>
    <row r="163" spans="1:16" ht="16" thickBot="1" x14ac:dyDescent="0.25">
      <c r="A163" s="485"/>
      <c r="B163" s="556"/>
      <c r="C163" s="557"/>
      <c r="D163" s="557"/>
      <c r="E163" s="557"/>
      <c r="F163" s="557"/>
      <c r="G163" s="557"/>
      <c r="H163" s="557"/>
      <c r="I163" s="557"/>
      <c r="J163" s="557"/>
      <c r="K163" s="557"/>
      <c r="L163" s="557"/>
      <c r="M163" s="557"/>
      <c r="N163" s="557"/>
      <c r="O163" s="558"/>
      <c r="P163" s="485"/>
    </row>
    <row r="164" spans="1:16" x14ac:dyDescent="0.2">
      <c r="A164" s="485"/>
      <c r="B164" s="485"/>
      <c r="C164" s="485"/>
      <c r="D164" s="485"/>
      <c r="E164" s="485"/>
      <c r="F164" s="485"/>
      <c r="G164" s="485"/>
      <c r="H164" s="485"/>
      <c r="I164" s="485"/>
      <c r="J164" s="485"/>
      <c r="K164" s="485"/>
      <c r="L164" s="485"/>
      <c r="M164" s="485"/>
      <c r="N164" s="485"/>
      <c r="O164" s="485"/>
      <c r="P164" s="485"/>
    </row>
    <row r="165" spans="1:16" x14ac:dyDescent="0.2">
      <c r="A165" s="485"/>
      <c r="B165" s="485">
        <v>1</v>
      </c>
      <c r="C165" s="517" t="s">
        <v>240</v>
      </c>
      <c r="D165" s="517"/>
      <c r="E165" s="517"/>
      <c r="F165" s="517"/>
      <c r="G165" s="517"/>
      <c r="H165" s="517"/>
      <c r="I165" s="517"/>
      <c r="J165" s="57" t="s">
        <v>211</v>
      </c>
      <c r="K165" s="229" t="s">
        <v>215</v>
      </c>
      <c r="L165" s="57" t="s">
        <v>211</v>
      </c>
      <c r="M165" s="229" t="s">
        <v>214</v>
      </c>
      <c r="N165" s="57" t="s">
        <v>211</v>
      </c>
      <c r="O165" s="229" t="s">
        <v>213</v>
      </c>
      <c r="P165" s="485"/>
    </row>
    <row r="166" spans="1:16" x14ac:dyDescent="0.2">
      <c r="A166" s="485"/>
      <c r="B166" s="485">
        <v>2</v>
      </c>
      <c r="C166" s="517" t="s">
        <v>57</v>
      </c>
      <c r="D166" s="517"/>
      <c r="E166" s="517"/>
      <c r="F166" s="517"/>
      <c r="G166" s="517"/>
      <c r="H166" s="517"/>
      <c r="I166" s="517"/>
      <c r="J166" s="57" t="s">
        <v>211</v>
      </c>
      <c r="K166" s="229" t="s">
        <v>215</v>
      </c>
      <c r="L166" s="57" t="s">
        <v>211</v>
      </c>
      <c r="M166" s="229" t="s">
        <v>214</v>
      </c>
      <c r="N166" s="57" t="s">
        <v>211</v>
      </c>
      <c r="O166" s="229" t="s">
        <v>213</v>
      </c>
      <c r="P166" s="485"/>
    </row>
    <row r="167" spans="1:16" x14ac:dyDescent="0.2">
      <c r="A167" s="485"/>
      <c r="B167" s="485">
        <v>3</v>
      </c>
      <c r="C167" s="517" t="s">
        <v>58</v>
      </c>
      <c r="D167" s="517"/>
      <c r="E167" s="517"/>
      <c r="F167" s="517"/>
      <c r="G167" s="517"/>
      <c r="H167" s="517"/>
      <c r="I167" s="517"/>
      <c r="J167" s="57" t="s">
        <v>211</v>
      </c>
      <c r="K167" s="229" t="s">
        <v>215</v>
      </c>
      <c r="L167" s="57" t="s">
        <v>211</v>
      </c>
      <c r="M167" s="229" t="s">
        <v>214</v>
      </c>
      <c r="N167" s="57" t="s">
        <v>211</v>
      </c>
      <c r="O167" s="229" t="s">
        <v>213</v>
      </c>
      <c r="P167" s="485"/>
    </row>
    <row r="168" spans="1:16" x14ac:dyDescent="0.2">
      <c r="A168" s="485"/>
      <c r="B168" s="485">
        <v>4</v>
      </c>
      <c r="C168" s="517" t="s">
        <v>59</v>
      </c>
      <c r="D168" s="517"/>
      <c r="E168" s="517"/>
      <c r="F168" s="517"/>
      <c r="G168" s="517"/>
      <c r="H168" s="517"/>
      <c r="I168" s="517"/>
      <c r="J168" s="57" t="s">
        <v>211</v>
      </c>
      <c r="K168" s="229" t="s">
        <v>215</v>
      </c>
      <c r="L168" s="57" t="s">
        <v>211</v>
      </c>
      <c r="M168" s="229" t="s">
        <v>214</v>
      </c>
      <c r="N168" s="57" t="s">
        <v>211</v>
      </c>
      <c r="O168" s="229" t="s">
        <v>213</v>
      </c>
      <c r="P168" s="485"/>
    </row>
    <row r="169" spans="1:16" x14ac:dyDescent="0.2">
      <c r="A169" s="485"/>
      <c r="B169" s="485">
        <v>5</v>
      </c>
      <c r="C169" s="517" t="s">
        <v>241</v>
      </c>
      <c r="D169" s="517"/>
      <c r="E169" s="517"/>
      <c r="F169" s="517"/>
      <c r="G169" s="517"/>
      <c r="H169" s="517"/>
      <c r="I169" s="517"/>
      <c r="J169" s="485"/>
      <c r="K169" s="485"/>
      <c r="L169" s="533"/>
      <c r="M169" s="535"/>
      <c r="N169" s="236" t="b">
        <f>IF(L169="C",10,IF(L169="O",7,IF(L169="A",4,IF(L169="R",0))))</f>
        <v>0</v>
      </c>
      <c r="O169" s="485"/>
      <c r="P169" s="485"/>
    </row>
    <row r="170" spans="1:16" x14ac:dyDescent="0.2">
      <c r="A170" s="485"/>
      <c r="B170" s="485"/>
      <c r="C170" s="485" t="s">
        <v>1813</v>
      </c>
      <c r="D170" s="485"/>
      <c r="E170" s="485"/>
      <c r="F170" s="485"/>
      <c r="G170" s="485"/>
      <c r="H170" s="485"/>
      <c r="I170" s="485"/>
      <c r="J170" s="485"/>
      <c r="K170" s="485"/>
      <c r="L170" s="485"/>
      <c r="M170" s="485"/>
      <c r="N170" s="485"/>
      <c r="O170" s="485"/>
      <c r="P170" s="485"/>
    </row>
    <row r="171" spans="1:16" ht="16" thickBot="1" x14ac:dyDescent="0.25">
      <c r="A171" s="485"/>
      <c r="B171" s="485"/>
      <c r="C171" s="485"/>
      <c r="D171" s="485"/>
      <c r="E171" s="485"/>
      <c r="F171" s="485"/>
      <c r="G171" s="485"/>
      <c r="H171" s="485"/>
      <c r="I171" s="485"/>
      <c r="J171" s="129">
        <f>COUNTIF(J165:J168,Data!A1)</f>
        <v>0</v>
      </c>
      <c r="K171" s="129"/>
      <c r="L171" s="129">
        <f>COUNTIF(L165:L168,Data!A1)</f>
        <v>0</v>
      </c>
      <c r="M171" s="129"/>
      <c r="N171" s="129">
        <f>COUNTIF(N165:N168,Data!A1)</f>
        <v>0</v>
      </c>
      <c r="O171" s="485"/>
      <c r="P171" s="485"/>
    </row>
    <row r="172" spans="1:16" ht="17" thickBot="1" x14ac:dyDescent="0.25">
      <c r="A172" s="485"/>
      <c r="B172" s="485"/>
      <c r="C172" s="485"/>
      <c r="D172" s="485"/>
      <c r="E172" s="485"/>
      <c r="F172" s="485"/>
      <c r="G172" s="237" t="s">
        <v>242</v>
      </c>
      <c r="H172" s="237"/>
      <c r="I172" s="237"/>
      <c r="J172" s="237"/>
      <c r="K172" s="237"/>
      <c r="L172" s="563">
        <f>SUM(J171,L171,N169)</f>
        <v>0</v>
      </c>
      <c r="M172" s="564"/>
      <c r="N172" s="485"/>
      <c r="O172" s="485"/>
      <c r="P172" s="485"/>
    </row>
    <row r="173" spans="1:16" x14ac:dyDescent="0.2">
      <c r="A173" s="485"/>
      <c r="B173" s="485" t="s">
        <v>15</v>
      </c>
      <c r="C173" s="485"/>
      <c r="D173" s="485"/>
      <c r="E173" s="485"/>
      <c r="F173" s="485"/>
      <c r="G173" s="485"/>
      <c r="H173" s="485"/>
      <c r="I173" s="485"/>
      <c r="J173" s="485"/>
      <c r="K173" s="485"/>
      <c r="L173" s="485"/>
      <c r="M173" s="485"/>
      <c r="N173" s="485"/>
      <c r="O173" s="485"/>
      <c r="P173" s="485"/>
    </row>
    <row r="174" spans="1:16" x14ac:dyDescent="0.2">
      <c r="A174" s="485"/>
      <c r="B174" s="500"/>
      <c r="C174" s="545"/>
      <c r="D174" s="545"/>
      <c r="E174" s="545"/>
      <c r="F174" s="545"/>
      <c r="G174" s="545"/>
      <c r="H174" s="545"/>
      <c r="I174" s="545"/>
      <c r="J174" s="545"/>
      <c r="K174" s="545"/>
      <c r="L174" s="545"/>
      <c r="M174" s="545"/>
      <c r="N174" s="545"/>
      <c r="O174" s="546"/>
      <c r="P174" s="485"/>
    </row>
    <row r="175" spans="1:16" x14ac:dyDescent="0.2">
      <c r="A175" s="485"/>
      <c r="B175" s="547"/>
      <c r="C175" s="548"/>
      <c r="D175" s="548"/>
      <c r="E175" s="548"/>
      <c r="F175" s="548"/>
      <c r="G175" s="548"/>
      <c r="H175" s="548"/>
      <c r="I175" s="548"/>
      <c r="J175" s="548"/>
      <c r="K175" s="548"/>
      <c r="L175" s="548"/>
      <c r="M175" s="548"/>
      <c r="N175" s="548"/>
      <c r="O175" s="549"/>
      <c r="P175" s="485"/>
    </row>
    <row r="176" spans="1:16" x14ac:dyDescent="0.2">
      <c r="A176" s="485"/>
      <c r="B176" s="547"/>
      <c r="C176" s="548"/>
      <c r="D176" s="548"/>
      <c r="E176" s="548"/>
      <c r="F176" s="548"/>
      <c r="G176" s="548"/>
      <c r="H176" s="548"/>
      <c r="I176" s="548"/>
      <c r="J176" s="548"/>
      <c r="K176" s="548"/>
      <c r="L176" s="548"/>
      <c r="M176" s="548"/>
      <c r="N176" s="548"/>
      <c r="O176" s="549"/>
      <c r="P176" s="485"/>
    </row>
    <row r="177" spans="1:16" x14ac:dyDescent="0.2">
      <c r="A177" s="485"/>
      <c r="B177" s="550"/>
      <c r="C177" s="551"/>
      <c r="D177" s="551"/>
      <c r="E177" s="551"/>
      <c r="F177" s="551"/>
      <c r="G177" s="551"/>
      <c r="H177" s="551"/>
      <c r="I177" s="551"/>
      <c r="J177" s="551"/>
      <c r="K177" s="551"/>
      <c r="L177" s="551"/>
      <c r="M177" s="551"/>
      <c r="N177" s="551"/>
      <c r="O177" s="552"/>
      <c r="P177" s="485"/>
    </row>
    <row r="178" spans="1:16" x14ac:dyDescent="0.2">
      <c r="A178" s="485"/>
      <c r="B178" s="485"/>
      <c r="C178" s="485"/>
      <c r="D178" s="485"/>
      <c r="E178" s="485"/>
      <c r="F178" s="485"/>
      <c r="G178" s="485"/>
      <c r="H178" s="485"/>
      <c r="I178" s="485"/>
      <c r="J178" s="485"/>
      <c r="K178" s="485"/>
      <c r="L178" s="485"/>
      <c r="M178" s="485"/>
      <c r="N178" s="485"/>
      <c r="O178" s="485"/>
      <c r="P178" s="485"/>
    </row>
    <row r="179" spans="1:16" x14ac:dyDescent="0.2">
      <c r="A179" s="485"/>
      <c r="B179" s="485"/>
      <c r="C179" s="485"/>
      <c r="D179" s="485"/>
      <c r="E179" s="485"/>
      <c r="F179" s="485"/>
      <c r="G179" s="485"/>
      <c r="H179" s="485"/>
      <c r="I179" s="485"/>
      <c r="J179" s="485"/>
      <c r="K179" s="485"/>
      <c r="L179" s="485"/>
      <c r="M179" s="485"/>
      <c r="N179" s="485"/>
      <c r="O179" s="485"/>
      <c r="P179" s="485"/>
    </row>
    <row r="180" spans="1:16" x14ac:dyDescent="0.2">
      <c r="A180" s="485"/>
      <c r="B180" s="485"/>
      <c r="C180" s="485"/>
      <c r="D180" s="485"/>
      <c r="E180" s="485"/>
      <c r="F180" s="485"/>
      <c r="G180" s="485"/>
      <c r="H180" s="485"/>
      <c r="I180" s="485"/>
      <c r="J180" s="485"/>
      <c r="K180" s="485"/>
      <c r="L180" s="485"/>
      <c r="M180" s="485"/>
      <c r="N180" s="485"/>
      <c r="O180" s="485"/>
      <c r="P180" s="485"/>
    </row>
    <row r="181" spans="1:16" x14ac:dyDescent="0.2">
      <c r="A181" s="485"/>
      <c r="B181" s="485"/>
      <c r="C181" s="485"/>
      <c r="D181" s="485"/>
      <c r="E181" s="485"/>
      <c r="F181" s="485"/>
      <c r="G181" s="485"/>
      <c r="H181" s="485"/>
      <c r="I181" s="485"/>
      <c r="J181" s="485"/>
      <c r="K181" s="485"/>
      <c r="L181" s="485"/>
      <c r="M181" s="485"/>
      <c r="N181" s="485"/>
      <c r="O181" s="485"/>
      <c r="P181" s="485"/>
    </row>
    <row r="182" spans="1:16" x14ac:dyDescent="0.2">
      <c r="A182" s="485"/>
      <c r="B182" s="485"/>
      <c r="C182" s="485"/>
      <c r="D182" s="485"/>
      <c r="E182" s="485"/>
      <c r="F182" s="485"/>
      <c r="G182" s="485"/>
      <c r="H182" s="485"/>
      <c r="I182" s="485"/>
      <c r="J182" s="485"/>
      <c r="K182" s="485"/>
      <c r="L182" s="485"/>
      <c r="M182" s="485"/>
      <c r="N182" s="485"/>
      <c r="O182" s="485"/>
      <c r="P182" s="485"/>
    </row>
    <row r="183" spans="1:16" x14ac:dyDescent="0.2">
      <c r="A183" s="485"/>
      <c r="B183" s="485"/>
      <c r="C183" s="485"/>
      <c r="D183" s="485"/>
      <c r="E183" s="485"/>
      <c r="F183" s="485"/>
      <c r="G183" s="485"/>
      <c r="H183" s="485"/>
      <c r="I183" s="485"/>
      <c r="J183" s="485"/>
      <c r="K183" s="485"/>
      <c r="L183" s="485"/>
      <c r="M183" s="485"/>
      <c r="N183" s="485"/>
      <c r="O183" s="485"/>
      <c r="P183" s="485"/>
    </row>
    <row r="184" spans="1:16" x14ac:dyDescent="0.2">
      <c r="A184" s="485"/>
      <c r="B184" s="485"/>
      <c r="C184" s="485"/>
      <c r="D184" s="485"/>
      <c r="E184" s="485"/>
      <c r="F184" s="485"/>
      <c r="G184" s="485"/>
      <c r="H184" s="485"/>
      <c r="I184" s="485"/>
      <c r="J184" s="485"/>
      <c r="K184" s="485"/>
      <c r="L184" s="485"/>
      <c r="M184" s="485"/>
      <c r="N184" s="485"/>
      <c r="O184" s="485"/>
      <c r="P184" s="485"/>
    </row>
    <row r="185" spans="1:16" x14ac:dyDescent="0.2">
      <c r="A185" s="485"/>
      <c r="B185" s="485"/>
      <c r="C185" s="485"/>
      <c r="D185" s="485"/>
      <c r="E185" s="485"/>
      <c r="F185" s="485"/>
      <c r="G185" s="485"/>
      <c r="H185" s="485"/>
      <c r="I185" s="485"/>
      <c r="J185" s="485"/>
      <c r="K185" s="485"/>
      <c r="L185" s="485"/>
      <c r="M185" s="485"/>
      <c r="N185" s="485"/>
      <c r="O185" s="485"/>
      <c r="P185" s="485"/>
    </row>
    <row r="186" spans="1:16" x14ac:dyDescent="0.2">
      <c r="A186" s="485"/>
      <c r="B186" s="485"/>
      <c r="C186" s="485"/>
      <c r="D186" s="485"/>
      <c r="E186" s="485"/>
      <c r="F186" s="485"/>
      <c r="G186" s="485"/>
      <c r="H186" s="485"/>
      <c r="I186" s="485"/>
      <c r="J186" s="485"/>
      <c r="K186" s="485"/>
      <c r="L186" s="485"/>
      <c r="M186" s="485"/>
      <c r="N186" s="485"/>
      <c r="O186" s="485"/>
      <c r="P186" s="485"/>
    </row>
    <row r="187" spans="1:16" x14ac:dyDescent="0.2">
      <c r="A187" s="485"/>
      <c r="B187" s="485"/>
      <c r="C187" s="485"/>
      <c r="D187" s="485"/>
      <c r="E187" s="485"/>
      <c r="F187" s="485"/>
      <c r="G187" s="485"/>
      <c r="H187" s="485"/>
      <c r="I187" s="485"/>
      <c r="J187" s="485"/>
      <c r="K187" s="485"/>
      <c r="L187" s="485"/>
      <c r="M187" s="485"/>
      <c r="N187" s="485"/>
      <c r="O187" s="485"/>
      <c r="P187" s="485"/>
    </row>
  </sheetData>
  <sheetProtection password="CED8" sheet="1" scenarios="1" formatCells="0" formatColumns="0" formatRows="0"/>
  <mergeCells count="141">
    <mergeCell ref="C134:M134"/>
    <mergeCell ref="B136:C136"/>
    <mergeCell ref="H136:K136"/>
    <mergeCell ref="L136:M136"/>
    <mergeCell ref="C137:H137"/>
    <mergeCell ref="C130:H130"/>
    <mergeCell ref="C123:H123"/>
    <mergeCell ref="C124:H124"/>
    <mergeCell ref="C125:H125"/>
    <mergeCell ref="C126:H126"/>
    <mergeCell ref="C127:H127"/>
    <mergeCell ref="C128:H128"/>
    <mergeCell ref="C129:H129"/>
    <mergeCell ref="C131:I131"/>
    <mergeCell ref="C133:K133"/>
    <mergeCell ref="C86:I86"/>
    <mergeCell ref="B140:O143"/>
    <mergeCell ref="B145:O146"/>
    <mergeCell ref="B157:O160"/>
    <mergeCell ref="B162:O163"/>
    <mergeCell ref="B174:O177"/>
    <mergeCell ref="L106:M106"/>
    <mergeCell ref="H106:K106"/>
    <mergeCell ref="C99:I99"/>
    <mergeCell ref="C100:I100"/>
    <mergeCell ref="C101:I101"/>
    <mergeCell ref="C165:I165"/>
    <mergeCell ref="C166:I166"/>
    <mergeCell ref="C149:I149"/>
    <mergeCell ref="C148:I148"/>
    <mergeCell ref="C151:I151"/>
    <mergeCell ref="L169:M169"/>
    <mergeCell ref="L172:M172"/>
    <mergeCell ref="C167:I167"/>
    <mergeCell ref="L155:M155"/>
    <mergeCell ref="C168:I168"/>
    <mergeCell ref="C169:I169"/>
    <mergeCell ref="C153:I153"/>
    <mergeCell ref="C150:I150"/>
    <mergeCell ref="C152:I152"/>
    <mergeCell ref="C91:I91"/>
    <mergeCell ref="C92:I92"/>
    <mergeCell ref="C93:I93"/>
    <mergeCell ref="C94:I94"/>
    <mergeCell ref="C98:I98"/>
    <mergeCell ref="C87:I87"/>
    <mergeCell ref="C88:I88"/>
    <mergeCell ref="C89:I89"/>
    <mergeCell ref="C90:I90"/>
    <mergeCell ref="C108:I108"/>
    <mergeCell ref="C109:I109"/>
    <mergeCell ref="C110:I110"/>
    <mergeCell ref="C111:I111"/>
    <mergeCell ref="C112:I112"/>
    <mergeCell ref="C113:I113"/>
    <mergeCell ref="C114:I114"/>
    <mergeCell ref="C115:I115"/>
    <mergeCell ref="C117:K117"/>
    <mergeCell ref="C118:M118"/>
    <mergeCell ref="B120:C120"/>
    <mergeCell ref="H120:K120"/>
    <mergeCell ref="L120:M120"/>
    <mergeCell ref="C122:H122"/>
    <mergeCell ref="C84:I84"/>
    <mergeCell ref="C85:I85"/>
    <mergeCell ref="C95:I95"/>
    <mergeCell ref="C96:I96"/>
    <mergeCell ref="C97:I97"/>
    <mergeCell ref="N2:O2"/>
    <mergeCell ref="C4:D4"/>
    <mergeCell ref="G4:H4"/>
    <mergeCell ref="J4:K4"/>
    <mergeCell ref="L4:O4"/>
    <mergeCell ref="I2:J2"/>
    <mergeCell ref="B6:C6"/>
    <mergeCell ref="J6:K6"/>
    <mergeCell ref="L6:O6"/>
    <mergeCell ref="B8:O9"/>
    <mergeCell ref="F17:G17"/>
    <mergeCell ref="M17:N17"/>
    <mergeCell ref="C10:I10"/>
    <mergeCell ref="C11:I11"/>
    <mergeCell ref="C15:I15"/>
    <mergeCell ref="C14:I14"/>
    <mergeCell ref="C13:I13"/>
    <mergeCell ref="C12:I12"/>
    <mergeCell ref="C16:E16"/>
    <mergeCell ref="B19:O22"/>
    <mergeCell ref="I17:L17"/>
    <mergeCell ref="C27:H27"/>
    <mergeCell ref="C28:H28"/>
    <mergeCell ref="L68:M68"/>
    <mergeCell ref="C60:I60"/>
    <mergeCell ref="C59:I59"/>
    <mergeCell ref="C56:I56"/>
    <mergeCell ref="C54:I54"/>
    <mergeCell ref="C53:I53"/>
    <mergeCell ref="C52:I52"/>
    <mergeCell ref="C50:I50"/>
    <mergeCell ref="C51:I51"/>
    <mergeCell ref="C62:I62"/>
    <mergeCell ref="C61:I61"/>
    <mergeCell ref="B68:C68"/>
    <mergeCell ref="H68:K68"/>
    <mergeCell ref="C66:M66"/>
    <mergeCell ref="C65:K65"/>
    <mergeCell ref="C63:I63"/>
    <mergeCell ref="C44:I44"/>
    <mergeCell ref="B41:C41"/>
    <mergeCell ref="H41:K41"/>
    <mergeCell ref="B24:O25"/>
    <mergeCell ref="C70:I70"/>
    <mergeCell ref="C71:I71"/>
    <mergeCell ref="C72:I72"/>
    <mergeCell ref="C73:I73"/>
    <mergeCell ref="C49:I49"/>
    <mergeCell ref="C48:I48"/>
    <mergeCell ref="C47:I47"/>
    <mergeCell ref="C46:I46"/>
    <mergeCell ref="C45:I45"/>
    <mergeCell ref="C55:I55"/>
    <mergeCell ref="C32:H32"/>
    <mergeCell ref="C33:H33"/>
    <mergeCell ref="C34:H34"/>
    <mergeCell ref="C42:H42"/>
    <mergeCell ref="C29:H29"/>
    <mergeCell ref="C30:H30"/>
    <mergeCell ref="C31:H31"/>
    <mergeCell ref="L41:M41"/>
    <mergeCell ref="C36:I36"/>
    <mergeCell ref="C38:K38"/>
    <mergeCell ref="C39:M39"/>
    <mergeCell ref="C80:M80"/>
    <mergeCell ref="B82:C82"/>
    <mergeCell ref="H82:K82"/>
    <mergeCell ref="L82:M82"/>
    <mergeCell ref="C74:I74"/>
    <mergeCell ref="C75:I75"/>
    <mergeCell ref="C76:I76"/>
    <mergeCell ref="C77:I77"/>
    <mergeCell ref="C79:K79"/>
  </mergeCells>
  <conditionalFormatting sqref="B10:O15 B27:O36 B148:O153 B164:O169 B84:O85 B87:O101 B86 J86:O86 B61:O63 B44:O54 B55:B60 J55:O60 C56:I58 C59:C60">
    <cfRule type="expression" dxfId="55" priority="9">
      <formula>MOD(ROW(),2)=0</formula>
    </cfRule>
  </conditionalFormatting>
  <conditionalFormatting sqref="B36:C36 J36:O36">
    <cfRule type="expression" dxfId="54" priority="7">
      <formula>MOD(ROW(),2)=0</formula>
    </cfRule>
  </conditionalFormatting>
  <conditionalFormatting sqref="B70:O77">
    <cfRule type="expression" dxfId="53" priority="6">
      <formula>MOD(ROW(),2)=0</formula>
    </cfRule>
  </conditionalFormatting>
  <conditionalFormatting sqref="C86:I86">
    <cfRule type="expression" dxfId="52" priority="4">
      <formula>MOD(ROW(),2)=0</formula>
    </cfRule>
  </conditionalFormatting>
  <conditionalFormatting sqref="B108:O115">
    <cfRule type="expression" dxfId="51" priority="3">
      <formula>MOD(ROW(),2)=0</formula>
    </cfRule>
  </conditionalFormatting>
  <conditionalFormatting sqref="B131:C131 J131:O131">
    <cfRule type="expression" dxfId="50" priority="1">
      <formula>MOD(ROW(),2)=0</formula>
    </cfRule>
  </conditionalFormatting>
  <conditionalFormatting sqref="B122:O129 B131:O131 B130 I130:O130">
    <cfRule type="expression" dxfId="49" priority="2">
      <formula>MOD(ROW(),2)=0</formula>
    </cfRule>
  </conditionalFormatting>
  <dataValidations count="5">
    <dataValidation type="list" showInputMessage="1" showErrorMessage="1" sqref="H6" xr:uid="{00000000-0002-0000-0000-000000000000}">
      <formula1>DataTimeType</formula1>
    </dataValidation>
    <dataValidation type="list" showInputMessage="1" showErrorMessage="1" sqref="D6" xr:uid="{00000000-0002-0000-0000-000001000000}">
      <formula1>DataEmployeeList</formula1>
    </dataValidation>
    <dataValidation type="list" showInputMessage="1" showErrorMessage="1" sqref="L4:O4" xr:uid="{00000000-0002-0000-0000-000002000000}">
      <formula1>DataPhoneType</formula1>
    </dataValidation>
    <dataValidation type="list" showInputMessage="1" showErrorMessage="1" sqref="L6:O6" xr:uid="{00000000-0002-0000-0000-000003000000}">
      <formula1>DataPDCaller</formula1>
    </dataValidation>
    <dataValidation type="list" showInputMessage="1" showErrorMessage="1" sqref="C16:E16" xr:uid="{00000000-0002-0000-0000-000004000000}">
      <formula1>DataPatrolNature</formula1>
    </dataValidation>
  </dataValidations>
  <pageMargins left="0.25" right="0.25" top="0.75" bottom="0.75" header="0.3" footer="0.3"/>
  <pageSetup orientation="portrait" r:id="rId1"/>
  <headerFooter>
    <oddHeader>&amp;C&amp;"-,Bold"&amp;18Police Call-Taking Quality Assurance Form</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POLICERESET.POLICERESET">
                <anchor moveWithCells="1" sizeWithCells="1">
                  <from>
                    <xdr:col>0</xdr:col>
                    <xdr:colOff>25400</xdr:colOff>
                    <xdr:row>0</xdr:row>
                    <xdr:rowOff>50800</xdr:rowOff>
                  </from>
                  <to>
                    <xdr:col>1</xdr:col>
                    <xdr:colOff>292100</xdr:colOff>
                    <xdr:row>1</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xr:uid="{00000000-0002-0000-0000-000005000000}">
          <x14:formula1>
            <xm:f>Data!$F$2:$F$12</xm:f>
          </x14:formula1>
          <xm:sqref>M65 M38 M79 M103 M117 M133</xm:sqref>
        </x14:dataValidation>
        <x14:dataValidation type="list" showInputMessage="1" showErrorMessage="1" xr:uid="{00000000-0002-0000-0000-000006000000}">
          <x14:formula1>
            <xm:f>Data!$G$2:$G$6</xm:f>
          </x14:formula1>
          <xm:sqref>L169:M169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Z3476"/>
  <sheetViews>
    <sheetView tabSelected="1" showRuler="0" showWhiteSpace="0" topLeftCell="A9" zoomScale="115" zoomScaleNormal="115" zoomScalePageLayoutView="145" workbookViewId="0">
      <pane ySplit="1500" topLeftCell="A555" activePane="bottomLeft"/>
      <selection activeCell="I1" sqref="I1"/>
      <selection pane="bottomLeft" activeCell="B563" sqref="B563"/>
    </sheetView>
  </sheetViews>
  <sheetFormatPr baseColWidth="10" defaultColWidth="9.1640625" defaultRowHeight="15" x14ac:dyDescent="0.2"/>
  <cols>
    <col min="1" max="1" width="5" style="127" customWidth="1"/>
    <col min="2" max="2" width="4.6640625" style="127" customWidth="1"/>
    <col min="3" max="3" width="4" style="127" customWidth="1"/>
    <col min="4" max="4" width="17.83203125" style="127" customWidth="1"/>
    <col min="5" max="5" width="4.1640625" style="127" customWidth="1"/>
    <col min="6" max="6" width="11.83203125" style="127" customWidth="1"/>
    <col min="7" max="7" width="8.83203125" style="127" customWidth="1"/>
    <col min="8" max="8" width="5.1640625" style="127" customWidth="1"/>
    <col min="9" max="9" width="4.83203125" style="127" customWidth="1"/>
    <col min="10" max="11" width="3.6640625" style="127" customWidth="1"/>
    <col min="12" max="12" width="4.5" style="127" customWidth="1"/>
    <col min="13" max="13" width="5.5" style="127" customWidth="1"/>
    <col min="14" max="14" width="4.1640625" style="127" customWidth="1"/>
    <col min="15" max="15" width="4.5" style="127" customWidth="1"/>
    <col min="16" max="16" width="5.6640625" style="127" customWidth="1"/>
    <col min="17" max="17" width="9.1640625" style="127"/>
    <col min="18" max="18" width="28.1640625" style="127" customWidth="1"/>
    <col min="19" max="16384" width="9.1640625" style="127"/>
  </cols>
  <sheetData>
    <row r="1" spans="1:18" ht="16" thickBot="1" x14ac:dyDescent="0.25">
      <c r="A1" s="469"/>
      <c r="F1" s="464" t="s">
        <v>1593</v>
      </c>
      <c r="G1" s="247">
        <f>SUM(O33,K49,P74,P86,P98,P111,P123,P137,P149,P160,P167,P179,P187,P203,P210,P218,P230,P237,P250,P263,P278,P287,P297,P311,P324,P336,P357,P349,P368,P379,P391,P402,P414,P423,P443,P454,P466,P478,P491,P501,P514,P526,P537,P548,P560,O586,P589,O626,O936,O965,O1185,G1190,O1224,P1236,O1387,O1408,O1659,O1666,O1813,O1820,O1968,O1975,O2155,O2163,O2742,O2749,O2894,O2901,O3077,O3085,O3378,O3437)</f>
        <v>0</v>
      </c>
      <c r="H1" s="461" t="s">
        <v>1</v>
      </c>
      <c r="I1" s="438">
        <f>SUM(P33,P50,P62,P76,P88,P100,P113,P125,P139,P151,P162,P169,P181,P189,P205,P212,P220,P232,P239,P252,P265,P280,P289,P299,P313,P326,P338,P351,P359,P370,P381,P393,P404,P416,P425,P445,P456,Q467,P480,P493,P503,P516,P528,P539,P550,P583,P562,P587,P600,P626,P936,P965,P1185,P1190,P1224,P1235,P1387,P1408,P1659,P1666,P1813,P1820,P1968,P1975,P2155,P2163,P2742,P2749,P2894,P2901,P3077,P3085,P3377,P3437,N3450)</f>
        <v>0</v>
      </c>
      <c r="J1" s="248"/>
      <c r="K1" s="863" t="s">
        <v>217</v>
      </c>
      <c r="L1" s="864"/>
      <c r="M1" s="865"/>
      <c r="N1" s="861" t="str">
        <f>IFERROR(SUM(G1/I1),"0")</f>
        <v>0</v>
      </c>
      <c r="O1" s="862"/>
    </row>
    <row r="2" spans="1:18" ht="7.5" customHeight="1" x14ac:dyDescent="0.2"/>
    <row r="3" spans="1:18" x14ac:dyDescent="0.2">
      <c r="B3" s="466" t="s">
        <v>2</v>
      </c>
      <c r="C3" s="658"/>
      <c r="D3" s="659"/>
      <c r="F3" s="466" t="s">
        <v>3</v>
      </c>
      <c r="G3" s="718"/>
      <c r="H3" s="711"/>
      <c r="J3" s="667" t="s">
        <v>218</v>
      </c>
      <c r="K3" s="668"/>
      <c r="L3" s="714" t="s">
        <v>92</v>
      </c>
      <c r="M3" s="714"/>
      <c r="N3" s="714"/>
      <c r="O3" s="715"/>
    </row>
    <row r="4" spans="1:18" ht="6.75" customHeight="1" x14ac:dyDescent="0.2"/>
    <row r="5" spans="1:18" x14ac:dyDescent="0.2">
      <c r="B5" s="669" t="s">
        <v>219</v>
      </c>
      <c r="C5" s="670"/>
      <c r="D5" s="439" t="s">
        <v>91</v>
      </c>
      <c r="F5" s="249" t="s">
        <v>6</v>
      </c>
      <c r="G5" s="462"/>
      <c r="H5" s="65" t="s">
        <v>220</v>
      </c>
      <c r="J5" s="671" t="s">
        <v>221</v>
      </c>
      <c r="K5" s="672"/>
      <c r="L5" s="660" t="s">
        <v>92</v>
      </c>
      <c r="M5" s="661"/>
      <c r="N5" s="661"/>
      <c r="O5" s="662"/>
    </row>
    <row r="6" spans="1:18" ht="9" customHeight="1" thickBot="1" x14ac:dyDescent="0.25"/>
    <row r="7" spans="1:18" s="108" customFormat="1" ht="17.25" customHeight="1" x14ac:dyDescent="0.2">
      <c r="B7" s="707" t="s">
        <v>261</v>
      </c>
      <c r="C7" s="708"/>
      <c r="D7" s="708"/>
      <c r="E7" s="708"/>
      <c r="F7" s="708"/>
      <c r="G7" s="708"/>
      <c r="H7" s="708"/>
      <c r="I7" s="708"/>
      <c r="J7" s="708"/>
      <c r="K7" s="708"/>
      <c r="L7" s="708"/>
      <c r="M7" s="708"/>
      <c r="N7" s="708"/>
      <c r="O7" s="709"/>
    </row>
    <row r="8" spans="1:18" s="108" customFormat="1" ht="17" thickBot="1" x14ac:dyDescent="0.25">
      <c r="B8" s="699"/>
      <c r="C8" s="700"/>
      <c r="D8" s="700"/>
      <c r="E8" s="700"/>
      <c r="F8" s="700"/>
      <c r="G8" s="700"/>
      <c r="H8" s="700"/>
      <c r="I8" s="700"/>
      <c r="J8" s="700"/>
      <c r="K8" s="700"/>
      <c r="L8" s="700"/>
      <c r="M8" s="700"/>
      <c r="N8" s="700"/>
      <c r="O8" s="701"/>
    </row>
    <row r="9" spans="1:18" ht="16" x14ac:dyDescent="0.2">
      <c r="B9" s="250" t="s">
        <v>1542</v>
      </c>
      <c r="C9" s="250"/>
      <c r="D9" s="250"/>
      <c r="E9" s="250" t="s">
        <v>1543</v>
      </c>
      <c r="F9" s="250"/>
      <c r="G9" s="250" t="s">
        <v>1544</v>
      </c>
      <c r="I9" s="250"/>
      <c r="J9" s="250"/>
      <c r="K9" s="250" t="s">
        <v>1545</v>
      </c>
      <c r="L9" s="250"/>
      <c r="M9" s="250"/>
      <c r="N9" s="250"/>
      <c r="O9" s="250"/>
      <c r="R9" s="251"/>
    </row>
    <row r="10" spans="1:18" ht="16" x14ac:dyDescent="0.2">
      <c r="B10" s="250" t="s">
        <v>1546</v>
      </c>
      <c r="C10" s="250"/>
      <c r="D10" s="250"/>
      <c r="E10" s="250" t="s">
        <v>1547</v>
      </c>
      <c r="F10" s="250"/>
      <c r="G10" s="127" t="s">
        <v>1548</v>
      </c>
      <c r="I10" s="250"/>
      <c r="J10" s="250"/>
      <c r="K10" s="250"/>
      <c r="L10" s="250"/>
      <c r="M10" s="250"/>
      <c r="N10" s="250"/>
      <c r="O10" s="250"/>
      <c r="R10" s="251"/>
    </row>
    <row r="11" spans="1:18" ht="19" x14ac:dyDescent="0.2">
      <c r="B11" s="252"/>
      <c r="C11" s="252"/>
      <c r="D11" s="252"/>
      <c r="E11" s="252"/>
      <c r="F11" s="252"/>
      <c r="G11" s="252"/>
      <c r="H11" s="253"/>
      <c r="I11" s="254">
        <v>1</v>
      </c>
      <c r="J11" s="254">
        <v>2</v>
      </c>
      <c r="K11" s="254">
        <v>3</v>
      </c>
      <c r="L11" s="254">
        <v>4</v>
      </c>
      <c r="M11" s="254">
        <v>5</v>
      </c>
      <c r="N11" s="254">
        <v>6</v>
      </c>
      <c r="O11" s="254" t="s">
        <v>1549</v>
      </c>
      <c r="R11" s="251"/>
    </row>
    <row r="12" spans="1:18" s="453" customFormat="1" ht="14" x14ac:dyDescent="0.2">
      <c r="B12" s="112">
        <v>1</v>
      </c>
      <c r="C12" s="573" t="s">
        <v>97</v>
      </c>
      <c r="D12" s="573"/>
      <c r="E12" s="573"/>
      <c r="F12" s="573"/>
      <c r="G12" s="573"/>
      <c r="H12" s="573"/>
      <c r="I12" s="166" t="s">
        <v>211</v>
      </c>
      <c r="J12" s="166" t="s">
        <v>211</v>
      </c>
      <c r="K12" s="166" t="s">
        <v>211</v>
      </c>
      <c r="L12" s="166" t="s">
        <v>211</v>
      </c>
      <c r="M12" s="166" t="s">
        <v>211</v>
      </c>
      <c r="N12" s="166" t="s">
        <v>211</v>
      </c>
      <c r="O12" s="166" t="s">
        <v>211</v>
      </c>
    </row>
    <row r="13" spans="1:18" s="453" customFormat="1" ht="14" x14ac:dyDescent="0.2">
      <c r="B13" s="112" t="s">
        <v>9</v>
      </c>
      <c r="C13" s="573" t="s">
        <v>13</v>
      </c>
      <c r="D13" s="573"/>
      <c r="E13" s="573"/>
      <c r="F13" s="573"/>
      <c r="G13" s="573"/>
      <c r="H13" s="573"/>
      <c r="I13" s="166" t="s">
        <v>211</v>
      </c>
      <c r="J13" s="166" t="s">
        <v>211</v>
      </c>
      <c r="K13" s="166" t="s">
        <v>211</v>
      </c>
      <c r="L13" s="166" t="s">
        <v>211</v>
      </c>
      <c r="M13" s="166" t="s">
        <v>211</v>
      </c>
      <c r="N13" s="166" t="s">
        <v>211</v>
      </c>
      <c r="O13" s="166" t="s">
        <v>211</v>
      </c>
      <c r="R13" s="121"/>
    </row>
    <row r="14" spans="1:18" s="453" customFormat="1" ht="14" x14ac:dyDescent="0.2">
      <c r="B14" s="112" t="s">
        <v>180</v>
      </c>
      <c r="C14" s="573" t="s">
        <v>178</v>
      </c>
      <c r="D14" s="573"/>
      <c r="E14" s="573"/>
      <c r="F14" s="573"/>
      <c r="G14" s="573"/>
      <c r="H14" s="573"/>
      <c r="I14" s="166" t="s">
        <v>211</v>
      </c>
      <c r="J14" s="166" t="s">
        <v>211</v>
      </c>
      <c r="K14" s="166" t="s">
        <v>211</v>
      </c>
      <c r="L14" s="166" t="s">
        <v>211</v>
      </c>
      <c r="M14" s="166" t="s">
        <v>211</v>
      </c>
      <c r="N14" s="166" t="s">
        <v>211</v>
      </c>
      <c r="O14" s="166" t="s">
        <v>211</v>
      </c>
      <c r="R14" s="121"/>
    </row>
    <row r="15" spans="1:18" s="453" customFormat="1" ht="14" x14ac:dyDescent="0.2">
      <c r="B15" s="112">
        <v>2</v>
      </c>
      <c r="C15" s="673" t="s">
        <v>99</v>
      </c>
      <c r="D15" s="673"/>
      <c r="E15" s="673"/>
      <c r="F15" s="673"/>
      <c r="G15" s="673"/>
      <c r="H15" s="673"/>
      <c r="I15" s="166" t="s">
        <v>211</v>
      </c>
      <c r="J15" s="166" t="s">
        <v>211</v>
      </c>
      <c r="K15" s="166" t="s">
        <v>211</v>
      </c>
      <c r="L15" s="166" t="s">
        <v>211</v>
      </c>
      <c r="M15" s="166" t="s">
        <v>211</v>
      </c>
      <c r="N15" s="166" t="s">
        <v>211</v>
      </c>
      <c r="O15" s="166" t="s">
        <v>211</v>
      </c>
      <c r="P15" s="255"/>
    </row>
    <row r="16" spans="1:18" s="453" customFormat="1" ht="14" x14ac:dyDescent="0.2">
      <c r="B16" s="112" t="s">
        <v>100</v>
      </c>
      <c r="C16" s="673" t="s">
        <v>101</v>
      </c>
      <c r="D16" s="673"/>
      <c r="E16" s="673"/>
      <c r="F16" s="673"/>
      <c r="G16" s="673"/>
      <c r="H16" s="673"/>
      <c r="I16" s="166" t="s">
        <v>211</v>
      </c>
      <c r="J16" s="166" t="s">
        <v>211</v>
      </c>
      <c r="K16" s="166" t="s">
        <v>211</v>
      </c>
      <c r="L16" s="166" t="s">
        <v>211</v>
      </c>
      <c r="M16" s="166" t="s">
        <v>211</v>
      </c>
      <c r="N16" s="166" t="s">
        <v>211</v>
      </c>
      <c r="O16" s="166" t="s">
        <v>211</v>
      </c>
    </row>
    <row r="17" spans="2:17" s="453" customFormat="1" ht="14" x14ac:dyDescent="0.2">
      <c r="B17" s="112">
        <v>3</v>
      </c>
      <c r="C17" s="673" t="s">
        <v>1552</v>
      </c>
      <c r="D17" s="673"/>
      <c r="E17" s="673"/>
      <c r="F17" s="673"/>
      <c r="G17" s="673"/>
      <c r="H17" s="673"/>
      <c r="I17" s="166" t="s">
        <v>211</v>
      </c>
      <c r="J17" s="166" t="s">
        <v>211</v>
      </c>
      <c r="K17" s="166" t="s">
        <v>211</v>
      </c>
      <c r="L17" s="166" t="s">
        <v>211</v>
      </c>
      <c r="M17" s="166" t="s">
        <v>211</v>
      </c>
      <c r="N17" s="166" t="s">
        <v>211</v>
      </c>
      <c r="O17" s="166" t="s">
        <v>211</v>
      </c>
    </row>
    <row r="18" spans="2:17" s="453" customFormat="1" ht="14" x14ac:dyDescent="0.2">
      <c r="B18" s="112"/>
      <c r="C18" s="673" t="s">
        <v>1550</v>
      </c>
      <c r="D18" s="673"/>
      <c r="E18" s="673"/>
      <c r="F18" s="673"/>
      <c r="G18" s="673"/>
      <c r="H18" s="673"/>
      <c r="I18" s="166" t="s">
        <v>211</v>
      </c>
      <c r="J18" s="106" t="s">
        <v>214</v>
      </c>
      <c r="K18" s="166" t="s">
        <v>211</v>
      </c>
      <c r="L18" s="106" t="s">
        <v>213</v>
      </c>
      <c r="M18" s="166" t="s">
        <v>211</v>
      </c>
      <c r="N18" s="106" t="s">
        <v>215</v>
      </c>
      <c r="O18" s="166" t="s">
        <v>211</v>
      </c>
    </row>
    <row r="19" spans="2:17" s="453" customFormat="1" ht="14" x14ac:dyDescent="0.2">
      <c r="B19" s="112"/>
      <c r="C19" s="673" t="s">
        <v>1551</v>
      </c>
      <c r="D19" s="673"/>
      <c r="E19" s="673"/>
      <c r="F19" s="673"/>
      <c r="G19" s="673"/>
      <c r="H19" s="673"/>
      <c r="I19" s="166" t="s">
        <v>211</v>
      </c>
      <c r="J19" s="106" t="s">
        <v>214</v>
      </c>
      <c r="K19" s="166" t="s">
        <v>211</v>
      </c>
      <c r="L19" s="106" t="s">
        <v>213</v>
      </c>
      <c r="M19" s="166" t="s">
        <v>211</v>
      </c>
      <c r="N19" s="106" t="s">
        <v>215</v>
      </c>
      <c r="O19" s="105"/>
    </row>
    <row r="20" spans="2:17" s="453" customFormat="1" ht="14" x14ac:dyDescent="0.2">
      <c r="B20" s="112" t="s">
        <v>17</v>
      </c>
      <c r="C20" s="673" t="s">
        <v>1553</v>
      </c>
      <c r="D20" s="673"/>
      <c r="E20" s="673"/>
      <c r="F20" s="673"/>
      <c r="G20" s="673"/>
      <c r="H20" s="673"/>
      <c r="I20" s="166" t="s">
        <v>211</v>
      </c>
      <c r="J20" s="166" t="s">
        <v>211</v>
      </c>
      <c r="K20" s="166" t="s">
        <v>211</v>
      </c>
      <c r="L20" s="166" t="s">
        <v>211</v>
      </c>
      <c r="M20" s="166" t="s">
        <v>211</v>
      </c>
      <c r="N20" s="166" t="s">
        <v>211</v>
      </c>
      <c r="O20" s="166" t="s">
        <v>211</v>
      </c>
    </row>
    <row r="21" spans="2:17" s="453" customFormat="1" ht="14" x14ac:dyDescent="0.2">
      <c r="B21" s="112" t="s">
        <v>18</v>
      </c>
      <c r="C21" s="673" t="s">
        <v>1554</v>
      </c>
      <c r="D21" s="673"/>
      <c r="E21" s="673"/>
      <c r="F21" s="673"/>
      <c r="G21" s="673"/>
      <c r="H21" s="673"/>
      <c r="I21" s="166" t="s">
        <v>211</v>
      </c>
      <c r="J21" s="166" t="s">
        <v>211</v>
      </c>
      <c r="K21" s="166" t="s">
        <v>211</v>
      </c>
      <c r="L21" s="166" t="s">
        <v>211</v>
      </c>
      <c r="M21" s="166" t="s">
        <v>211</v>
      </c>
      <c r="N21" s="166" t="s">
        <v>211</v>
      </c>
      <c r="O21" s="166" t="s">
        <v>211</v>
      </c>
    </row>
    <row r="22" spans="2:17" s="453" customFormat="1" ht="14" x14ac:dyDescent="0.2">
      <c r="B22" s="112" t="s">
        <v>105</v>
      </c>
      <c r="C22" s="673" t="s">
        <v>1555</v>
      </c>
      <c r="D22" s="673"/>
      <c r="E22" s="673"/>
      <c r="F22" s="673"/>
      <c r="G22" s="673"/>
      <c r="H22" s="673"/>
      <c r="I22" s="166" t="s">
        <v>211</v>
      </c>
      <c r="J22" s="166" t="s">
        <v>211</v>
      </c>
      <c r="K22" s="166" t="s">
        <v>211</v>
      </c>
      <c r="L22" s="166" t="s">
        <v>211</v>
      </c>
      <c r="M22" s="166" t="s">
        <v>211</v>
      </c>
      <c r="N22" s="166" t="s">
        <v>211</v>
      </c>
      <c r="O22" s="166" t="s">
        <v>211</v>
      </c>
    </row>
    <row r="23" spans="2:17" s="453" customFormat="1" ht="14" x14ac:dyDescent="0.2">
      <c r="B23" s="112">
        <v>4</v>
      </c>
      <c r="C23" s="673" t="s">
        <v>107</v>
      </c>
      <c r="D23" s="673"/>
      <c r="E23" s="673"/>
      <c r="F23" s="673"/>
      <c r="G23" s="673"/>
      <c r="H23" s="673"/>
      <c r="I23" s="166" t="s">
        <v>211</v>
      </c>
      <c r="J23" s="166" t="s">
        <v>211</v>
      </c>
      <c r="K23" s="166" t="s">
        <v>211</v>
      </c>
      <c r="L23" s="166" t="s">
        <v>211</v>
      </c>
      <c r="M23" s="166" t="s">
        <v>211</v>
      </c>
      <c r="N23" s="166" t="s">
        <v>211</v>
      </c>
      <c r="O23" s="166" t="s">
        <v>211</v>
      </c>
    </row>
    <row r="24" spans="2:17" s="453" customFormat="1" ht="14" x14ac:dyDescent="0.2">
      <c r="B24" s="112" t="s">
        <v>108</v>
      </c>
      <c r="C24" s="673" t="s">
        <v>1556</v>
      </c>
      <c r="D24" s="673"/>
      <c r="E24" s="673"/>
      <c r="F24" s="673"/>
      <c r="G24" s="673"/>
      <c r="H24" s="673"/>
      <c r="I24" s="166" t="s">
        <v>211</v>
      </c>
      <c r="J24" s="166" t="s">
        <v>211</v>
      </c>
      <c r="K24" s="166" t="s">
        <v>211</v>
      </c>
      <c r="L24" s="166" t="s">
        <v>211</v>
      </c>
      <c r="M24" s="166" t="s">
        <v>211</v>
      </c>
      <c r="N24" s="166" t="s">
        <v>211</v>
      </c>
      <c r="O24" s="166" t="s">
        <v>211</v>
      </c>
    </row>
    <row r="25" spans="2:17" s="453" customFormat="1" ht="14" x14ac:dyDescent="0.2">
      <c r="B25" s="112">
        <v>5</v>
      </c>
      <c r="C25" s="673" t="s">
        <v>1557</v>
      </c>
      <c r="D25" s="673"/>
      <c r="E25" s="673"/>
      <c r="F25" s="673"/>
      <c r="G25" s="673"/>
      <c r="H25" s="673"/>
      <c r="I25" s="166" t="s">
        <v>211</v>
      </c>
      <c r="J25" s="166" t="s">
        <v>211</v>
      </c>
      <c r="K25" s="166" t="s">
        <v>211</v>
      </c>
      <c r="L25" s="166" t="s">
        <v>211</v>
      </c>
      <c r="M25" s="166" t="s">
        <v>211</v>
      </c>
      <c r="N25" s="166" t="s">
        <v>211</v>
      </c>
      <c r="O25" s="166" t="s">
        <v>211</v>
      </c>
    </row>
    <row r="26" spans="2:17" s="453" customFormat="1" ht="14" x14ac:dyDescent="0.2">
      <c r="B26" s="112">
        <v>6</v>
      </c>
      <c r="C26" s="673" t="s">
        <v>111</v>
      </c>
      <c r="D26" s="673"/>
      <c r="E26" s="673"/>
      <c r="F26" s="673"/>
      <c r="G26" s="673"/>
      <c r="H26" s="673"/>
      <c r="I26" s="166" t="s">
        <v>211</v>
      </c>
      <c r="J26" s="166" t="s">
        <v>211</v>
      </c>
      <c r="K26" s="166" t="s">
        <v>211</v>
      </c>
      <c r="L26" s="166" t="s">
        <v>211</v>
      </c>
      <c r="M26" s="166" t="s">
        <v>211</v>
      </c>
      <c r="N26" s="166" t="s">
        <v>211</v>
      </c>
      <c r="O26" s="166" t="s">
        <v>211</v>
      </c>
    </row>
    <row r="27" spans="2:17" s="453" customFormat="1" ht="14" x14ac:dyDescent="0.2">
      <c r="B27" s="112" t="s">
        <v>19</v>
      </c>
      <c r="C27" s="705" t="s">
        <v>1558</v>
      </c>
      <c r="D27" s="705"/>
      <c r="E27" s="705"/>
      <c r="F27" s="705"/>
      <c r="G27" s="705"/>
      <c r="H27" s="705"/>
      <c r="I27" s="166" t="s">
        <v>211</v>
      </c>
      <c r="J27" s="166" t="s">
        <v>211</v>
      </c>
      <c r="K27" s="166" t="s">
        <v>211</v>
      </c>
      <c r="L27" s="166" t="s">
        <v>211</v>
      </c>
      <c r="M27" s="166" t="s">
        <v>211</v>
      </c>
      <c r="N27" s="166" t="s">
        <v>211</v>
      </c>
      <c r="O27" s="166" t="s">
        <v>211</v>
      </c>
    </row>
    <row r="28" spans="2:17" s="453" customFormat="1" ht="14" x14ac:dyDescent="0.2">
      <c r="B28" s="112"/>
      <c r="C28" s="705"/>
      <c r="D28" s="705"/>
      <c r="E28" s="705"/>
      <c r="F28" s="705"/>
      <c r="G28" s="705"/>
      <c r="H28" s="705"/>
      <c r="J28" s="105"/>
      <c r="L28" s="105"/>
      <c r="N28" s="105"/>
    </row>
    <row r="29" spans="2:17" s="453" customFormat="1" ht="14" x14ac:dyDescent="0.2">
      <c r="B29" s="112">
        <v>7</v>
      </c>
      <c r="C29" s="673" t="s">
        <v>112</v>
      </c>
      <c r="D29" s="673"/>
      <c r="E29" s="673"/>
      <c r="F29" s="673"/>
      <c r="G29" s="673"/>
      <c r="H29" s="673"/>
      <c r="I29" s="166" t="s">
        <v>211</v>
      </c>
      <c r="J29" s="106" t="s">
        <v>214</v>
      </c>
      <c r="K29" s="166" t="s">
        <v>211</v>
      </c>
      <c r="L29" s="106" t="s">
        <v>213</v>
      </c>
      <c r="N29" s="105"/>
    </row>
    <row r="30" spans="2:17" s="453" customFormat="1" ht="14" x14ac:dyDescent="0.2">
      <c r="B30" s="112">
        <v>8</v>
      </c>
      <c r="C30" s="673" t="s">
        <v>113</v>
      </c>
      <c r="D30" s="673"/>
      <c r="E30" s="673"/>
      <c r="F30" s="673"/>
      <c r="G30" s="673"/>
      <c r="H30" s="673"/>
      <c r="I30" s="166" t="s">
        <v>211</v>
      </c>
      <c r="J30" s="106" t="s">
        <v>214</v>
      </c>
      <c r="K30" s="166" t="s">
        <v>211</v>
      </c>
      <c r="L30" s="106" t="s">
        <v>213</v>
      </c>
      <c r="N30" s="105"/>
    </row>
    <row r="31" spans="2:17" ht="11.25" customHeight="1" x14ac:dyDescent="0.2">
      <c r="G31" s="129">
        <f>COUNTIF(J17,Data!A1)</f>
        <v>0</v>
      </c>
      <c r="H31" s="129">
        <f>COUNTIF(K18:K19,Data!A1)</f>
        <v>0</v>
      </c>
      <c r="I31" s="129"/>
      <c r="J31" s="129">
        <f>COUNTIF(J20:J27,Data!SA1)</f>
        <v>0</v>
      </c>
      <c r="K31" s="129">
        <f>COUNTIF(K12:K17,Data!A1)</f>
        <v>0</v>
      </c>
      <c r="L31" s="129">
        <f>COUNTIF(J12:J16,Data!A1)</f>
        <v>0</v>
      </c>
      <c r="M31" s="129">
        <f>COUNTIF(K17,Data!A1)</f>
        <v>0</v>
      </c>
      <c r="N31" s="129">
        <f>COUNTIF(K20:K30,Data!A1)</f>
        <v>0</v>
      </c>
      <c r="O31" s="129">
        <f>SUM(L31:N31)</f>
        <v>0</v>
      </c>
      <c r="P31" s="129"/>
      <c r="Q31" s="129"/>
    </row>
    <row r="32" spans="2:17" ht="9" customHeight="1" thickBot="1" x14ac:dyDescent="0.25">
      <c r="B32" s="127" t="s">
        <v>89</v>
      </c>
      <c r="G32" s="129">
        <f>SUM(G31,H31,J31)*5</f>
        <v>0</v>
      </c>
      <c r="H32" s="129"/>
      <c r="I32" s="129">
        <f>COUNTIF(I12:I30,Data!$A1)</f>
        <v>0</v>
      </c>
      <c r="J32" s="129">
        <f>COUNTIF(J12:J30,Data!$A1)</f>
        <v>0</v>
      </c>
      <c r="K32" s="129">
        <f>COUNTIF(K12:K30,Data!$A1)</f>
        <v>0</v>
      </c>
      <c r="L32" s="129">
        <f>COUNTIF(L12:L30,Data!$A1)</f>
        <v>0</v>
      </c>
      <c r="M32" s="129">
        <f>COUNTIF(M12:M30,Data!$A1)</f>
        <v>0</v>
      </c>
      <c r="N32" s="129">
        <f>COUNTIF(N12:N30,Data!$A1)</f>
        <v>0</v>
      </c>
      <c r="O32" s="129">
        <f>COUNTIF(O12:O30,Data!$A1)</f>
        <v>0</v>
      </c>
      <c r="P32" s="129">
        <f>SUM(I32:K32,M32:N32)</f>
        <v>0</v>
      </c>
      <c r="Q32" s="129"/>
    </row>
    <row r="33" spans="2:17" ht="20" thickBot="1" x14ac:dyDescent="0.3">
      <c r="G33" s="256">
        <f>SUM(I32,M32,N32)</f>
        <v>0</v>
      </c>
      <c r="H33" s="674" t="s">
        <v>1591</v>
      </c>
      <c r="I33" s="674"/>
      <c r="J33" s="674"/>
      <c r="K33" s="674"/>
      <c r="L33" s="675"/>
      <c r="M33" s="716">
        <f>SUM(O31,G32,K31)</f>
        <v>0</v>
      </c>
      <c r="N33" s="717"/>
      <c r="O33" s="257">
        <f>SUM(G34,L35)</f>
        <v>0</v>
      </c>
      <c r="P33" s="129">
        <f>SUM(P32*5)</f>
        <v>0</v>
      </c>
      <c r="Q33" s="129"/>
    </row>
    <row r="34" spans="2:17" ht="6" customHeight="1" x14ac:dyDescent="0.2">
      <c r="G34" s="258">
        <f>SUM(G33*5)</f>
        <v>0</v>
      </c>
      <c r="H34" s="259"/>
      <c r="I34" s="260"/>
      <c r="J34" s="261"/>
      <c r="K34" s="261"/>
      <c r="L34" s="262"/>
      <c r="M34" s="263"/>
      <c r="N34" s="263"/>
      <c r="O34" s="262"/>
    </row>
    <row r="35" spans="2:17" x14ac:dyDescent="0.2">
      <c r="B35" s="693" t="s">
        <v>224</v>
      </c>
      <c r="C35" s="693"/>
      <c r="D35" s="693"/>
      <c r="E35" s="693"/>
      <c r="F35" s="693"/>
      <c r="G35" s="694" t="b">
        <v>0</v>
      </c>
      <c r="H35" s="695"/>
      <c r="I35" s="129"/>
      <c r="J35" s="129">
        <f>COUNTIF(K20:K27,Data!$A1)</f>
        <v>0</v>
      </c>
      <c r="K35" s="129">
        <f>COUNTIF(K12:K17,Data!$A1)</f>
        <v>0</v>
      </c>
      <c r="L35" s="129">
        <f>SUM(M35*4)</f>
        <v>0</v>
      </c>
      <c r="M35" s="129">
        <f>SUM(J35,K35)</f>
        <v>0</v>
      </c>
      <c r="N35" s="129"/>
      <c r="O35" s="129"/>
      <c r="P35" s="129"/>
    </row>
    <row r="36" spans="2:17" ht="7.5" customHeight="1" x14ac:dyDescent="0.2"/>
    <row r="37" spans="2:17" s="453" customFormat="1" ht="14" x14ac:dyDescent="0.2">
      <c r="B37" s="663" t="s">
        <v>225</v>
      </c>
      <c r="C37" s="663"/>
      <c r="D37" s="642"/>
      <c r="E37" s="685"/>
      <c r="F37" s="685"/>
      <c r="G37" s="685"/>
      <c r="H37" s="685"/>
      <c r="I37" s="685"/>
      <c r="J37" s="685"/>
      <c r="K37" s="685"/>
      <c r="L37" s="685"/>
      <c r="M37" s="685"/>
      <c r="N37" s="685"/>
      <c r="O37" s="686"/>
    </row>
    <row r="38" spans="2:17" s="453" customFormat="1" ht="14" x14ac:dyDescent="0.2">
      <c r="D38" s="687"/>
      <c r="E38" s="688"/>
      <c r="F38" s="688"/>
      <c r="G38" s="688"/>
      <c r="H38" s="688"/>
      <c r="I38" s="688"/>
      <c r="J38" s="688"/>
      <c r="K38" s="688"/>
      <c r="L38" s="688"/>
      <c r="M38" s="688"/>
      <c r="N38" s="688"/>
      <c r="O38" s="689"/>
    </row>
    <row r="39" spans="2:17" s="453" customFormat="1" ht="14" x14ac:dyDescent="0.2">
      <c r="D39" s="687"/>
      <c r="E39" s="688"/>
      <c r="F39" s="688"/>
      <c r="G39" s="688"/>
      <c r="H39" s="688"/>
      <c r="I39" s="688"/>
      <c r="J39" s="688"/>
      <c r="K39" s="688"/>
      <c r="L39" s="688"/>
      <c r="M39" s="688"/>
      <c r="N39" s="688"/>
      <c r="O39" s="689"/>
    </row>
    <row r="40" spans="2:17" s="453" customFormat="1" ht="14" x14ac:dyDescent="0.2">
      <c r="D40" s="687"/>
      <c r="E40" s="688"/>
      <c r="F40" s="688"/>
      <c r="G40" s="688"/>
      <c r="H40" s="688"/>
      <c r="I40" s="688"/>
      <c r="J40" s="688"/>
      <c r="K40" s="688"/>
      <c r="L40" s="688"/>
      <c r="M40" s="688"/>
      <c r="N40" s="688"/>
      <c r="O40" s="689"/>
    </row>
    <row r="41" spans="2:17" s="453" customFormat="1" ht="14" x14ac:dyDescent="0.2">
      <c r="D41" s="687"/>
      <c r="E41" s="688"/>
      <c r="F41" s="688"/>
      <c r="G41" s="688"/>
      <c r="H41" s="688"/>
      <c r="I41" s="688"/>
      <c r="J41" s="688"/>
      <c r="K41" s="688"/>
      <c r="L41" s="688"/>
      <c r="M41" s="688"/>
      <c r="N41" s="688"/>
      <c r="O41" s="689"/>
    </row>
    <row r="42" spans="2:17" s="453" customFormat="1" ht="14" x14ac:dyDescent="0.2">
      <c r="D42" s="690"/>
      <c r="E42" s="691"/>
      <c r="F42" s="691"/>
      <c r="G42" s="691"/>
      <c r="H42" s="691"/>
      <c r="I42" s="691"/>
      <c r="J42" s="691"/>
      <c r="K42" s="691"/>
      <c r="L42" s="691"/>
      <c r="M42" s="691"/>
      <c r="N42" s="691"/>
      <c r="O42" s="692"/>
    </row>
    <row r="43" spans="2:17" ht="8.25" customHeight="1" thickBot="1" x14ac:dyDescent="0.25"/>
    <row r="44" spans="2:17" s="108" customFormat="1" ht="16" x14ac:dyDescent="0.2">
      <c r="B44" s="707" t="s">
        <v>262</v>
      </c>
      <c r="C44" s="708"/>
      <c r="D44" s="708"/>
      <c r="E44" s="708"/>
      <c r="F44" s="708"/>
      <c r="G44" s="708"/>
      <c r="H44" s="708"/>
      <c r="I44" s="708"/>
      <c r="J44" s="708"/>
      <c r="K44" s="708"/>
      <c r="L44" s="708"/>
      <c r="M44" s="708"/>
      <c r="N44" s="708"/>
      <c r="O44" s="709"/>
    </row>
    <row r="45" spans="2:17" s="108" customFormat="1" ht="17" thickBot="1" x14ac:dyDescent="0.25">
      <c r="B45" s="699"/>
      <c r="C45" s="700"/>
      <c r="D45" s="700"/>
      <c r="E45" s="700"/>
      <c r="F45" s="700"/>
      <c r="G45" s="700"/>
      <c r="H45" s="700"/>
      <c r="I45" s="700"/>
      <c r="J45" s="700"/>
      <c r="K45" s="700"/>
      <c r="L45" s="700"/>
      <c r="M45" s="700"/>
      <c r="N45" s="700"/>
      <c r="O45" s="701"/>
    </row>
    <row r="46" spans="2:17" x14ac:dyDescent="0.2">
      <c r="B46" s="127">
        <v>1</v>
      </c>
      <c r="C46" s="677" t="s">
        <v>226</v>
      </c>
      <c r="D46" s="677"/>
      <c r="E46" s="677"/>
      <c r="F46" s="677"/>
      <c r="G46" s="677"/>
      <c r="H46" s="677"/>
      <c r="I46" s="677"/>
      <c r="J46" s="677"/>
    </row>
    <row r="47" spans="2:17" x14ac:dyDescent="0.2">
      <c r="F47" s="660" t="s">
        <v>120</v>
      </c>
      <c r="G47" s="661"/>
      <c r="H47" s="661"/>
      <c r="I47" s="661"/>
      <c r="J47" s="661"/>
      <c r="K47" s="661"/>
      <c r="L47" s="661"/>
      <c r="M47" s="662"/>
      <c r="N47" s="472">
        <f>VLOOKUP(F47,Data!D49:E86,2,FALSE)</f>
        <v>0</v>
      </c>
    </row>
    <row r="48" spans="2:17" x14ac:dyDescent="0.2">
      <c r="B48" s="464" t="s">
        <v>10</v>
      </c>
      <c r="C48" s="676" t="s">
        <v>119</v>
      </c>
      <c r="D48" s="676"/>
      <c r="E48" s="676"/>
      <c r="F48" s="676"/>
      <c r="L48" s="66" t="s">
        <v>211</v>
      </c>
      <c r="M48" s="127" t="s">
        <v>214</v>
      </c>
      <c r="N48" s="66" t="s">
        <v>211</v>
      </c>
      <c r="O48" s="127" t="s">
        <v>213</v>
      </c>
    </row>
    <row r="49" spans="2:17" x14ac:dyDescent="0.2">
      <c r="B49" s="464" t="s">
        <v>179</v>
      </c>
      <c r="C49" s="127" t="s">
        <v>227</v>
      </c>
      <c r="J49" s="129"/>
      <c r="K49" s="129">
        <f>SUM(L49*30)</f>
        <v>0</v>
      </c>
      <c r="L49" s="129">
        <f>COUNTIF(L48,Data!$A1)</f>
        <v>0</v>
      </c>
      <c r="M49" s="129"/>
      <c r="N49" s="129">
        <f>COUNTIF(N48,Data!$A1)</f>
        <v>0</v>
      </c>
      <c r="O49" s="129"/>
      <c r="P49" s="129">
        <f>SUM(N49,L49)</f>
        <v>0</v>
      </c>
    </row>
    <row r="50" spans="2:17" x14ac:dyDescent="0.2">
      <c r="F50" s="660" t="s">
        <v>176</v>
      </c>
      <c r="G50" s="661"/>
      <c r="H50" s="661"/>
      <c r="I50" s="661"/>
      <c r="J50" s="661"/>
      <c r="K50" s="661"/>
      <c r="L50" s="661"/>
      <c r="M50" s="662"/>
      <c r="O50" s="129"/>
      <c r="P50" s="129">
        <f>SUM(P49*30)</f>
        <v>0</v>
      </c>
      <c r="Q50" s="129"/>
    </row>
    <row r="51" spans="2:17" s="453" customFormat="1" ht="14" x14ac:dyDescent="0.2">
      <c r="B51" s="453" t="s">
        <v>183</v>
      </c>
    </row>
    <row r="52" spans="2:17" s="453" customFormat="1" ht="14" x14ac:dyDescent="0.2">
      <c r="B52" s="642"/>
      <c r="C52" s="685"/>
      <c r="D52" s="685"/>
      <c r="E52" s="685"/>
      <c r="F52" s="685"/>
      <c r="G52" s="685"/>
      <c r="H52" s="685"/>
      <c r="I52" s="685"/>
      <c r="J52" s="685"/>
      <c r="K52" s="685"/>
      <c r="L52" s="685"/>
      <c r="M52" s="685"/>
      <c r="N52" s="685"/>
      <c r="O52" s="686"/>
    </row>
    <row r="53" spans="2:17" s="453" customFormat="1" ht="14" x14ac:dyDescent="0.2">
      <c r="B53" s="687"/>
      <c r="C53" s="688"/>
      <c r="D53" s="688"/>
      <c r="E53" s="688"/>
      <c r="F53" s="688"/>
      <c r="G53" s="688"/>
      <c r="H53" s="688"/>
      <c r="I53" s="688"/>
      <c r="J53" s="688"/>
      <c r="K53" s="688"/>
      <c r="L53" s="688"/>
      <c r="M53" s="688"/>
      <c r="N53" s="688"/>
      <c r="O53" s="689"/>
    </row>
    <row r="54" spans="2:17" s="453" customFormat="1" ht="14" x14ac:dyDescent="0.2">
      <c r="B54" s="690"/>
      <c r="C54" s="691"/>
      <c r="D54" s="691"/>
      <c r="E54" s="691"/>
      <c r="F54" s="691"/>
      <c r="G54" s="691"/>
      <c r="H54" s="691"/>
      <c r="I54" s="691"/>
      <c r="J54" s="691"/>
      <c r="K54" s="691"/>
      <c r="L54" s="691"/>
      <c r="M54" s="691"/>
      <c r="N54" s="691"/>
      <c r="O54" s="692"/>
    </row>
    <row r="55" spans="2:17" s="108" customFormat="1" ht="24.75" customHeight="1" x14ac:dyDescent="0.2">
      <c r="B55" s="264"/>
      <c r="C55" s="264"/>
      <c r="D55" s="264"/>
      <c r="E55" s="264"/>
      <c r="G55" s="578" t="s">
        <v>1592</v>
      </c>
      <c r="H55" s="578"/>
      <c r="I55" s="578"/>
      <c r="J55" s="578"/>
      <c r="K55" s="578"/>
      <c r="L55" s="579"/>
      <c r="M55" s="265">
        <f>SUM(N49*30)</f>
        <v>0</v>
      </c>
      <c r="N55" s="266"/>
      <c r="O55" s="264"/>
    </row>
    <row r="56" spans="2:17" ht="10.5" customHeight="1" x14ac:dyDescent="0.2">
      <c r="B56" s="267"/>
      <c r="C56" s="268"/>
      <c r="D56" s="268"/>
      <c r="E56" s="268"/>
      <c r="F56" s="269"/>
      <c r="G56" s="270"/>
      <c r="H56" s="270"/>
      <c r="I56" s="270"/>
      <c r="J56" s="270"/>
      <c r="K56" s="270"/>
      <c r="L56" s="270"/>
      <c r="M56" s="270"/>
      <c r="N56" s="271"/>
      <c r="O56" s="272"/>
      <c r="P56" s="129"/>
      <c r="Q56" s="129"/>
    </row>
    <row r="57" spans="2:17" s="453" customFormat="1" ht="14" x14ac:dyDescent="0.2">
      <c r="B57" s="146"/>
      <c r="C57" s="680" t="s">
        <v>1559</v>
      </c>
      <c r="D57" s="680"/>
      <c r="E57" s="680"/>
      <c r="F57" s="680"/>
      <c r="G57" s="680"/>
      <c r="H57" s="680"/>
      <c r="I57" s="680"/>
      <c r="J57" s="680"/>
      <c r="K57" s="680"/>
      <c r="L57" s="710"/>
      <c r="M57" s="711"/>
      <c r="N57" s="273"/>
      <c r="O57" s="148"/>
      <c r="P57" s="107">
        <f>SUM(L57*(5))</f>
        <v>0</v>
      </c>
      <c r="Q57" s="107"/>
    </row>
    <row r="58" spans="2:17" s="453" customFormat="1" ht="14" x14ac:dyDescent="0.2">
      <c r="B58" s="146"/>
      <c r="C58" s="680" t="s">
        <v>1560</v>
      </c>
      <c r="D58" s="680"/>
      <c r="E58" s="680"/>
      <c r="F58" s="680"/>
      <c r="G58" s="680"/>
      <c r="H58" s="680"/>
      <c r="I58" s="680"/>
      <c r="J58" s="680"/>
      <c r="K58" s="680"/>
      <c r="L58" s="710"/>
      <c r="M58" s="711"/>
      <c r="N58" s="210">
        <f>SUM(L57:M59)*5</f>
        <v>0</v>
      </c>
      <c r="O58" s="148"/>
      <c r="P58" s="107">
        <f>SUM(L58*(5))</f>
        <v>0</v>
      </c>
      <c r="Q58" s="107"/>
    </row>
    <row r="59" spans="2:17" s="453" customFormat="1" ht="14" x14ac:dyDescent="0.2">
      <c r="B59" s="146"/>
      <c r="C59" s="680" t="s">
        <v>1561</v>
      </c>
      <c r="D59" s="680"/>
      <c r="E59" s="680"/>
      <c r="F59" s="680"/>
      <c r="G59" s="680"/>
      <c r="H59" s="680"/>
      <c r="I59" s="680"/>
      <c r="J59" s="680"/>
      <c r="K59" s="680"/>
      <c r="L59" s="710"/>
      <c r="M59" s="711"/>
      <c r="N59" s="273"/>
      <c r="O59" s="148"/>
      <c r="P59" s="107">
        <f>SUM(L59*(5))</f>
        <v>0</v>
      </c>
      <c r="Q59" s="107"/>
    </row>
    <row r="60" spans="2:17" s="453" customFormat="1" ht="14" x14ac:dyDescent="0.2">
      <c r="B60" s="146"/>
      <c r="C60" s="680" t="s">
        <v>1562</v>
      </c>
      <c r="D60" s="680"/>
      <c r="E60" s="680"/>
      <c r="F60" s="680"/>
      <c r="G60" s="680"/>
      <c r="H60" s="680"/>
      <c r="I60" s="680"/>
      <c r="J60" s="680"/>
      <c r="K60" s="680"/>
      <c r="L60" s="710"/>
      <c r="M60" s="711"/>
      <c r="N60" s="210">
        <f>SUM(L60:M61)</f>
        <v>0</v>
      </c>
      <c r="O60" s="148"/>
      <c r="P60" s="107">
        <f>SUM(L60*(1))</f>
        <v>0</v>
      </c>
      <c r="Q60" s="107"/>
    </row>
    <row r="61" spans="2:17" s="453" customFormat="1" thickBot="1" x14ac:dyDescent="0.25">
      <c r="B61" s="146"/>
      <c r="C61" s="680" t="s">
        <v>1563</v>
      </c>
      <c r="D61" s="680"/>
      <c r="E61" s="680"/>
      <c r="F61" s="680"/>
      <c r="G61" s="680"/>
      <c r="H61" s="680"/>
      <c r="I61" s="680"/>
      <c r="J61" s="680"/>
      <c r="K61" s="680"/>
      <c r="L61" s="712"/>
      <c r="M61" s="713"/>
      <c r="N61" s="273"/>
      <c r="O61" s="148"/>
      <c r="P61" s="107">
        <f>SUM(L61*(1))</f>
        <v>0</v>
      </c>
      <c r="Q61" s="107"/>
    </row>
    <row r="62" spans="2:17" s="108" customFormat="1" ht="16" x14ac:dyDescent="0.2">
      <c r="B62" s="149"/>
      <c r="C62" s="150"/>
      <c r="D62" s="150"/>
      <c r="E62" s="150"/>
      <c r="F62" s="151"/>
      <c r="G62" s="706" t="s">
        <v>1593</v>
      </c>
      <c r="H62" s="706"/>
      <c r="I62" s="706"/>
      <c r="J62" s="706"/>
      <c r="K62" s="151"/>
      <c r="L62" s="678">
        <f>SUM(N58,N60)</f>
        <v>0</v>
      </c>
      <c r="M62" s="679"/>
      <c r="N62" s="151"/>
      <c r="O62" s="152"/>
      <c r="P62" s="116">
        <f>SUM(P57:P61)</f>
        <v>0</v>
      </c>
      <c r="Q62" s="116"/>
    </row>
    <row r="63" spans="2:17" ht="9.75" customHeight="1" x14ac:dyDescent="0.2">
      <c r="B63" s="267"/>
      <c r="C63" s="268"/>
      <c r="D63" s="268"/>
      <c r="E63" s="268"/>
      <c r="F63" s="271"/>
      <c r="G63" s="270"/>
      <c r="H63" s="270"/>
      <c r="I63" s="270"/>
      <c r="J63" s="270"/>
      <c r="K63" s="271"/>
      <c r="L63" s="270"/>
      <c r="M63" s="270"/>
      <c r="N63" s="271"/>
      <c r="O63" s="272"/>
      <c r="P63" s="129"/>
      <c r="Q63" s="129"/>
    </row>
    <row r="64" spans="2:17" ht="19" x14ac:dyDescent="0.2">
      <c r="B64" s="703" t="s">
        <v>1564</v>
      </c>
      <c r="C64" s="704"/>
      <c r="D64" s="96"/>
      <c r="E64" s="274"/>
      <c r="F64" s="702" t="s">
        <v>1565</v>
      </c>
      <c r="G64" s="702"/>
      <c r="H64" s="702"/>
      <c r="I64" s="702"/>
      <c r="J64" s="97" t="s">
        <v>211</v>
      </c>
      <c r="K64" s="275" t="s">
        <v>214</v>
      </c>
      <c r="L64" s="97" t="s">
        <v>211</v>
      </c>
      <c r="M64" s="253" t="s">
        <v>213</v>
      </c>
      <c r="N64" s="97" t="s">
        <v>211</v>
      </c>
      <c r="O64" s="276" t="s">
        <v>215</v>
      </c>
    </row>
    <row r="65" spans="1:16" ht="9" customHeight="1" x14ac:dyDescent="0.2">
      <c r="B65" s="277"/>
      <c r="C65" s="278"/>
      <c r="D65" s="278"/>
      <c r="E65" s="278"/>
      <c r="F65" s="279"/>
      <c r="G65" s="280"/>
      <c r="H65" s="280"/>
      <c r="I65" s="280"/>
      <c r="J65" s="280"/>
      <c r="K65" s="279"/>
      <c r="L65" s="280"/>
      <c r="M65" s="280"/>
      <c r="N65" s="279"/>
      <c r="O65" s="281"/>
    </row>
    <row r="66" spans="1:16" s="108" customFormat="1" ht="16" x14ac:dyDescent="0.2">
      <c r="B66" s="696" t="s">
        <v>263</v>
      </c>
      <c r="C66" s="697"/>
      <c r="D66" s="697"/>
      <c r="E66" s="697"/>
      <c r="F66" s="697"/>
      <c r="G66" s="697"/>
      <c r="H66" s="697"/>
      <c r="I66" s="697"/>
      <c r="J66" s="697"/>
      <c r="K66" s="697"/>
      <c r="L66" s="697"/>
      <c r="M66" s="697"/>
      <c r="N66" s="697"/>
      <c r="O66" s="698"/>
    </row>
    <row r="67" spans="1:16" s="108" customFormat="1" ht="17" thickBot="1" x14ac:dyDescent="0.25">
      <c r="B67" s="699"/>
      <c r="C67" s="700"/>
      <c r="D67" s="700"/>
      <c r="E67" s="700"/>
      <c r="F67" s="700"/>
      <c r="G67" s="700"/>
      <c r="H67" s="700"/>
      <c r="I67" s="700"/>
      <c r="J67" s="700"/>
      <c r="K67" s="700"/>
      <c r="L67" s="700"/>
      <c r="M67" s="700"/>
      <c r="N67" s="700"/>
      <c r="O67" s="701"/>
    </row>
    <row r="68" spans="1:16" ht="14.25" customHeight="1" x14ac:dyDescent="0.2">
      <c r="B68" s="252"/>
      <c r="C68" s="252"/>
      <c r="D68" s="252"/>
      <c r="E68" s="252"/>
      <c r="F68" s="252"/>
      <c r="G68" s="252"/>
      <c r="H68" s="252"/>
      <c r="I68" s="282">
        <v>1</v>
      </c>
      <c r="J68" s="282">
        <v>2</v>
      </c>
      <c r="K68" s="282">
        <v>3</v>
      </c>
      <c r="L68" s="282">
        <v>4</v>
      </c>
      <c r="M68" s="282">
        <v>5</v>
      </c>
      <c r="N68" s="282">
        <v>6</v>
      </c>
      <c r="O68" s="282" t="s">
        <v>1549</v>
      </c>
    </row>
    <row r="69" spans="1:16" s="453" customFormat="1" ht="14" x14ac:dyDescent="0.2">
      <c r="A69" s="471">
        <v>1</v>
      </c>
      <c r="B69" s="112">
        <v>1</v>
      </c>
      <c r="C69" s="609" t="s">
        <v>1595</v>
      </c>
      <c r="D69" s="609"/>
      <c r="E69" s="609"/>
      <c r="F69" s="609"/>
      <c r="G69" s="609"/>
      <c r="H69" s="609"/>
      <c r="I69" s="187" t="s">
        <v>211</v>
      </c>
      <c r="J69" s="166" t="s">
        <v>211</v>
      </c>
      <c r="K69" s="166" t="s">
        <v>211</v>
      </c>
      <c r="L69" s="166" t="s">
        <v>211</v>
      </c>
      <c r="M69" s="166" t="s">
        <v>211</v>
      </c>
      <c r="N69" s="166" t="s">
        <v>211</v>
      </c>
      <c r="O69" s="187" t="s">
        <v>211</v>
      </c>
    </row>
    <row r="70" spans="1:16" s="453" customFormat="1" ht="14" x14ac:dyDescent="0.2">
      <c r="B70" s="112">
        <v>2</v>
      </c>
      <c r="C70" s="609" t="s">
        <v>1596</v>
      </c>
      <c r="D70" s="609"/>
      <c r="E70" s="609"/>
      <c r="F70" s="609"/>
      <c r="G70" s="609"/>
      <c r="H70" s="609"/>
      <c r="I70" s="187" t="s">
        <v>211</v>
      </c>
      <c r="J70" s="166" t="s">
        <v>211</v>
      </c>
      <c r="K70" s="166" t="s">
        <v>211</v>
      </c>
      <c r="L70" s="166" t="s">
        <v>211</v>
      </c>
      <c r="M70" s="166" t="s">
        <v>211</v>
      </c>
      <c r="N70" s="166" t="s">
        <v>211</v>
      </c>
      <c r="O70" s="187" t="s">
        <v>211</v>
      </c>
    </row>
    <row r="71" spans="1:16" s="453" customFormat="1" ht="14" x14ac:dyDescent="0.2">
      <c r="B71" s="112" t="s">
        <v>100</v>
      </c>
      <c r="C71" s="573" t="s">
        <v>1597</v>
      </c>
      <c r="D71" s="573"/>
      <c r="E71" s="573"/>
      <c r="F71" s="573"/>
      <c r="G71" s="573"/>
      <c r="H71" s="573"/>
      <c r="I71" s="187" t="s">
        <v>211</v>
      </c>
      <c r="J71" s="166" t="s">
        <v>211</v>
      </c>
      <c r="K71" s="166" t="s">
        <v>211</v>
      </c>
      <c r="L71" s="166" t="s">
        <v>211</v>
      </c>
      <c r="M71" s="166" t="s">
        <v>211</v>
      </c>
      <c r="N71" s="166" t="s">
        <v>211</v>
      </c>
      <c r="O71" s="187" t="s">
        <v>211</v>
      </c>
    </row>
    <row r="72" spans="1:16" s="453" customFormat="1" ht="14" x14ac:dyDescent="0.2">
      <c r="B72" s="112">
        <v>3</v>
      </c>
      <c r="C72" s="573" t="s">
        <v>1598</v>
      </c>
      <c r="D72" s="573"/>
      <c r="E72" s="573"/>
      <c r="F72" s="573"/>
      <c r="G72" s="573"/>
      <c r="H72" s="573"/>
      <c r="I72" s="187" t="s">
        <v>211</v>
      </c>
      <c r="J72" s="166" t="s">
        <v>211</v>
      </c>
      <c r="K72" s="166" t="s">
        <v>211</v>
      </c>
      <c r="L72" s="166" t="s">
        <v>211</v>
      </c>
      <c r="M72" s="166" t="s">
        <v>211</v>
      </c>
      <c r="N72" s="166" t="s">
        <v>211</v>
      </c>
      <c r="O72" s="187" t="s">
        <v>211</v>
      </c>
    </row>
    <row r="73" spans="1:16" s="453" customFormat="1" ht="14" x14ac:dyDescent="0.2">
      <c r="B73" s="112">
        <v>4</v>
      </c>
      <c r="C73" s="573" t="s">
        <v>1599</v>
      </c>
      <c r="D73" s="573"/>
      <c r="E73" s="573"/>
      <c r="F73" s="573"/>
      <c r="G73" s="573"/>
      <c r="H73" s="573"/>
      <c r="I73" s="187" t="s">
        <v>211</v>
      </c>
      <c r="J73" s="166" t="s">
        <v>211</v>
      </c>
      <c r="K73" s="166" t="s">
        <v>211</v>
      </c>
      <c r="L73" s="166" t="s">
        <v>211</v>
      </c>
      <c r="M73" s="166" t="s">
        <v>211</v>
      </c>
      <c r="N73" s="166" t="s">
        <v>211</v>
      </c>
      <c r="O73" s="187" t="s">
        <v>211</v>
      </c>
    </row>
    <row r="74" spans="1:16" s="453" customFormat="1" ht="14" x14ac:dyDescent="0.2">
      <c r="B74" s="112">
        <v>5</v>
      </c>
      <c r="C74" s="573" t="s">
        <v>1600</v>
      </c>
      <c r="D74" s="573"/>
      <c r="E74" s="573"/>
      <c r="F74" s="573"/>
      <c r="G74" s="573"/>
      <c r="H74" s="573"/>
      <c r="I74" s="99" t="s">
        <v>211</v>
      </c>
      <c r="J74" s="106" t="s">
        <v>214</v>
      </c>
      <c r="K74" s="98" t="s">
        <v>211</v>
      </c>
      <c r="L74" s="106" t="s">
        <v>213</v>
      </c>
      <c r="M74" s="165">
        <f>COUNTIF(K74,Data!$A$1)</f>
        <v>0</v>
      </c>
      <c r="N74" s="105"/>
      <c r="O74" s="470"/>
      <c r="P74" s="107">
        <f>SUM(K75*4)</f>
        <v>0</v>
      </c>
    </row>
    <row r="75" spans="1:16" s="453" customFormat="1" thickBot="1" x14ac:dyDescent="0.25">
      <c r="I75" s="107">
        <f>COUNTIF(I69:I74,Data!$A$1)</f>
        <v>0</v>
      </c>
      <c r="J75" s="107">
        <f>COUNTIF(J69:J73,Data!$A$1)</f>
        <v>0</v>
      </c>
      <c r="K75" s="107">
        <f>COUNTIF(K69:K73,Data!$A$1)</f>
        <v>0</v>
      </c>
      <c r="L75" s="107">
        <f>COUNTIF(L69:L73,Data!$A$1)</f>
        <v>0</v>
      </c>
      <c r="M75" s="107">
        <f>COUNTIF(M69:M73,Data!$A$1)</f>
        <v>0</v>
      </c>
      <c r="N75" s="107">
        <f>COUNTIF(N69:N73,Data!$A$1)</f>
        <v>0</v>
      </c>
      <c r="O75" s="107">
        <f>COUNTIF(O69:O73,Data!$A$1)</f>
        <v>0</v>
      </c>
      <c r="P75" s="107">
        <f>SUM(I75:K75,M74,M75:N75)</f>
        <v>0</v>
      </c>
    </row>
    <row r="76" spans="1:16" s="108" customFormat="1" ht="17" thickBot="1" x14ac:dyDescent="0.25">
      <c r="G76" s="578" t="s">
        <v>1584</v>
      </c>
      <c r="H76" s="578"/>
      <c r="I76" s="578"/>
      <c r="J76" s="579"/>
      <c r="K76" s="574">
        <f>SUM(N76,K75)</f>
        <v>0</v>
      </c>
      <c r="L76" s="575"/>
      <c r="M76" s="116"/>
      <c r="N76" s="109">
        <f>SUM(O76*5)</f>
        <v>0</v>
      </c>
      <c r="O76" s="114">
        <f>SUM(J75,M74)</f>
        <v>0</v>
      </c>
      <c r="P76" s="116">
        <f>SUM(P75*5)</f>
        <v>0</v>
      </c>
    </row>
    <row r="77" spans="1:16" s="453" customFormat="1" ht="14" x14ac:dyDescent="0.2">
      <c r="B77" s="449"/>
      <c r="C77" s="449"/>
      <c r="D77" s="110"/>
      <c r="F77" s="110"/>
      <c r="G77" s="463"/>
      <c r="H77" s="463"/>
      <c r="I77" s="111"/>
      <c r="J77" s="111"/>
      <c r="K77" s="111"/>
      <c r="L77" s="243"/>
      <c r="M77" s="243"/>
      <c r="N77" s="463"/>
    </row>
    <row r="78" spans="1:16" s="453" customFormat="1" ht="14" x14ac:dyDescent="0.2">
      <c r="A78" s="471">
        <v>2</v>
      </c>
      <c r="B78" s="113" t="s">
        <v>266</v>
      </c>
      <c r="C78" s="571" t="s">
        <v>1601</v>
      </c>
      <c r="D78" s="571"/>
      <c r="E78" s="571"/>
      <c r="F78" s="571"/>
      <c r="G78" s="571"/>
      <c r="H78" s="571"/>
      <c r="I78" s="166" t="s">
        <v>211</v>
      </c>
      <c r="J78" s="166" t="s">
        <v>211</v>
      </c>
      <c r="K78" s="166" t="s">
        <v>211</v>
      </c>
      <c r="L78" s="166" t="s">
        <v>211</v>
      </c>
      <c r="M78" s="166" t="s">
        <v>211</v>
      </c>
      <c r="N78" s="166" t="s">
        <v>211</v>
      </c>
      <c r="O78" s="166" t="s">
        <v>211</v>
      </c>
    </row>
    <row r="79" spans="1:16" s="453" customFormat="1" ht="14" x14ac:dyDescent="0.2">
      <c r="B79" s="113" t="s">
        <v>267</v>
      </c>
      <c r="C79" s="571" t="s">
        <v>1595</v>
      </c>
      <c r="D79" s="571"/>
      <c r="E79" s="571"/>
      <c r="F79" s="571"/>
      <c r="G79" s="571"/>
      <c r="H79" s="571"/>
      <c r="I79" s="166" t="s">
        <v>211</v>
      </c>
      <c r="J79" s="166" t="s">
        <v>211</v>
      </c>
      <c r="K79" s="166" t="s">
        <v>211</v>
      </c>
      <c r="L79" s="166" t="s">
        <v>211</v>
      </c>
      <c r="M79" s="166" t="s">
        <v>211</v>
      </c>
      <c r="N79" s="166" t="s">
        <v>211</v>
      </c>
      <c r="O79" s="166" t="s">
        <v>211</v>
      </c>
    </row>
    <row r="80" spans="1:16" s="453" customFormat="1" ht="14" x14ac:dyDescent="0.2">
      <c r="B80" s="113" t="s">
        <v>268</v>
      </c>
      <c r="C80" s="571" t="s">
        <v>1602</v>
      </c>
      <c r="D80" s="571"/>
      <c r="E80" s="571"/>
      <c r="F80" s="571"/>
      <c r="G80" s="571"/>
      <c r="H80" s="571"/>
      <c r="I80" s="166" t="s">
        <v>211</v>
      </c>
      <c r="J80" s="166" t="s">
        <v>211</v>
      </c>
      <c r="K80" s="166" t="s">
        <v>211</v>
      </c>
      <c r="L80" s="166" t="s">
        <v>211</v>
      </c>
      <c r="M80" s="166" t="s">
        <v>211</v>
      </c>
      <c r="N80" s="166" t="s">
        <v>211</v>
      </c>
      <c r="O80" s="166" t="s">
        <v>211</v>
      </c>
    </row>
    <row r="81" spans="1:16" s="453" customFormat="1" ht="14" x14ac:dyDescent="0.2">
      <c r="B81" s="113" t="s">
        <v>17</v>
      </c>
      <c r="C81" s="571" t="s">
        <v>1603</v>
      </c>
      <c r="D81" s="571"/>
      <c r="E81" s="571"/>
      <c r="F81" s="571"/>
      <c r="G81" s="571"/>
      <c r="H81" s="571"/>
      <c r="I81" s="166" t="s">
        <v>211</v>
      </c>
      <c r="J81" s="166" t="s">
        <v>211</v>
      </c>
      <c r="K81" s="166" t="s">
        <v>211</v>
      </c>
      <c r="L81" s="166" t="s">
        <v>211</v>
      </c>
      <c r="M81" s="166" t="s">
        <v>211</v>
      </c>
      <c r="N81" s="166" t="s">
        <v>211</v>
      </c>
      <c r="O81" s="166" t="s">
        <v>211</v>
      </c>
    </row>
    <row r="82" spans="1:16" s="453" customFormat="1" ht="14" x14ac:dyDescent="0.2">
      <c r="B82" s="113" t="s">
        <v>269</v>
      </c>
      <c r="C82" s="571" t="s">
        <v>1604</v>
      </c>
      <c r="D82" s="571"/>
      <c r="E82" s="571"/>
      <c r="F82" s="571"/>
      <c r="G82" s="571"/>
      <c r="H82" s="571"/>
      <c r="I82" s="166" t="s">
        <v>211</v>
      </c>
      <c r="J82" s="166" t="s">
        <v>211</v>
      </c>
      <c r="K82" s="166" t="s">
        <v>211</v>
      </c>
      <c r="L82" s="166" t="s">
        <v>211</v>
      </c>
      <c r="M82" s="166" t="s">
        <v>211</v>
      </c>
      <c r="N82" s="166" t="s">
        <v>211</v>
      </c>
      <c r="O82" s="166" t="s">
        <v>211</v>
      </c>
    </row>
    <row r="83" spans="1:16" s="453" customFormat="1" ht="14" x14ac:dyDescent="0.2">
      <c r="B83" s="113" t="s">
        <v>108</v>
      </c>
      <c r="C83" s="571" t="s">
        <v>1605</v>
      </c>
      <c r="D83" s="571"/>
      <c r="E83" s="571"/>
      <c r="F83" s="571"/>
      <c r="G83" s="571"/>
      <c r="H83" s="571"/>
      <c r="I83" s="166" t="s">
        <v>211</v>
      </c>
      <c r="J83" s="166" t="s">
        <v>211</v>
      </c>
      <c r="K83" s="166" t="s">
        <v>211</v>
      </c>
      <c r="L83" s="166" t="s">
        <v>211</v>
      </c>
      <c r="M83" s="166" t="s">
        <v>211</v>
      </c>
      <c r="N83" s="166" t="s">
        <v>211</v>
      </c>
      <c r="O83" s="166" t="s">
        <v>211</v>
      </c>
    </row>
    <row r="84" spans="1:16" s="453" customFormat="1" ht="14" x14ac:dyDescent="0.2">
      <c r="B84" s="113" t="s">
        <v>270</v>
      </c>
      <c r="C84" s="571" t="s">
        <v>1606</v>
      </c>
      <c r="D84" s="571"/>
      <c r="E84" s="571"/>
      <c r="F84" s="571"/>
      <c r="G84" s="571"/>
      <c r="H84" s="571"/>
      <c r="I84" s="166" t="s">
        <v>211</v>
      </c>
      <c r="J84" s="166" t="s">
        <v>211</v>
      </c>
      <c r="K84" s="166" t="s">
        <v>211</v>
      </c>
      <c r="L84" s="166" t="s">
        <v>211</v>
      </c>
      <c r="M84" s="166" t="s">
        <v>211</v>
      </c>
      <c r="N84" s="166" t="s">
        <v>211</v>
      </c>
      <c r="O84" s="166" t="s">
        <v>211</v>
      </c>
    </row>
    <row r="85" spans="1:16" s="453" customFormat="1" ht="14" x14ac:dyDescent="0.2">
      <c r="B85" s="113" t="s">
        <v>271</v>
      </c>
      <c r="C85" s="571" t="s">
        <v>1607</v>
      </c>
      <c r="D85" s="571"/>
      <c r="E85" s="571"/>
      <c r="F85" s="571"/>
      <c r="G85" s="571"/>
      <c r="H85" s="571"/>
      <c r="I85" s="166" t="s">
        <v>211</v>
      </c>
      <c r="J85" s="166" t="s">
        <v>211</v>
      </c>
      <c r="K85" s="166" t="s">
        <v>211</v>
      </c>
      <c r="L85" s="166" t="s">
        <v>211</v>
      </c>
      <c r="M85" s="166" t="s">
        <v>211</v>
      </c>
      <c r="N85" s="166" t="s">
        <v>211</v>
      </c>
      <c r="O85" s="166" t="s">
        <v>211</v>
      </c>
    </row>
    <row r="86" spans="1:16" s="453" customFormat="1" ht="14" x14ac:dyDescent="0.2">
      <c r="B86" s="112">
        <v>5</v>
      </c>
      <c r="C86" s="573" t="s">
        <v>1600</v>
      </c>
      <c r="D86" s="573"/>
      <c r="E86" s="573"/>
      <c r="F86" s="573"/>
      <c r="G86" s="573"/>
      <c r="H86" s="573"/>
      <c r="I86" s="98" t="s">
        <v>211</v>
      </c>
      <c r="J86" s="106" t="s">
        <v>214</v>
      </c>
      <c r="K86" s="98" t="s">
        <v>211</v>
      </c>
      <c r="L86" s="106" t="s">
        <v>213</v>
      </c>
      <c r="M86" s="214">
        <f>COUNTIF(K86,Data!$A$1)</f>
        <v>0</v>
      </c>
      <c r="N86" s="106"/>
      <c r="P86" s="107">
        <f>SUM(K87*4)</f>
        <v>0</v>
      </c>
    </row>
    <row r="87" spans="1:16" s="453" customFormat="1" thickBot="1" x14ac:dyDescent="0.25">
      <c r="I87" s="107">
        <f>COUNTIF(I78:I86,Data!$A$1)</f>
        <v>0</v>
      </c>
      <c r="J87" s="107">
        <f>COUNTIF(J78:J85,Data!$A$1)</f>
        <v>0</v>
      </c>
      <c r="K87" s="107">
        <f>COUNTIF(K78:K85,Data!$A$1)</f>
        <v>0</v>
      </c>
      <c r="L87" s="107">
        <f>COUNTIF(L78:L85,Data!$A$1)</f>
        <v>0</v>
      </c>
      <c r="M87" s="107">
        <f>COUNTIF(M78:M85,Data!$A$1)</f>
        <v>0</v>
      </c>
      <c r="N87" s="107">
        <f>COUNTIF(N78:N85,Data!$A$1)</f>
        <v>0</v>
      </c>
      <c r="O87" s="107">
        <f>COUNTIF(O78:O85,Data!$A$1)</f>
        <v>0</v>
      </c>
      <c r="P87" s="107">
        <f>SUM(I87:K87,M86,M87:N87)</f>
        <v>0</v>
      </c>
    </row>
    <row r="88" spans="1:16" s="108" customFormat="1" ht="17" thickBot="1" x14ac:dyDescent="0.25">
      <c r="G88" s="681" t="s">
        <v>1584</v>
      </c>
      <c r="H88" s="681"/>
      <c r="I88" s="681"/>
      <c r="J88" s="682"/>
      <c r="K88" s="574">
        <f>SUM(N88,K87)</f>
        <v>0</v>
      </c>
      <c r="L88" s="575"/>
      <c r="M88" s="116"/>
      <c r="N88" s="109">
        <f>SUM(O88*5)</f>
        <v>0</v>
      </c>
      <c r="O88" s="114">
        <f>SUM(J87,M86)</f>
        <v>0</v>
      </c>
      <c r="P88" s="116">
        <f>SUM(P87*5)</f>
        <v>0</v>
      </c>
    </row>
    <row r="89" spans="1:16" s="453" customFormat="1" ht="14" x14ac:dyDescent="0.2">
      <c r="B89" s="449"/>
      <c r="C89" s="449"/>
      <c r="D89" s="110"/>
      <c r="F89" s="110"/>
      <c r="G89" s="463"/>
      <c r="H89" s="463"/>
      <c r="I89" s="111"/>
      <c r="J89" s="111"/>
      <c r="K89" s="111"/>
      <c r="L89" s="243"/>
      <c r="M89" s="243"/>
      <c r="N89" s="463"/>
    </row>
    <row r="90" spans="1:16" s="453" customFormat="1" ht="14" x14ac:dyDescent="0.2">
      <c r="A90" s="471">
        <v>3</v>
      </c>
      <c r="B90" s="113" t="s">
        <v>266</v>
      </c>
      <c r="C90" s="571" t="s">
        <v>1608</v>
      </c>
      <c r="D90" s="571"/>
      <c r="E90" s="571"/>
      <c r="F90" s="571"/>
      <c r="G90" s="571"/>
      <c r="H90" s="571"/>
      <c r="I90" s="166" t="s">
        <v>211</v>
      </c>
      <c r="J90" s="166" t="s">
        <v>211</v>
      </c>
      <c r="K90" s="166" t="s">
        <v>211</v>
      </c>
      <c r="L90" s="166" t="s">
        <v>211</v>
      </c>
      <c r="M90" s="166" t="s">
        <v>211</v>
      </c>
      <c r="N90" s="166" t="s">
        <v>211</v>
      </c>
      <c r="O90" s="166" t="s">
        <v>211</v>
      </c>
    </row>
    <row r="91" spans="1:16" s="453" customFormat="1" ht="14" x14ac:dyDescent="0.2">
      <c r="B91" s="113" t="s">
        <v>267</v>
      </c>
      <c r="C91" s="571" t="s">
        <v>1609</v>
      </c>
      <c r="D91" s="571"/>
      <c r="E91" s="571"/>
      <c r="F91" s="571"/>
      <c r="G91" s="571"/>
      <c r="H91" s="571"/>
      <c r="I91" s="166" t="s">
        <v>211</v>
      </c>
      <c r="J91" s="166" t="s">
        <v>211</v>
      </c>
      <c r="K91" s="166" t="s">
        <v>211</v>
      </c>
      <c r="L91" s="166" t="s">
        <v>211</v>
      </c>
      <c r="M91" s="166" t="s">
        <v>211</v>
      </c>
      <c r="N91" s="166" t="s">
        <v>211</v>
      </c>
      <c r="O91" s="166" t="s">
        <v>211</v>
      </c>
    </row>
    <row r="92" spans="1:16" s="453" customFormat="1" ht="14" x14ac:dyDescent="0.2">
      <c r="B92" s="113" t="s">
        <v>268</v>
      </c>
      <c r="C92" s="571" t="s">
        <v>1610</v>
      </c>
      <c r="D92" s="571"/>
      <c r="E92" s="571"/>
      <c r="F92" s="571"/>
      <c r="G92" s="571"/>
      <c r="H92" s="571"/>
      <c r="I92" s="166" t="s">
        <v>211</v>
      </c>
      <c r="J92" s="166" t="s">
        <v>211</v>
      </c>
      <c r="K92" s="166" t="s">
        <v>211</v>
      </c>
      <c r="L92" s="166" t="s">
        <v>211</v>
      </c>
      <c r="M92" s="166" t="s">
        <v>211</v>
      </c>
      <c r="N92" s="166" t="s">
        <v>211</v>
      </c>
      <c r="O92" s="166" t="s">
        <v>211</v>
      </c>
    </row>
    <row r="93" spans="1:16" s="453" customFormat="1" ht="14" x14ac:dyDescent="0.2">
      <c r="B93" s="113" t="s">
        <v>269</v>
      </c>
      <c r="C93" s="571" t="s">
        <v>1611</v>
      </c>
      <c r="D93" s="571"/>
      <c r="E93" s="571"/>
      <c r="F93" s="571"/>
      <c r="G93" s="571"/>
      <c r="H93" s="571"/>
      <c r="I93" s="166" t="s">
        <v>211</v>
      </c>
      <c r="J93" s="166" t="s">
        <v>211</v>
      </c>
      <c r="K93" s="166" t="s">
        <v>211</v>
      </c>
      <c r="L93" s="166" t="s">
        <v>211</v>
      </c>
      <c r="M93" s="166" t="s">
        <v>211</v>
      </c>
      <c r="N93" s="166" t="s">
        <v>211</v>
      </c>
      <c r="O93" s="166" t="s">
        <v>211</v>
      </c>
    </row>
    <row r="94" spans="1:16" s="453" customFormat="1" ht="14" x14ac:dyDescent="0.2">
      <c r="B94" s="113" t="s">
        <v>272</v>
      </c>
      <c r="C94" s="571" t="s">
        <v>1612</v>
      </c>
      <c r="D94" s="571"/>
      <c r="E94" s="571"/>
      <c r="F94" s="571"/>
      <c r="G94" s="571"/>
      <c r="H94" s="571"/>
      <c r="I94" s="166" t="s">
        <v>211</v>
      </c>
      <c r="J94" s="166" t="s">
        <v>211</v>
      </c>
      <c r="K94" s="166" t="s">
        <v>211</v>
      </c>
      <c r="L94" s="166" t="s">
        <v>211</v>
      </c>
      <c r="M94" s="166" t="s">
        <v>211</v>
      </c>
      <c r="N94" s="166" t="s">
        <v>211</v>
      </c>
      <c r="O94" s="166" t="s">
        <v>211</v>
      </c>
    </row>
    <row r="95" spans="1:16" s="453" customFormat="1" ht="14" x14ac:dyDescent="0.2">
      <c r="B95" s="113" t="s">
        <v>273</v>
      </c>
      <c r="C95" s="571" t="s">
        <v>1613</v>
      </c>
      <c r="D95" s="571"/>
      <c r="E95" s="571"/>
      <c r="F95" s="571"/>
      <c r="G95" s="571"/>
      <c r="H95" s="571"/>
      <c r="I95" s="166" t="s">
        <v>211</v>
      </c>
      <c r="J95" s="166" t="s">
        <v>211</v>
      </c>
      <c r="K95" s="166" t="s">
        <v>211</v>
      </c>
      <c r="L95" s="166" t="s">
        <v>211</v>
      </c>
      <c r="M95" s="166" t="s">
        <v>211</v>
      </c>
      <c r="N95" s="166" t="s">
        <v>211</v>
      </c>
      <c r="O95" s="166" t="s">
        <v>211</v>
      </c>
    </row>
    <row r="96" spans="1:16" s="453" customFormat="1" ht="14" x14ac:dyDescent="0.2">
      <c r="B96" s="113" t="s">
        <v>274</v>
      </c>
      <c r="C96" s="571" t="s">
        <v>1614</v>
      </c>
      <c r="D96" s="571"/>
      <c r="E96" s="571"/>
      <c r="F96" s="571"/>
      <c r="G96" s="571"/>
      <c r="H96" s="571"/>
      <c r="I96" s="166" t="s">
        <v>211</v>
      </c>
      <c r="J96" s="166" t="s">
        <v>211</v>
      </c>
      <c r="K96" s="166" t="s">
        <v>211</v>
      </c>
      <c r="L96" s="166" t="s">
        <v>211</v>
      </c>
      <c r="M96" s="166" t="s">
        <v>211</v>
      </c>
      <c r="N96" s="166" t="s">
        <v>211</v>
      </c>
      <c r="O96" s="166" t="s">
        <v>211</v>
      </c>
    </row>
    <row r="97" spans="1:16" s="453" customFormat="1" ht="14" x14ac:dyDescent="0.2">
      <c r="B97" s="113" t="s">
        <v>275</v>
      </c>
      <c r="C97" s="571" t="s">
        <v>1615</v>
      </c>
      <c r="D97" s="571"/>
      <c r="E97" s="571"/>
      <c r="F97" s="571"/>
      <c r="G97" s="571"/>
      <c r="H97" s="571"/>
      <c r="I97" s="166" t="s">
        <v>211</v>
      </c>
      <c r="J97" s="166" t="s">
        <v>211</v>
      </c>
      <c r="K97" s="166" t="s">
        <v>211</v>
      </c>
      <c r="L97" s="166" t="s">
        <v>211</v>
      </c>
      <c r="M97" s="166" t="s">
        <v>211</v>
      </c>
      <c r="N97" s="166" t="s">
        <v>211</v>
      </c>
      <c r="O97" s="166" t="s">
        <v>211</v>
      </c>
    </row>
    <row r="98" spans="1:16" s="453" customFormat="1" ht="14" x14ac:dyDescent="0.2">
      <c r="B98" s="113" t="s">
        <v>276</v>
      </c>
      <c r="C98" s="573" t="s">
        <v>1600</v>
      </c>
      <c r="D98" s="573"/>
      <c r="E98" s="573"/>
      <c r="F98" s="573"/>
      <c r="G98" s="573"/>
      <c r="H98" s="573"/>
      <c r="I98" s="98" t="s">
        <v>211</v>
      </c>
      <c r="J98" s="106" t="s">
        <v>214</v>
      </c>
      <c r="K98" s="98" t="s">
        <v>211</v>
      </c>
      <c r="L98" s="106" t="s">
        <v>213</v>
      </c>
      <c r="M98" s="214">
        <f>COUNTIF(K98,Data!$A$1)</f>
        <v>0</v>
      </c>
      <c r="N98" s="106"/>
      <c r="P98" s="107">
        <f>SUM(K99*4)</f>
        <v>0</v>
      </c>
    </row>
    <row r="99" spans="1:16" s="453" customFormat="1" thickBot="1" x14ac:dyDescent="0.25">
      <c r="I99" s="107">
        <f>COUNTIF(I90:I98,Data!$A$1)</f>
        <v>0</v>
      </c>
      <c r="J99" s="107">
        <f>COUNTIF(J90:J97,Data!$A$1)</f>
        <v>0</v>
      </c>
      <c r="K99" s="107">
        <f>COUNTIF(K90:K97,Data!$A$1)</f>
        <v>0</v>
      </c>
      <c r="L99" s="107">
        <f>COUNTIF(L90:L97,Data!$A$1)</f>
        <v>0</v>
      </c>
      <c r="M99" s="107">
        <f>COUNTIF(M90:M97,Data!$A$1)</f>
        <v>0</v>
      </c>
      <c r="N99" s="107">
        <f>COUNTIF(N90:N97,Data!$A$1)</f>
        <v>0</v>
      </c>
      <c r="O99" s="107">
        <f>COUNTIF(O90:O97,Data!$A$1)</f>
        <v>0</v>
      </c>
      <c r="P99" s="107">
        <f>SUM(I99:K99,M98,M99:N99)</f>
        <v>0</v>
      </c>
    </row>
    <row r="100" spans="1:16" s="108" customFormat="1" ht="17" thickBot="1" x14ac:dyDescent="0.25">
      <c r="G100" s="578" t="s">
        <v>1584</v>
      </c>
      <c r="H100" s="578"/>
      <c r="I100" s="578"/>
      <c r="J100" s="579"/>
      <c r="K100" s="574">
        <f>SUM(K99,N100)</f>
        <v>0</v>
      </c>
      <c r="L100" s="575"/>
      <c r="M100" s="116"/>
      <c r="N100" s="109">
        <f>SUM(O100*5)</f>
        <v>0</v>
      </c>
      <c r="O100" s="114">
        <f>SUM(J99,M98)</f>
        <v>0</v>
      </c>
      <c r="P100" s="116">
        <f>SUM(P99*5)</f>
        <v>0</v>
      </c>
    </row>
    <row r="101" spans="1:16" s="453" customFormat="1" ht="14" x14ac:dyDescent="0.2">
      <c r="B101" s="449"/>
      <c r="C101" s="449"/>
      <c r="D101" s="110"/>
      <c r="F101" s="110"/>
      <c r="G101" s="463"/>
      <c r="H101" s="463"/>
      <c r="I101" s="111"/>
      <c r="J101" s="111"/>
      <c r="K101" s="111"/>
      <c r="L101" s="243"/>
      <c r="M101" s="243"/>
      <c r="N101" s="463"/>
    </row>
    <row r="102" spans="1:16" s="453" customFormat="1" ht="14" x14ac:dyDescent="0.2">
      <c r="A102" s="471">
        <v>4</v>
      </c>
      <c r="B102" s="113" t="s">
        <v>266</v>
      </c>
      <c r="C102" s="571" t="s">
        <v>1616</v>
      </c>
      <c r="D102" s="571"/>
      <c r="E102" s="571"/>
      <c r="F102" s="571"/>
      <c r="G102" s="571"/>
      <c r="H102" s="571"/>
      <c r="I102" s="166" t="s">
        <v>211</v>
      </c>
      <c r="J102" s="166" t="s">
        <v>211</v>
      </c>
      <c r="K102" s="166" t="s">
        <v>211</v>
      </c>
      <c r="L102" s="166" t="s">
        <v>211</v>
      </c>
      <c r="M102" s="166" t="s">
        <v>211</v>
      </c>
      <c r="N102" s="166" t="s">
        <v>211</v>
      </c>
      <c r="O102" s="166" t="s">
        <v>211</v>
      </c>
    </row>
    <row r="103" spans="1:16" s="453" customFormat="1" ht="14" x14ac:dyDescent="0.2">
      <c r="B103" s="113" t="s">
        <v>267</v>
      </c>
      <c r="C103" s="571" t="s">
        <v>1617</v>
      </c>
      <c r="D103" s="571"/>
      <c r="E103" s="571"/>
      <c r="F103" s="571"/>
      <c r="G103" s="571"/>
      <c r="H103" s="571"/>
      <c r="I103" s="166" t="s">
        <v>211</v>
      </c>
      <c r="J103" s="166" t="s">
        <v>211</v>
      </c>
      <c r="K103" s="166" t="s">
        <v>211</v>
      </c>
      <c r="L103" s="166" t="s">
        <v>211</v>
      </c>
      <c r="M103" s="166" t="s">
        <v>211</v>
      </c>
      <c r="N103" s="166" t="s">
        <v>211</v>
      </c>
      <c r="O103" s="166" t="s">
        <v>211</v>
      </c>
    </row>
    <row r="104" spans="1:16" s="453" customFormat="1" ht="14" x14ac:dyDescent="0.2">
      <c r="B104" s="113" t="s">
        <v>268</v>
      </c>
      <c r="C104" s="571" t="s">
        <v>1618</v>
      </c>
      <c r="D104" s="571"/>
      <c r="E104" s="571"/>
      <c r="F104" s="571"/>
      <c r="G104" s="571"/>
      <c r="H104" s="571"/>
      <c r="I104" s="166" t="s">
        <v>211</v>
      </c>
      <c r="J104" s="166" t="s">
        <v>211</v>
      </c>
      <c r="K104" s="166" t="s">
        <v>211</v>
      </c>
      <c r="L104" s="166" t="s">
        <v>211</v>
      </c>
      <c r="M104" s="166" t="s">
        <v>211</v>
      </c>
      <c r="N104" s="166" t="s">
        <v>211</v>
      </c>
      <c r="O104" s="166" t="s">
        <v>211</v>
      </c>
    </row>
    <row r="105" spans="1:16" s="453" customFormat="1" ht="14" x14ac:dyDescent="0.2">
      <c r="B105" s="113" t="s">
        <v>269</v>
      </c>
      <c r="C105" s="571" t="s">
        <v>1595</v>
      </c>
      <c r="D105" s="571"/>
      <c r="E105" s="571"/>
      <c r="F105" s="571"/>
      <c r="G105" s="571"/>
      <c r="H105" s="571"/>
      <c r="I105" s="166" t="s">
        <v>211</v>
      </c>
      <c r="J105" s="166" t="s">
        <v>211</v>
      </c>
      <c r="K105" s="166" t="s">
        <v>211</v>
      </c>
      <c r="L105" s="166" t="s">
        <v>211</v>
      </c>
      <c r="M105" s="166" t="s">
        <v>211</v>
      </c>
      <c r="N105" s="166" t="s">
        <v>211</v>
      </c>
      <c r="O105" s="166" t="s">
        <v>211</v>
      </c>
    </row>
    <row r="106" spans="1:16" s="453" customFormat="1" ht="14" x14ac:dyDescent="0.2">
      <c r="B106" s="113" t="s">
        <v>272</v>
      </c>
      <c r="C106" s="571" t="s">
        <v>1619</v>
      </c>
      <c r="D106" s="571"/>
      <c r="E106" s="571"/>
      <c r="F106" s="571"/>
      <c r="G106" s="571"/>
      <c r="H106" s="571"/>
      <c r="I106" s="166" t="s">
        <v>211</v>
      </c>
      <c r="J106" s="166" t="s">
        <v>211</v>
      </c>
      <c r="K106" s="166" t="s">
        <v>211</v>
      </c>
      <c r="L106" s="166" t="s">
        <v>211</v>
      </c>
      <c r="M106" s="166" t="s">
        <v>211</v>
      </c>
      <c r="N106" s="166" t="s">
        <v>211</v>
      </c>
      <c r="O106" s="166" t="s">
        <v>211</v>
      </c>
    </row>
    <row r="107" spans="1:16" s="453" customFormat="1" ht="14" x14ac:dyDescent="0.2">
      <c r="B107" s="113" t="s">
        <v>273</v>
      </c>
      <c r="C107" s="571" t="s">
        <v>1620</v>
      </c>
      <c r="D107" s="571"/>
      <c r="E107" s="571"/>
      <c r="F107" s="571"/>
      <c r="G107" s="571"/>
      <c r="H107" s="571"/>
      <c r="I107" s="166" t="s">
        <v>211</v>
      </c>
      <c r="J107" s="166" t="s">
        <v>211</v>
      </c>
      <c r="K107" s="166" t="s">
        <v>211</v>
      </c>
      <c r="L107" s="166" t="s">
        <v>211</v>
      </c>
      <c r="M107" s="166" t="s">
        <v>211</v>
      </c>
      <c r="N107" s="166" t="s">
        <v>211</v>
      </c>
      <c r="O107" s="166" t="s">
        <v>211</v>
      </c>
    </row>
    <row r="108" spans="1:16" s="453" customFormat="1" ht="14" x14ac:dyDescent="0.2">
      <c r="B108" s="113" t="s">
        <v>277</v>
      </c>
      <c r="C108" s="571" t="s">
        <v>1613</v>
      </c>
      <c r="D108" s="571"/>
      <c r="E108" s="571"/>
      <c r="F108" s="571"/>
      <c r="G108" s="571"/>
      <c r="H108" s="571"/>
      <c r="I108" s="166" t="s">
        <v>211</v>
      </c>
      <c r="J108" s="166" t="s">
        <v>211</v>
      </c>
      <c r="K108" s="166" t="s">
        <v>211</v>
      </c>
      <c r="L108" s="166" t="s">
        <v>211</v>
      </c>
      <c r="M108" s="166" t="s">
        <v>211</v>
      </c>
      <c r="N108" s="166" t="s">
        <v>211</v>
      </c>
      <c r="O108" s="166" t="s">
        <v>211</v>
      </c>
    </row>
    <row r="109" spans="1:16" s="453" customFormat="1" ht="12.75" customHeight="1" x14ac:dyDescent="0.2">
      <c r="B109" s="113" t="s">
        <v>278</v>
      </c>
      <c r="C109" s="610" t="s">
        <v>1621</v>
      </c>
      <c r="D109" s="610"/>
      <c r="E109" s="610"/>
      <c r="F109" s="610"/>
      <c r="G109" s="610"/>
      <c r="H109" s="610"/>
      <c r="I109" s="186" t="s">
        <v>211</v>
      </c>
      <c r="J109" s="166" t="s">
        <v>211</v>
      </c>
      <c r="K109" s="166" t="s">
        <v>211</v>
      </c>
      <c r="L109" s="166" t="s">
        <v>211</v>
      </c>
      <c r="M109" s="166" t="s">
        <v>211</v>
      </c>
      <c r="N109" s="166" t="s">
        <v>211</v>
      </c>
      <c r="O109" s="166" t="s">
        <v>211</v>
      </c>
    </row>
    <row r="110" spans="1:16" s="453" customFormat="1" ht="14" x14ac:dyDescent="0.2">
      <c r="B110" s="113" t="s">
        <v>274</v>
      </c>
      <c r="C110" s="571" t="s">
        <v>1615</v>
      </c>
      <c r="D110" s="571"/>
      <c r="E110" s="571"/>
      <c r="F110" s="571"/>
      <c r="G110" s="571"/>
      <c r="H110" s="571"/>
      <c r="I110" s="166" t="s">
        <v>211</v>
      </c>
      <c r="J110" s="166" t="s">
        <v>211</v>
      </c>
      <c r="K110" s="166" t="s">
        <v>211</v>
      </c>
      <c r="L110" s="166" t="s">
        <v>211</v>
      </c>
      <c r="M110" s="166" t="s">
        <v>211</v>
      </c>
      <c r="N110" s="166" t="s">
        <v>211</v>
      </c>
      <c r="O110" s="166" t="s">
        <v>211</v>
      </c>
    </row>
    <row r="111" spans="1:16" s="453" customFormat="1" ht="14" x14ac:dyDescent="0.2">
      <c r="B111" s="113" t="s">
        <v>275</v>
      </c>
      <c r="C111" s="573" t="s">
        <v>1600</v>
      </c>
      <c r="D111" s="573"/>
      <c r="E111" s="573"/>
      <c r="F111" s="573"/>
      <c r="G111" s="573"/>
      <c r="H111" s="573"/>
      <c r="I111" s="98" t="s">
        <v>211</v>
      </c>
      <c r="J111" s="106" t="s">
        <v>214</v>
      </c>
      <c r="K111" s="98" t="s">
        <v>211</v>
      </c>
      <c r="L111" s="106" t="s">
        <v>213</v>
      </c>
      <c r="M111" s="213">
        <f>COUNTIF(K111,Data!$A$1)</f>
        <v>0</v>
      </c>
      <c r="N111" s="213"/>
      <c r="O111" s="107"/>
      <c r="P111" s="107">
        <f>SUM(K112*4)</f>
        <v>0</v>
      </c>
    </row>
    <row r="112" spans="1:16" s="453" customFormat="1" thickBot="1" x14ac:dyDescent="0.25">
      <c r="G112" s="107"/>
      <c r="H112" s="107"/>
      <c r="I112" s="107">
        <f>COUNTIF(I102:I111,Data!$A$1)</f>
        <v>0</v>
      </c>
      <c r="J112" s="107">
        <f>COUNTIF(J102:J110,Data!$A$1)</f>
        <v>0</v>
      </c>
      <c r="K112" s="107">
        <f>COUNTIF(K102:K110,Data!$A$1)</f>
        <v>0</v>
      </c>
      <c r="L112" s="107">
        <f>COUNTIF(L102:L110,Data!$A$1)</f>
        <v>0</v>
      </c>
      <c r="M112" s="107">
        <f>COUNTIF(M102:M110,Data!$A$1)</f>
        <v>0</v>
      </c>
      <c r="N112" s="107">
        <f>COUNTIF(N102:N110,Data!$A$1)</f>
        <v>0</v>
      </c>
      <c r="O112" s="107">
        <f>COUNTIF(O102:O110,Data!$A$1)</f>
        <v>0</v>
      </c>
      <c r="P112" s="107">
        <f>SUM(I112:K112,M111,M112:N112)</f>
        <v>0</v>
      </c>
    </row>
    <row r="113" spans="1:16" s="108" customFormat="1" ht="17" thickBot="1" x14ac:dyDescent="0.25">
      <c r="G113" s="578" t="s">
        <v>1585</v>
      </c>
      <c r="H113" s="578"/>
      <c r="I113" s="578"/>
      <c r="J113" s="579"/>
      <c r="K113" s="574">
        <f>SUM(K112,N113)</f>
        <v>0</v>
      </c>
      <c r="L113" s="575"/>
      <c r="M113" s="116"/>
      <c r="N113" s="109">
        <f>SUM(O113*5)</f>
        <v>0</v>
      </c>
      <c r="O113" s="114">
        <f>SUM(J112,M111)</f>
        <v>0</v>
      </c>
      <c r="P113" s="116">
        <f>SUM(P112*5)</f>
        <v>0</v>
      </c>
    </row>
    <row r="114" spans="1:16" s="453" customFormat="1" ht="14" x14ac:dyDescent="0.2">
      <c r="B114" s="463"/>
      <c r="C114" s="463"/>
      <c r="D114" s="443"/>
      <c r="F114" s="463"/>
      <c r="G114" s="112"/>
      <c r="H114" s="463"/>
    </row>
    <row r="115" spans="1:16" s="453" customFormat="1" ht="14" x14ac:dyDescent="0.2">
      <c r="A115" s="471">
        <v>5</v>
      </c>
      <c r="B115" s="113" t="s">
        <v>266</v>
      </c>
      <c r="C115" s="571" t="s">
        <v>1622</v>
      </c>
      <c r="D115" s="571"/>
      <c r="E115" s="571"/>
      <c r="F115" s="571"/>
      <c r="G115" s="571"/>
      <c r="H115" s="571"/>
      <c r="I115" s="166" t="s">
        <v>211</v>
      </c>
      <c r="J115" s="166" t="s">
        <v>211</v>
      </c>
      <c r="K115" s="166" t="s">
        <v>211</v>
      </c>
      <c r="L115" s="166" t="s">
        <v>211</v>
      </c>
      <c r="M115" s="166" t="s">
        <v>211</v>
      </c>
      <c r="N115" s="166" t="s">
        <v>211</v>
      </c>
      <c r="O115" s="166" t="s">
        <v>211</v>
      </c>
    </row>
    <row r="116" spans="1:16" s="453" customFormat="1" ht="14" x14ac:dyDescent="0.2">
      <c r="B116" s="113" t="s">
        <v>267</v>
      </c>
      <c r="C116" s="571" t="s">
        <v>1623</v>
      </c>
      <c r="D116" s="571"/>
      <c r="E116" s="571"/>
      <c r="F116" s="571"/>
      <c r="G116" s="571"/>
      <c r="H116" s="571"/>
      <c r="I116" s="166" t="s">
        <v>211</v>
      </c>
      <c r="J116" s="166" t="s">
        <v>211</v>
      </c>
      <c r="K116" s="166" t="s">
        <v>211</v>
      </c>
      <c r="L116" s="166" t="s">
        <v>211</v>
      </c>
      <c r="M116" s="166" t="s">
        <v>211</v>
      </c>
      <c r="N116" s="166" t="s">
        <v>211</v>
      </c>
      <c r="O116" s="166" t="s">
        <v>211</v>
      </c>
    </row>
    <row r="117" spans="1:16" s="453" customFormat="1" ht="14" x14ac:dyDescent="0.2">
      <c r="B117" s="113" t="s">
        <v>268</v>
      </c>
      <c r="C117" s="571" t="s">
        <v>1624</v>
      </c>
      <c r="D117" s="571"/>
      <c r="E117" s="571"/>
      <c r="F117" s="571"/>
      <c r="G117" s="571"/>
      <c r="H117" s="571"/>
      <c r="I117" s="166" t="s">
        <v>211</v>
      </c>
      <c r="J117" s="166" t="s">
        <v>211</v>
      </c>
      <c r="K117" s="166" t="s">
        <v>211</v>
      </c>
      <c r="L117" s="166" t="s">
        <v>211</v>
      </c>
      <c r="M117" s="166" t="s">
        <v>211</v>
      </c>
      <c r="N117" s="166" t="s">
        <v>211</v>
      </c>
      <c r="O117" s="166" t="s">
        <v>211</v>
      </c>
    </row>
    <row r="118" spans="1:16" s="453" customFormat="1" ht="14" x14ac:dyDescent="0.2">
      <c r="B118" s="113" t="s">
        <v>269</v>
      </c>
      <c r="C118" s="571" t="s">
        <v>1625</v>
      </c>
      <c r="D118" s="571"/>
      <c r="E118" s="571"/>
      <c r="F118" s="571"/>
      <c r="G118" s="571"/>
      <c r="H118" s="571"/>
      <c r="I118" s="186" t="s">
        <v>211</v>
      </c>
      <c r="J118" s="166" t="s">
        <v>211</v>
      </c>
      <c r="K118" s="166" t="s">
        <v>211</v>
      </c>
      <c r="L118" s="166" t="s">
        <v>211</v>
      </c>
      <c r="M118" s="166" t="s">
        <v>211</v>
      </c>
      <c r="N118" s="166" t="s">
        <v>211</v>
      </c>
      <c r="O118" s="166" t="s">
        <v>211</v>
      </c>
    </row>
    <row r="119" spans="1:16" s="453" customFormat="1" ht="14" x14ac:dyDescent="0.2">
      <c r="B119" s="113" t="s">
        <v>272</v>
      </c>
      <c r="C119" s="571" t="s">
        <v>1626</v>
      </c>
      <c r="D119" s="571"/>
      <c r="E119" s="571"/>
      <c r="F119" s="571"/>
      <c r="G119" s="571"/>
      <c r="H119" s="571"/>
      <c r="I119" s="166" t="s">
        <v>211</v>
      </c>
      <c r="J119" s="166" t="s">
        <v>211</v>
      </c>
      <c r="K119" s="166" t="s">
        <v>211</v>
      </c>
      <c r="L119" s="166" t="s">
        <v>211</v>
      </c>
      <c r="M119" s="166" t="s">
        <v>211</v>
      </c>
      <c r="N119" s="166" t="s">
        <v>211</v>
      </c>
      <c r="O119" s="166" t="s">
        <v>211</v>
      </c>
    </row>
    <row r="120" spans="1:16" s="453" customFormat="1" ht="14" x14ac:dyDescent="0.2">
      <c r="B120" s="113" t="s">
        <v>274</v>
      </c>
      <c r="C120" s="571" t="s">
        <v>1627</v>
      </c>
      <c r="D120" s="571"/>
      <c r="E120" s="571"/>
      <c r="F120" s="571"/>
      <c r="G120" s="571"/>
      <c r="H120" s="571"/>
      <c r="I120" s="166" t="s">
        <v>211</v>
      </c>
      <c r="J120" s="166" t="s">
        <v>211</v>
      </c>
      <c r="K120" s="166" t="s">
        <v>211</v>
      </c>
      <c r="L120" s="166" t="s">
        <v>211</v>
      </c>
      <c r="M120" s="166" t="s">
        <v>211</v>
      </c>
      <c r="N120" s="166" t="s">
        <v>211</v>
      </c>
      <c r="O120" s="166" t="s">
        <v>211</v>
      </c>
    </row>
    <row r="121" spans="1:16" s="453" customFormat="1" ht="14" x14ac:dyDescent="0.2">
      <c r="B121" s="113" t="s">
        <v>19</v>
      </c>
      <c r="C121" s="571" t="s">
        <v>1597</v>
      </c>
      <c r="D121" s="571"/>
      <c r="E121" s="571"/>
      <c r="F121" s="571"/>
      <c r="G121" s="571"/>
      <c r="H121" s="571"/>
      <c r="I121" s="166" t="s">
        <v>211</v>
      </c>
      <c r="J121" s="166" t="s">
        <v>211</v>
      </c>
      <c r="K121" s="166" t="s">
        <v>211</v>
      </c>
      <c r="L121" s="166" t="s">
        <v>211</v>
      </c>
      <c r="M121" s="166" t="s">
        <v>211</v>
      </c>
      <c r="N121" s="166" t="s">
        <v>211</v>
      </c>
      <c r="O121" s="166" t="s">
        <v>211</v>
      </c>
    </row>
    <row r="122" spans="1:16" s="453" customFormat="1" ht="14" x14ac:dyDescent="0.2">
      <c r="B122" s="113" t="s">
        <v>275</v>
      </c>
      <c r="C122" s="571" t="s">
        <v>1628</v>
      </c>
      <c r="D122" s="571"/>
      <c r="E122" s="571"/>
      <c r="F122" s="571"/>
      <c r="G122" s="571"/>
      <c r="H122" s="571"/>
      <c r="I122" s="166" t="s">
        <v>211</v>
      </c>
      <c r="J122" s="166" t="s">
        <v>211</v>
      </c>
      <c r="K122" s="166" t="s">
        <v>211</v>
      </c>
      <c r="L122" s="166" t="s">
        <v>211</v>
      </c>
      <c r="M122" s="166" t="s">
        <v>211</v>
      </c>
      <c r="N122" s="166" t="s">
        <v>211</v>
      </c>
      <c r="O122" s="166" t="s">
        <v>211</v>
      </c>
    </row>
    <row r="123" spans="1:16" s="453" customFormat="1" ht="14" x14ac:dyDescent="0.2">
      <c r="B123" s="113" t="s">
        <v>276</v>
      </c>
      <c r="C123" s="573" t="s">
        <v>1600</v>
      </c>
      <c r="D123" s="573"/>
      <c r="E123" s="573"/>
      <c r="F123" s="573"/>
      <c r="G123" s="573"/>
      <c r="H123" s="573"/>
      <c r="I123" s="98" t="s">
        <v>211</v>
      </c>
      <c r="J123" s="106" t="s">
        <v>214</v>
      </c>
      <c r="K123" s="98" t="s">
        <v>211</v>
      </c>
      <c r="L123" s="106" t="s">
        <v>213</v>
      </c>
      <c r="M123" s="213">
        <f>COUNTIF(K123,Data!$A$1)</f>
        <v>0</v>
      </c>
      <c r="N123" s="213"/>
      <c r="O123" s="107"/>
      <c r="P123" s="107">
        <f>SUM(K124*4)</f>
        <v>0</v>
      </c>
    </row>
    <row r="124" spans="1:16" s="108" customFormat="1" ht="17" thickBot="1" x14ac:dyDescent="0.25">
      <c r="F124" s="115" t="s">
        <v>312</v>
      </c>
      <c r="G124" s="101" t="s">
        <v>215</v>
      </c>
      <c r="H124" s="116"/>
      <c r="I124" s="107">
        <f>COUNTIF(I115:I123,Data!$A$1)</f>
        <v>0</v>
      </c>
      <c r="J124" s="107">
        <f>COUNTIF(J115:J122,Data!$A$1)</f>
        <v>0</v>
      </c>
      <c r="K124" s="107">
        <f>COUNTIF(K115:K122,Data!$A$1)</f>
        <v>0</v>
      </c>
      <c r="L124" s="107">
        <f>COUNTIF(L115:L122,Data!$A$1)</f>
        <v>0</v>
      </c>
      <c r="M124" s="107">
        <f>COUNTIF(M115:M122,Data!$A$1)</f>
        <v>0</v>
      </c>
      <c r="N124" s="107">
        <f>COUNTIF(N115:N122,Data!$A$1)</f>
        <v>0</v>
      </c>
      <c r="O124" s="107">
        <f>COUNTIF(O115:O122,Data!$A$1)</f>
        <v>0</v>
      </c>
      <c r="P124" s="107">
        <f>SUM(I124:K124,M123,M124:N124)</f>
        <v>0</v>
      </c>
    </row>
    <row r="125" spans="1:16" s="108" customFormat="1" ht="17" thickBot="1" x14ac:dyDescent="0.25">
      <c r="G125" s="578" t="s">
        <v>1584</v>
      </c>
      <c r="H125" s="578"/>
      <c r="I125" s="578"/>
      <c r="J125" s="579"/>
      <c r="K125" s="574">
        <f>SUM(N125,K124)</f>
        <v>0</v>
      </c>
      <c r="L125" s="575"/>
      <c r="M125" s="116"/>
      <c r="N125" s="109">
        <f>SUM(O125*5)</f>
        <v>0</v>
      </c>
      <c r="O125" s="114">
        <f>SUM(J124,M123)</f>
        <v>0</v>
      </c>
      <c r="P125" s="116">
        <f>SUM(P124*5)</f>
        <v>0</v>
      </c>
    </row>
    <row r="126" spans="1:16" s="453" customFormat="1" ht="14" x14ac:dyDescent="0.2">
      <c r="B126" s="463"/>
      <c r="C126" s="463"/>
      <c r="D126" s="443"/>
      <c r="F126" s="463"/>
      <c r="G126" s="112"/>
      <c r="H126" s="463"/>
    </row>
    <row r="127" spans="1:16" s="453" customFormat="1" ht="14" x14ac:dyDescent="0.2">
      <c r="A127" s="471">
        <v>6</v>
      </c>
      <c r="B127" s="113" t="s">
        <v>266</v>
      </c>
      <c r="C127" s="571" t="s">
        <v>1629</v>
      </c>
      <c r="D127" s="571"/>
      <c r="E127" s="571"/>
      <c r="F127" s="571"/>
      <c r="G127" s="571"/>
      <c r="H127" s="571"/>
      <c r="I127" s="166" t="s">
        <v>211</v>
      </c>
      <c r="J127" s="166" t="s">
        <v>211</v>
      </c>
      <c r="K127" s="166" t="s">
        <v>211</v>
      </c>
      <c r="L127" s="166" t="s">
        <v>211</v>
      </c>
      <c r="M127" s="166" t="s">
        <v>211</v>
      </c>
      <c r="N127" s="166" t="s">
        <v>211</v>
      </c>
      <c r="O127" s="166" t="s">
        <v>211</v>
      </c>
    </row>
    <row r="128" spans="1:16" s="453" customFormat="1" ht="12.75" customHeight="1" x14ac:dyDescent="0.2">
      <c r="B128" s="113" t="s">
        <v>10</v>
      </c>
      <c r="C128" s="719" t="s">
        <v>1874</v>
      </c>
      <c r="D128" s="719"/>
      <c r="E128" s="719"/>
      <c r="F128" s="719"/>
      <c r="G128" s="719"/>
      <c r="H128" s="719"/>
      <c r="I128" s="186" t="s">
        <v>211</v>
      </c>
      <c r="J128" s="166" t="s">
        <v>211</v>
      </c>
      <c r="K128" s="166" t="s">
        <v>211</v>
      </c>
      <c r="L128" s="166" t="s">
        <v>211</v>
      </c>
      <c r="M128" s="166" t="s">
        <v>211</v>
      </c>
      <c r="N128" s="166" t="s">
        <v>211</v>
      </c>
      <c r="O128" s="166" t="s">
        <v>211</v>
      </c>
    </row>
    <row r="129" spans="1:16" s="453" customFormat="1" ht="14" x14ac:dyDescent="0.2">
      <c r="B129" s="113" t="s">
        <v>267</v>
      </c>
      <c r="C129" s="571" t="s">
        <v>1630</v>
      </c>
      <c r="D129" s="571"/>
      <c r="E129" s="571"/>
      <c r="F129" s="571"/>
      <c r="G129" s="571"/>
      <c r="H129" s="571"/>
      <c r="I129" s="166" t="s">
        <v>211</v>
      </c>
      <c r="J129" s="166" t="s">
        <v>211</v>
      </c>
      <c r="K129" s="166" t="s">
        <v>211</v>
      </c>
      <c r="L129" s="166" t="s">
        <v>211</v>
      </c>
      <c r="M129" s="166" t="s">
        <v>211</v>
      </c>
      <c r="N129" s="166" t="s">
        <v>211</v>
      </c>
      <c r="O129" s="166" t="s">
        <v>211</v>
      </c>
    </row>
    <row r="130" spans="1:16" s="453" customFormat="1" ht="14" x14ac:dyDescent="0.2">
      <c r="B130" s="113" t="s">
        <v>11</v>
      </c>
      <c r="C130" s="571" t="s">
        <v>1631</v>
      </c>
      <c r="D130" s="571"/>
      <c r="E130" s="571"/>
      <c r="F130" s="571"/>
      <c r="G130" s="571"/>
      <c r="H130" s="571"/>
      <c r="I130" s="166" t="s">
        <v>211</v>
      </c>
      <c r="J130" s="166" t="s">
        <v>211</v>
      </c>
      <c r="K130" s="166" t="s">
        <v>211</v>
      </c>
      <c r="L130" s="166" t="s">
        <v>211</v>
      </c>
      <c r="M130" s="166" t="s">
        <v>211</v>
      </c>
      <c r="N130" s="166" t="s">
        <v>211</v>
      </c>
      <c r="O130" s="166" t="s">
        <v>211</v>
      </c>
    </row>
    <row r="131" spans="1:16" s="453" customFormat="1" ht="14" x14ac:dyDescent="0.2">
      <c r="B131" s="113" t="s">
        <v>268</v>
      </c>
      <c r="C131" s="571" t="s">
        <v>1632</v>
      </c>
      <c r="D131" s="571"/>
      <c r="E131" s="571"/>
      <c r="F131" s="571"/>
      <c r="G131" s="571"/>
      <c r="H131" s="571"/>
      <c r="I131" s="166" t="s">
        <v>211</v>
      </c>
      <c r="J131" s="166" t="s">
        <v>211</v>
      </c>
      <c r="K131" s="166" t="s">
        <v>211</v>
      </c>
      <c r="L131" s="166" t="s">
        <v>211</v>
      </c>
      <c r="M131" s="166" t="s">
        <v>211</v>
      </c>
      <c r="N131" s="166" t="s">
        <v>211</v>
      </c>
      <c r="O131" s="166" t="s">
        <v>211</v>
      </c>
    </row>
    <row r="132" spans="1:16" s="453" customFormat="1" ht="14" x14ac:dyDescent="0.2">
      <c r="B132" s="113" t="s">
        <v>269</v>
      </c>
      <c r="C132" s="571" t="s">
        <v>1633</v>
      </c>
      <c r="D132" s="571"/>
      <c r="E132" s="571"/>
      <c r="F132" s="571"/>
      <c r="G132" s="571"/>
      <c r="H132" s="571"/>
      <c r="I132" s="166" t="s">
        <v>211</v>
      </c>
      <c r="J132" s="166" t="s">
        <v>211</v>
      </c>
      <c r="K132" s="166" t="s">
        <v>211</v>
      </c>
      <c r="L132" s="166" t="s">
        <v>211</v>
      </c>
      <c r="M132" s="166" t="s">
        <v>211</v>
      </c>
      <c r="N132" s="166" t="s">
        <v>211</v>
      </c>
      <c r="O132" s="166" t="s">
        <v>211</v>
      </c>
    </row>
    <row r="133" spans="1:16" s="453" customFormat="1" ht="14" x14ac:dyDescent="0.2">
      <c r="B133" s="113" t="s">
        <v>108</v>
      </c>
      <c r="C133" s="571" t="s">
        <v>1634</v>
      </c>
      <c r="D133" s="571"/>
      <c r="E133" s="571"/>
      <c r="F133" s="571"/>
      <c r="G133" s="571"/>
      <c r="H133" s="571"/>
      <c r="I133" s="166" t="s">
        <v>211</v>
      </c>
      <c r="J133" s="166" t="s">
        <v>211</v>
      </c>
      <c r="K133" s="166" t="s">
        <v>211</v>
      </c>
      <c r="L133" s="166" t="s">
        <v>211</v>
      </c>
      <c r="M133" s="166" t="s">
        <v>211</v>
      </c>
      <c r="N133" s="166" t="s">
        <v>211</v>
      </c>
      <c r="O133" s="166" t="s">
        <v>211</v>
      </c>
    </row>
    <row r="134" spans="1:16" s="453" customFormat="1" ht="14" x14ac:dyDescent="0.2">
      <c r="B134" s="113" t="s">
        <v>270</v>
      </c>
      <c r="C134" s="571" t="s">
        <v>1635</v>
      </c>
      <c r="D134" s="571"/>
      <c r="E134" s="571"/>
      <c r="F134" s="571"/>
      <c r="G134" s="571"/>
      <c r="H134" s="571"/>
      <c r="I134" s="166" t="s">
        <v>211</v>
      </c>
      <c r="J134" s="166" t="s">
        <v>211</v>
      </c>
      <c r="K134" s="166" t="s">
        <v>211</v>
      </c>
      <c r="L134" s="166" t="s">
        <v>211</v>
      </c>
      <c r="M134" s="166" t="s">
        <v>211</v>
      </c>
      <c r="N134" s="166" t="s">
        <v>211</v>
      </c>
      <c r="O134" s="166" t="s">
        <v>211</v>
      </c>
    </row>
    <row r="135" spans="1:16" s="453" customFormat="1" ht="14" x14ac:dyDescent="0.2">
      <c r="B135" s="113" t="s">
        <v>272</v>
      </c>
      <c r="C135" s="571" t="s">
        <v>1636</v>
      </c>
      <c r="D135" s="571"/>
      <c r="E135" s="571"/>
      <c r="F135" s="571"/>
      <c r="G135" s="571"/>
      <c r="H135" s="571"/>
      <c r="I135" s="166" t="s">
        <v>211</v>
      </c>
      <c r="J135" s="166" t="s">
        <v>211</v>
      </c>
      <c r="K135" s="166" t="s">
        <v>211</v>
      </c>
      <c r="L135" s="166" t="s">
        <v>211</v>
      </c>
      <c r="M135" s="166" t="s">
        <v>211</v>
      </c>
      <c r="N135" s="166" t="s">
        <v>211</v>
      </c>
      <c r="O135" s="166" t="s">
        <v>211</v>
      </c>
    </row>
    <row r="136" spans="1:16" s="453" customFormat="1" ht="14" x14ac:dyDescent="0.2">
      <c r="B136" s="113" t="s">
        <v>273</v>
      </c>
      <c r="C136" s="571" t="s">
        <v>1606</v>
      </c>
      <c r="D136" s="571"/>
      <c r="E136" s="571"/>
      <c r="F136" s="571"/>
      <c r="G136" s="571"/>
      <c r="H136" s="571"/>
      <c r="I136" s="166" t="s">
        <v>211</v>
      </c>
      <c r="J136" s="166" t="s">
        <v>211</v>
      </c>
      <c r="K136" s="166" t="s">
        <v>211</v>
      </c>
      <c r="L136" s="166" t="s">
        <v>211</v>
      </c>
      <c r="M136" s="166" t="s">
        <v>211</v>
      </c>
      <c r="N136" s="166" t="s">
        <v>211</v>
      </c>
      <c r="O136" s="166" t="s">
        <v>211</v>
      </c>
    </row>
    <row r="137" spans="1:16" s="453" customFormat="1" ht="14" x14ac:dyDescent="0.2">
      <c r="B137" s="113" t="s">
        <v>274</v>
      </c>
      <c r="C137" s="573" t="s">
        <v>1600</v>
      </c>
      <c r="D137" s="573"/>
      <c r="E137" s="573"/>
      <c r="F137" s="573"/>
      <c r="G137" s="573"/>
      <c r="H137" s="573"/>
      <c r="I137" s="98" t="s">
        <v>211</v>
      </c>
      <c r="J137" s="106" t="s">
        <v>214</v>
      </c>
      <c r="K137" s="98" t="s">
        <v>211</v>
      </c>
      <c r="L137" s="106" t="s">
        <v>213</v>
      </c>
      <c r="M137" s="213">
        <f>COUNTIF(K137,Data!$A$1)</f>
        <v>0</v>
      </c>
      <c r="N137" s="213"/>
      <c r="O137" s="107"/>
      <c r="P137" s="107">
        <f>SUM(K138*4)</f>
        <v>0</v>
      </c>
    </row>
    <row r="138" spans="1:16" s="108" customFormat="1" ht="17" thickBot="1" x14ac:dyDescent="0.25">
      <c r="D138" s="108" t="s">
        <v>291</v>
      </c>
      <c r="F138" s="102" t="s">
        <v>1588</v>
      </c>
      <c r="G138" s="117"/>
      <c r="H138" s="117"/>
      <c r="I138" s="107">
        <f>COUNTIF(I127:I137,Data!$A$1)</f>
        <v>0</v>
      </c>
      <c r="J138" s="107">
        <f>COUNTIF(J127:J136,Data!$A$1)</f>
        <v>0</v>
      </c>
      <c r="K138" s="107">
        <f>COUNTIF(K127:K136,Data!$A$1)</f>
        <v>0</v>
      </c>
      <c r="L138" s="107">
        <f>COUNTIF(L127:L136,Data!$A$1)</f>
        <v>0</v>
      </c>
      <c r="M138" s="107">
        <f>COUNTIF(M127:M136,Data!$A$1)</f>
        <v>0</v>
      </c>
      <c r="N138" s="107">
        <f>COUNTIF(N127:N136,Data!$A$1)</f>
        <v>0</v>
      </c>
      <c r="O138" s="107">
        <f>COUNTIF(O127:O136,Data!$A$1)</f>
        <v>0</v>
      </c>
      <c r="P138" s="107">
        <f>SUM(I138:K138,M137,M138:N138)</f>
        <v>0</v>
      </c>
    </row>
    <row r="139" spans="1:16" s="108" customFormat="1" ht="17" thickBot="1" x14ac:dyDescent="0.25">
      <c r="G139" s="720" t="s">
        <v>1584</v>
      </c>
      <c r="H139" s="720"/>
      <c r="I139" s="720"/>
      <c r="J139" s="721"/>
      <c r="K139" s="574">
        <f>SUM(N139,K138)</f>
        <v>0</v>
      </c>
      <c r="L139" s="575"/>
      <c r="M139" s="116"/>
      <c r="N139" s="109">
        <f>SUM(O139*5)</f>
        <v>0</v>
      </c>
      <c r="O139" s="114">
        <f>SUM(J138,M137)</f>
        <v>0</v>
      </c>
      <c r="P139" s="116">
        <f>SUM(P138*5)</f>
        <v>0</v>
      </c>
    </row>
    <row r="140" spans="1:16" s="453" customFormat="1" ht="14" x14ac:dyDescent="0.2">
      <c r="B140" s="449"/>
      <c r="C140" s="449"/>
      <c r="D140" s="110"/>
      <c r="F140" s="110"/>
      <c r="G140" s="118"/>
      <c r="H140" s="118"/>
      <c r="I140" s="119"/>
      <c r="J140" s="119"/>
      <c r="K140" s="119"/>
      <c r="L140" s="120"/>
      <c r="M140" s="120"/>
      <c r="N140" s="118"/>
      <c r="O140" s="121"/>
      <c r="P140" s="121"/>
    </row>
    <row r="141" spans="1:16" s="453" customFormat="1" ht="14" x14ac:dyDescent="0.2">
      <c r="A141" s="471">
        <v>7</v>
      </c>
      <c r="B141" s="113" t="s">
        <v>266</v>
      </c>
      <c r="C141" s="571" t="s">
        <v>1637</v>
      </c>
      <c r="D141" s="571"/>
      <c r="E141" s="571"/>
      <c r="F141" s="571"/>
      <c r="G141" s="571"/>
      <c r="H141" s="571"/>
      <c r="I141" s="166" t="s">
        <v>211</v>
      </c>
      <c r="J141" s="166" t="s">
        <v>211</v>
      </c>
      <c r="K141" s="166" t="s">
        <v>211</v>
      </c>
      <c r="L141" s="166" t="s">
        <v>211</v>
      </c>
      <c r="M141" s="166" t="s">
        <v>211</v>
      </c>
      <c r="N141" s="166" t="s">
        <v>211</v>
      </c>
      <c r="O141" s="166" t="s">
        <v>211</v>
      </c>
    </row>
    <row r="142" spans="1:16" s="453" customFormat="1" ht="14" x14ac:dyDescent="0.2">
      <c r="B142" s="113" t="s">
        <v>267</v>
      </c>
      <c r="C142" s="571" t="s">
        <v>1638</v>
      </c>
      <c r="D142" s="571"/>
      <c r="E142" s="571"/>
      <c r="F142" s="571"/>
      <c r="G142" s="571"/>
      <c r="H142" s="571"/>
      <c r="I142" s="166" t="s">
        <v>211</v>
      </c>
      <c r="J142" s="166" t="s">
        <v>211</v>
      </c>
      <c r="K142" s="166" t="s">
        <v>211</v>
      </c>
      <c r="L142" s="166" t="s">
        <v>211</v>
      </c>
      <c r="M142" s="166" t="s">
        <v>211</v>
      </c>
      <c r="N142" s="166" t="s">
        <v>211</v>
      </c>
      <c r="O142" s="166" t="s">
        <v>211</v>
      </c>
    </row>
    <row r="143" spans="1:16" s="453" customFormat="1" ht="14" x14ac:dyDescent="0.2">
      <c r="B143" s="113" t="s">
        <v>268</v>
      </c>
      <c r="C143" s="571" t="s">
        <v>1639</v>
      </c>
      <c r="D143" s="571"/>
      <c r="E143" s="571"/>
      <c r="F143" s="571"/>
      <c r="G143" s="571"/>
      <c r="H143" s="571"/>
      <c r="I143" s="166" t="s">
        <v>211</v>
      </c>
      <c r="J143" s="166" t="s">
        <v>211</v>
      </c>
      <c r="K143" s="166" t="s">
        <v>211</v>
      </c>
      <c r="L143" s="166" t="s">
        <v>211</v>
      </c>
      <c r="M143" s="166" t="s">
        <v>211</v>
      </c>
      <c r="N143" s="166" t="s">
        <v>211</v>
      </c>
      <c r="O143" s="166" t="s">
        <v>211</v>
      </c>
    </row>
    <row r="144" spans="1:16" s="453" customFormat="1" ht="14" x14ac:dyDescent="0.2">
      <c r="B144" s="113" t="s">
        <v>269</v>
      </c>
      <c r="C144" s="571" t="s">
        <v>1595</v>
      </c>
      <c r="D144" s="571"/>
      <c r="E144" s="571"/>
      <c r="F144" s="571"/>
      <c r="G144" s="571"/>
      <c r="H144" s="571"/>
      <c r="I144" s="166" t="s">
        <v>211</v>
      </c>
      <c r="J144" s="166" t="s">
        <v>211</v>
      </c>
      <c r="K144" s="166" t="s">
        <v>211</v>
      </c>
      <c r="L144" s="166" t="s">
        <v>211</v>
      </c>
      <c r="M144" s="166" t="s">
        <v>211</v>
      </c>
      <c r="N144" s="166" t="s">
        <v>211</v>
      </c>
      <c r="O144" s="166" t="s">
        <v>211</v>
      </c>
    </row>
    <row r="145" spans="1:16" s="453" customFormat="1" ht="14" x14ac:dyDescent="0.2">
      <c r="B145" s="113" t="s">
        <v>272</v>
      </c>
      <c r="C145" s="571" t="s">
        <v>1640</v>
      </c>
      <c r="D145" s="571"/>
      <c r="E145" s="571"/>
      <c r="F145" s="571"/>
      <c r="G145" s="571"/>
      <c r="H145" s="571"/>
      <c r="I145" s="166" t="s">
        <v>211</v>
      </c>
      <c r="J145" s="166" t="s">
        <v>211</v>
      </c>
      <c r="K145" s="166" t="s">
        <v>211</v>
      </c>
      <c r="L145" s="166" t="s">
        <v>211</v>
      </c>
      <c r="M145" s="166" t="s">
        <v>211</v>
      </c>
      <c r="N145" s="166" t="s">
        <v>211</v>
      </c>
      <c r="O145" s="166" t="s">
        <v>211</v>
      </c>
    </row>
    <row r="146" spans="1:16" s="453" customFormat="1" ht="12.75" customHeight="1" x14ac:dyDescent="0.2">
      <c r="B146" s="113" t="s">
        <v>273</v>
      </c>
      <c r="C146" s="610" t="s">
        <v>1641</v>
      </c>
      <c r="D146" s="610"/>
      <c r="E146" s="610"/>
      <c r="F146" s="610"/>
      <c r="G146" s="610"/>
      <c r="H146" s="610"/>
      <c r="I146" s="186" t="s">
        <v>211</v>
      </c>
      <c r="J146" s="166" t="s">
        <v>211</v>
      </c>
      <c r="K146" s="166" t="s">
        <v>211</v>
      </c>
      <c r="L146" s="166" t="s">
        <v>211</v>
      </c>
      <c r="M146" s="166" t="s">
        <v>211</v>
      </c>
      <c r="N146" s="166" t="s">
        <v>211</v>
      </c>
      <c r="O146" s="166" t="s">
        <v>211</v>
      </c>
    </row>
    <row r="147" spans="1:16" s="453" customFormat="1" ht="14" x14ac:dyDescent="0.2">
      <c r="B147" s="112">
        <v>6</v>
      </c>
      <c r="C147" s="571" t="s">
        <v>1642</v>
      </c>
      <c r="D147" s="571"/>
      <c r="E147" s="571"/>
      <c r="F147" s="571"/>
      <c r="G147" s="571"/>
      <c r="H147" s="571"/>
      <c r="I147" s="166" t="s">
        <v>211</v>
      </c>
      <c r="J147" s="166" t="s">
        <v>211</v>
      </c>
      <c r="K147" s="166" t="s">
        <v>211</v>
      </c>
      <c r="L147" s="166" t="s">
        <v>211</v>
      </c>
      <c r="M147" s="166" t="s">
        <v>211</v>
      </c>
      <c r="N147" s="166" t="s">
        <v>211</v>
      </c>
      <c r="O147" s="166" t="s">
        <v>211</v>
      </c>
    </row>
    <row r="148" spans="1:16" s="453" customFormat="1" ht="14" x14ac:dyDescent="0.2">
      <c r="B148" s="112">
        <v>7</v>
      </c>
      <c r="C148" s="573" t="s">
        <v>1615</v>
      </c>
      <c r="D148" s="573"/>
      <c r="E148" s="573"/>
      <c r="F148" s="573"/>
      <c r="G148" s="573"/>
      <c r="H148" s="573"/>
      <c r="I148" s="166" t="s">
        <v>211</v>
      </c>
      <c r="J148" s="166" t="s">
        <v>211</v>
      </c>
      <c r="K148" s="166" t="s">
        <v>211</v>
      </c>
      <c r="L148" s="166" t="s">
        <v>211</v>
      </c>
      <c r="M148" s="166" t="s">
        <v>211</v>
      </c>
      <c r="N148" s="166" t="s">
        <v>211</v>
      </c>
      <c r="O148" s="166" t="s">
        <v>211</v>
      </c>
    </row>
    <row r="149" spans="1:16" s="453" customFormat="1" ht="14" x14ac:dyDescent="0.2">
      <c r="B149" s="112">
        <v>8</v>
      </c>
      <c r="C149" s="573" t="s">
        <v>1600</v>
      </c>
      <c r="D149" s="573"/>
      <c r="E149" s="573"/>
      <c r="F149" s="573"/>
      <c r="G149" s="573"/>
      <c r="H149" s="573"/>
      <c r="I149" s="98" t="s">
        <v>211</v>
      </c>
      <c r="J149" s="106" t="s">
        <v>214</v>
      </c>
      <c r="K149" s="98" t="s">
        <v>211</v>
      </c>
      <c r="L149" s="106" t="s">
        <v>213</v>
      </c>
      <c r="M149" s="213">
        <f>COUNTIF(K149,Data!$A$1)</f>
        <v>0</v>
      </c>
      <c r="N149" s="213"/>
      <c r="O149" s="107"/>
      <c r="P149" s="107">
        <f>SUM(K150*4)</f>
        <v>0</v>
      </c>
    </row>
    <row r="150" spans="1:16" s="108" customFormat="1" ht="17" thickBot="1" x14ac:dyDescent="0.25">
      <c r="F150" s="115" t="s">
        <v>312</v>
      </c>
      <c r="G150" s="101" t="s">
        <v>215</v>
      </c>
      <c r="H150" s="114"/>
      <c r="I150" s="107">
        <f>COUNTIF(I141:I149,Data!$A$1)</f>
        <v>0</v>
      </c>
      <c r="J150" s="107">
        <f>COUNTIF(J141:J148,Data!$A$1)</f>
        <v>0</v>
      </c>
      <c r="K150" s="107">
        <f>COUNTIF(K141:K148,Data!$A$1)</f>
        <v>0</v>
      </c>
      <c r="L150" s="107">
        <f>COUNTIF(L141:L148,Data!$A$1)</f>
        <v>0</v>
      </c>
      <c r="M150" s="107">
        <f>COUNTIF(M141:M148,Data!$A$1)</f>
        <v>0</v>
      </c>
      <c r="N150" s="107">
        <f>COUNTIF(N141:N148,Data!$A$1)</f>
        <v>0</v>
      </c>
      <c r="O150" s="107">
        <f>COUNTIF(O141:O148,Data!$A$1)</f>
        <v>0</v>
      </c>
      <c r="P150" s="107">
        <f>SUM(I150:K150,M149,M150:N150)</f>
        <v>0</v>
      </c>
    </row>
    <row r="151" spans="1:16" s="108" customFormat="1" ht="17" thickBot="1" x14ac:dyDescent="0.25">
      <c r="G151" s="578" t="s">
        <v>1584</v>
      </c>
      <c r="H151" s="578"/>
      <c r="I151" s="578"/>
      <c r="J151" s="579"/>
      <c r="K151" s="574">
        <f>SUM(K150,N151)</f>
        <v>0</v>
      </c>
      <c r="L151" s="575"/>
      <c r="M151" s="116"/>
      <c r="N151" s="109">
        <f>SUM(O151*5)</f>
        <v>0</v>
      </c>
      <c r="O151" s="114">
        <f>SUM(J150,M149)</f>
        <v>0</v>
      </c>
      <c r="P151" s="116">
        <f>SUM(P150*5)</f>
        <v>0</v>
      </c>
    </row>
    <row r="152" spans="1:16" s="453" customFormat="1" ht="14" x14ac:dyDescent="0.2">
      <c r="B152" s="112"/>
      <c r="C152" s="449"/>
      <c r="D152" s="449"/>
      <c r="E152" s="449"/>
      <c r="F152" s="449"/>
      <c r="G152" s="449"/>
      <c r="H152" s="449"/>
      <c r="J152" s="122"/>
      <c r="K152" s="122"/>
      <c r="L152" s="122"/>
    </row>
    <row r="153" spans="1:16" s="453" customFormat="1" ht="14" x14ac:dyDescent="0.2">
      <c r="A153" s="471">
        <v>8</v>
      </c>
      <c r="B153" s="112">
        <v>1</v>
      </c>
      <c r="C153" s="571" t="s">
        <v>1638</v>
      </c>
      <c r="D153" s="571"/>
      <c r="E153" s="571"/>
      <c r="F153" s="571"/>
      <c r="G153" s="571"/>
      <c r="H153" s="571"/>
      <c r="I153" s="166" t="s">
        <v>211</v>
      </c>
      <c r="J153" s="166" t="s">
        <v>211</v>
      </c>
      <c r="K153" s="166" t="s">
        <v>211</v>
      </c>
      <c r="L153" s="166" t="s">
        <v>211</v>
      </c>
      <c r="M153" s="166" t="s">
        <v>211</v>
      </c>
      <c r="N153" s="166" t="s">
        <v>211</v>
      </c>
      <c r="O153" s="166" t="s">
        <v>211</v>
      </c>
    </row>
    <row r="154" spans="1:16" s="453" customFormat="1" ht="14" x14ac:dyDescent="0.2">
      <c r="B154" s="112">
        <v>2</v>
      </c>
      <c r="C154" s="571" t="s">
        <v>1643</v>
      </c>
      <c r="D154" s="571"/>
      <c r="E154" s="571"/>
      <c r="F154" s="571"/>
      <c r="G154" s="571"/>
      <c r="H154" s="571"/>
      <c r="I154" s="166" t="s">
        <v>211</v>
      </c>
      <c r="J154" s="166" t="s">
        <v>211</v>
      </c>
      <c r="K154" s="166" t="s">
        <v>211</v>
      </c>
      <c r="L154" s="166" t="s">
        <v>211</v>
      </c>
      <c r="M154" s="166" t="s">
        <v>211</v>
      </c>
      <c r="N154" s="166" t="s">
        <v>211</v>
      </c>
      <c r="O154" s="166" t="s">
        <v>211</v>
      </c>
    </row>
    <row r="155" spans="1:16" s="453" customFormat="1" ht="14" x14ac:dyDescent="0.2">
      <c r="B155" s="112">
        <v>3</v>
      </c>
      <c r="C155" s="571" t="s">
        <v>1644</v>
      </c>
      <c r="D155" s="571"/>
      <c r="E155" s="571"/>
      <c r="F155" s="571"/>
      <c r="G155" s="571"/>
      <c r="H155" s="571"/>
      <c r="I155" s="166" t="s">
        <v>211</v>
      </c>
      <c r="J155" s="166" t="s">
        <v>211</v>
      </c>
      <c r="K155" s="166" t="s">
        <v>211</v>
      </c>
      <c r="L155" s="166" t="s">
        <v>211</v>
      </c>
      <c r="M155" s="166" t="s">
        <v>211</v>
      </c>
      <c r="N155" s="166" t="s">
        <v>211</v>
      </c>
      <c r="O155" s="166" t="s">
        <v>211</v>
      </c>
    </row>
    <row r="156" spans="1:16" s="453" customFormat="1" ht="14" x14ac:dyDescent="0.2">
      <c r="B156" s="112">
        <v>4</v>
      </c>
      <c r="C156" s="571" t="s">
        <v>1645</v>
      </c>
      <c r="D156" s="571"/>
      <c r="E156" s="571"/>
      <c r="F156" s="571"/>
      <c r="G156" s="571"/>
      <c r="H156" s="571"/>
      <c r="I156" s="166" t="s">
        <v>211</v>
      </c>
      <c r="J156" s="166" t="s">
        <v>211</v>
      </c>
      <c r="K156" s="166" t="s">
        <v>211</v>
      </c>
      <c r="L156" s="166" t="s">
        <v>211</v>
      </c>
      <c r="M156" s="166" t="s">
        <v>211</v>
      </c>
      <c r="N156" s="166" t="s">
        <v>211</v>
      </c>
      <c r="O156" s="166" t="s">
        <v>211</v>
      </c>
    </row>
    <row r="157" spans="1:16" s="453" customFormat="1" ht="14" x14ac:dyDescent="0.2">
      <c r="B157" s="112">
        <v>5</v>
      </c>
      <c r="C157" s="571" t="s">
        <v>1595</v>
      </c>
      <c r="D157" s="571"/>
      <c r="E157" s="571"/>
      <c r="F157" s="571"/>
      <c r="G157" s="571"/>
      <c r="H157" s="571"/>
      <c r="I157" s="166" t="s">
        <v>211</v>
      </c>
      <c r="J157" s="166" t="s">
        <v>211</v>
      </c>
      <c r="K157" s="166" t="s">
        <v>211</v>
      </c>
      <c r="L157" s="166" t="s">
        <v>211</v>
      </c>
      <c r="M157" s="166" t="s">
        <v>211</v>
      </c>
      <c r="N157" s="166" t="s">
        <v>211</v>
      </c>
      <c r="O157" s="166" t="s">
        <v>211</v>
      </c>
    </row>
    <row r="158" spans="1:16" s="453" customFormat="1" ht="14" x14ac:dyDescent="0.2">
      <c r="B158" s="112">
        <v>6</v>
      </c>
      <c r="C158" s="571" t="s">
        <v>1646</v>
      </c>
      <c r="D158" s="571"/>
      <c r="E158" s="571"/>
      <c r="F158" s="571"/>
      <c r="G158" s="571"/>
      <c r="H158" s="571"/>
      <c r="I158" s="166" t="s">
        <v>211</v>
      </c>
      <c r="J158" s="166" t="s">
        <v>211</v>
      </c>
      <c r="K158" s="166" t="s">
        <v>211</v>
      </c>
      <c r="L158" s="166" t="s">
        <v>211</v>
      </c>
      <c r="M158" s="166" t="s">
        <v>211</v>
      </c>
      <c r="N158" s="166" t="s">
        <v>211</v>
      </c>
      <c r="O158" s="166" t="s">
        <v>211</v>
      </c>
    </row>
    <row r="159" spans="1:16" s="453" customFormat="1" ht="12.75" customHeight="1" x14ac:dyDescent="0.2">
      <c r="B159" s="112" t="s">
        <v>19</v>
      </c>
      <c r="C159" s="664" t="s">
        <v>1641</v>
      </c>
      <c r="D159" s="664"/>
      <c r="E159" s="664"/>
      <c r="F159" s="664"/>
      <c r="G159" s="664"/>
      <c r="H159" s="664"/>
      <c r="I159" s="186" t="s">
        <v>211</v>
      </c>
      <c r="J159" s="166" t="s">
        <v>211</v>
      </c>
      <c r="K159" s="166" t="s">
        <v>211</v>
      </c>
      <c r="L159" s="166" t="s">
        <v>211</v>
      </c>
      <c r="M159" s="166" t="s">
        <v>211</v>
      </c>
      <c r="N159" s="166" t="s">
        <v>211</v>
      </c>
      <c r="O159" s="166" t="s">
        <v>211</v>
      </c>
    </row>
    <row r="160" spans="1:16" s="453" customFormat="1" ht="14" x14ac:dyDescent="0.2">
      <c r="B160" s="112">
        <v>7</v>
      </c>
      <c r="C160" s="573" t="s">
        <v>1600</v>
      </c>
      <c r="D160" s="573"/>
      <c r="E160" s="573"/>
      <c r="F160" s="573"/>
      <c r="G160" s="573"/>
      <c r="H160" s="573"/>
      <c r="I160" s="98" t="s">
        <v>211</v>
      </c>
      <c r="J160" s="106" t="s">
        <v>214</v>
      </c>
      <c r="K160" s="98" t="s">
        <v>211</v>
      </c>
      <c r="L160" s="106" t="s">
        <v>213</v>
      </c>
      <c r="M160" s="214">
        <f>COUNTIF(K160,Data!$A$1)</f>
        <v>0</v>
      </c>
      <c r="N160" s="106"/>
      <c r="P160" s="107">
        <f>SUM(K161*4)</f>
        <v>0</v>
      </c>
    </row>
    <row r="161" spans="1:16" s="453" customFormat="1" thickBot="1" x14ac:dyDescent="0.25">
      <c r="H161" s="121"/>
      <c r="I161" s="107">
        <f>COUNTIF(I153:I160,Data!$A$1)</f>
        <v>0</v>
      </c>
      <c r="J161" s="107">
        <f>COUNTIF(J153:J159,Data!$A$1)</f>
        <v>0</v>
      </c>
      <c r="K161" s="107">
        <f>COUNTIF(K153:K159,Data!$A$1)</f>
        <v>0</v>
      </c>
      <c r="L161" s="107">
        <f>COUNTIF(L153:L159,Data!$A$1)</f>
        <v>0</v>
      </c>
      <c r="M161" s="107">
        <f>COUNTIF(M153:M159,Data!$A$1)</f>
        <v>0</v>
      </c>
      <c r="N161" s="107">
        <f>COUNTIF(N153:N159,Data!$A$1)</f>
        <v>0</v>
      </c>
      <c r="O161" s="107">
        <f>COUNTIF(O153:O159,Data!$A$1)</f>
        <v>0</v>
      </c>
      <c r="P161" s="107">
        <f>SUM(I161:K161,M160,M161:N161)</f>
        <v>0</v>
      </c>
    </row>
    <row r="162" spans="1:16" s="108" customFormat="1" ht="17" thickBot="1" x14ac:dyDescent="0.25">
      <c r="G162" s="578" t="s">
        <v>1584</v>
      </c>
      <c r="H162" s="578"/>
      <c r="I162" s="578"/>
      <c r="J162" s="579"/>
      <c r="K162" s="574">
        <f>SUM(K161,N162)</f>
        <v>0</v>
      </c>
      <c r="L162" s="575"/>
      <c r="M162" s="116"/>
      <c r="N162" s="109">
        <f>SUM(O162*5)</f>
        <v>0</v>
      </c>
      <c r="O162" s="114">
        <f>SUM(J161,M160)</f>
        <v>0</v>
      </c>
      <c r="P162" s="116">
        <f>SUM(P161*5)</f>
        <v>0</v>
      </c>
    </row>
    <row r="163" spans="1:16" s="453" customFormat="1" ht="14" x14ac:dyDescent="0.2">
      <c r="B163" s="463"/>
      <c r="C163" s="463"/>
      <c r="D163" s="443"/>
      <c r="F163" s="463"/>
      <c r="G163" s="112"/>
      <c r="H163" s="463"/>
    </row>
    <row r="164" spans="1:16" s="453" customFormat="1" ht="12.75" customHeight="1" x14ac:dyDescent="0.2">
      <c r="A164" s="471">
        <v>9</v>
      </c>
      <c r="B164" s="112">
        <v>1</v>
      </c>
      <c r="C164" s="657" t="s">
        <v>1938</v>
      </c>
      <c r="D164" s="657"/>
      <c r="E164" s="657"/>
      <c r="F164" s="657"/>
      <c r="G164" s="657"/>
      <c r="H164" s="657"/>
      <c r="I164" s="166" t="s">
        <v>211</v>
      </c>
      <c r="J164" s="166" t="s">
        <v>211</v>
      </c>
      <c r="K164" s="166" t="s">
        <v>211</v>
      </c>
      <c r="L164" s="166" t="s">
        <v>211</v>
      </c>
      <c r="M164" s="166" t="s">
        <v>211</v>
      </c>
      <c r="N164" s="166" t="s">
        <v>211</v>
      </c>
      <c r="O164" s="166" t="s">
        <v>211</v>
      </c>
    </row>
    <row r="165" spans="1:16" s="453" customFormat="1" ht="14" x14ac:dyDescent="0.2">
      <c r="B165" s="112" t="s">
        <v>10</v>
      </c>
      <c r="C165" s="571" t="s">
        <v>1647</v>
      </c>
      <c r="D165" s="571"/>
      <c r="E165" s="571"/>
      <c r="F165" s="571"/>
      <c r="G165" s="571"/>
      <c r="H165" s="571"/>
      <c r="I165" s="166" t="s">
        <v>211</v>
      </c>
      <c r="J165" s="166" t="s">
        <v>211</v>
      </c>
      <c r="K165" s="166" t="s">
        <v>211</v>
      </c>
      <c r="L165" s="166" t="s">
        <v>211</v>
      </c>
      <c r="M165" s="166" t="s">
        <v>211</v>
      </c>
      <c r="N165" s="166" t="s">
        <v>211</v>
      </c>
      <c r="O165" s="166" t="s">
        <v>211</v>
      </c>
    </row>
    <row r="166" spans="1:16" s="453" customFormat="1" ht="12.75" customHeight="1" x14ac:dyDescent="0.2">
      <c r="B166" s="112" t="s">
        <v>179</v>
      </c>
      <c r="C166" s="657" t="s">
        <v>1926</v>
      </c>
      <c r="D166" s="657"/>
      <c r="E166" s="657"/>
      <c r="F166" s="657"/>
      <c r="G166" s="657"/>
      <c r="H166" s="657"/>
      <c r="I166" s="166" t="s">
        <v>211</v>
      </c>
      <c r="J166" s="166" t="s">
        <v>211</v>
      </c>
      <c r="K166" s="166" t="s">
        <v>211</v>
      </c>
      <c r="L166" s="166" t="s">
        <v>211</v>
      </c>
      <c r="M166" s="166" t="s">
        <v>211</v>
      </c>
      <c r="N166" s="166" t="s">
        <v>211</v>
      </c>
      <c r="O166" s="166" t="s">
        <v>211</v>
      </c>
    </row>
    <row r="167" spans="1:16" s="453" customFormat="1" ht="14" x14ac:dyDescent="0.2">
      <c r="B167" s="112">
        <v>2</v>
      </c>
      <c r="C167" s="571" t="s">
        <v>1600</v>
      </c>
      <c r="D167" s="571"/>
      <c r="E167" s="571"/>
      <c r="F167" s="571"/>
      <c r="G167" s="571"/>
      <c r="H167" s="571"/>
      <c r="I167" s="98" t="s">
        <v>211</v>
      </c>
      <c r="J167" s="106" t="s">
        <v>214</v>
      </c>
      <c r="K167" s="98" t="s">
        <v>211</v>
      </c>
      <c r="L167" s="106" t="s">
        <v>213</v>
      </c>
      <c r="M167" s="213">
        <f>COUNTIF(K167,Data!$A$1)</f>
        <v>0</v>
      </c>
      <c r="N167" s="213"/>
      <c r="O167" s="107"/>
      <c r="P167" s="107">
        <f>SUM(K168*4)</f>
        <v>0</v>
      </c>
    </row>
    <row r="168" spans="1:16" s="453" customFormat="1" thickBot="1" x14ac:dyDescent="0.25">
      <c r="H168" s="107"/>
      <c r="I168" s="107">
        <f>COUNTIF(I164:I167,Data!$A$1)</f>
        <v>0</v>
      </c>
      <c r="J168" s="107">
        <f>COUNTIF(J164:J166,Data!$A$1)</f>
        <v>0</v>
      </c>
      <c r="K168" s="107">
        <f>COUNTIF(K164:K166,Data!$A$1)</f>
        <v>0</v>
      </c>
      <c r="L168" s="107">
        <f>COUNTIF(L164:L166,Data!$A$1)</f>
        <v>0</v>
      </c>
      <c r="M168" s="107">
        <f>COUNTIF(M164:M166,Data!$A$1)</f>
        <v>0</v>
      </c>
      <c r="N168" s="107">
        <f>COUNTIF(N164:N166,Data!$A$1)</f>
        <v>0</v>
      </c>
      <c r="O168" s="107">
        <f>COUNTIF(O164:O166,Data!$A$1)</f>
        <v>0</v>
      </c>
      <c r="P168" s="107">
        <f>SUM(I168:K168,M167,M168:N168)</f>
        <v>0</v>
      </c>
    </row>
    <row r="169" spans="1:16" s="108" customFormat="1" ht="17" thickBot="1" x14ac:dyDescent="0.25">
      <c r="G169" s="578" t="s">
        <v>1584</v>
      </c>
      <c r="H169" s="578"/>
      <c r="I169" s="578"/>
      <c r="J169" s="579"/>
      <c r="K169" s="574">
        <f>SUM(O169,K168)</f>
        <v>0</v>
      </c>
      <c r="L169" s="575"/>
      <c r="M169" s="116"/>
      <c r="N169" s="109">
        <f>SUM(O169*5)</f>
        <v>0</v>
      </c>
      <c r="O169" s="114">
        <f>SUM(J168,M167)</f>
        <v>0</v>
      </c>
      <c r="P169" s="116">
        <f>SUM(P168*5)</f>
        <v>0</v>
      </c>
    </row>
    <row r="170" spans="1:16" s="453" customFormat="1" ht="14" x14ac:dyDescent="0.2">
      <c r="B170" s="463"/>
      <c r="C170" s="463"/>
      <c r="D170" s="443"/>
      <c r="F170" s="463"/>
      <c r="G170" s="112"/>
      <c r="H170" s="463"/>
    </row>
    <row r="171" spans="1:16" s="453" customFormat="1" ht="14" x14ac:dyDescent="0.2">
      <c r="A171" s="471">
        <v>10</v>
      </c>
      <c r="B171" s="112">
        <v>1</v>
      </c>
      <c r="C171" s="571" t="s">
        <v>1648</v>
      </c>
      <c r="D171" s="571"/>
      <c r="E171" s="571"/>
      <c r="F171" s="571"/>
      <c r="G171" s="571"/>
      <c r="H171" s="571"/>
      <c r="I171" s="166" t="s">
        <v>211</v>
      </c>
      <c r="J171" s="166" t="s">
        <v>211</v>
      </c>
      <c r="K171" s="166" t="s">
        <v>211</v>
      </c>
      <c r="L171" s="166" t="s">
        <v>211</v>
      </c>
      <c r="M171" s="166" t="s">
        <v>211</v>
      </c>
      <c r="N171" s="166" t="s">
        <v>211</v>
      </c>
      <c r="O171" s="166" t="s">
        <v>211</v>
      </c>
    </row>
    <row r="172" spans="1:16" s="453" customFormat="1" ht="14" x14ac:dyDescent="0.2">
      <c r="B172" s="112">
        <v>2</v>
      </c>
      <c r="C172" s="571" t="s">
        <v>1649</v>
      </c>
      <c r="D172" s="571"/>
      <c r="E172" s="571"/>
      <c r="F172" s="571"/>
      <c r="G172" s="571"/>
      <c r="H172" s="571"/>
      <c r="I172" s="166" t="s">
        <v>211</v>
      </c>
      <c r="J172" s="166" t="s">
        <v>211</v>
      </c>
      <c r="K172" s="166" t="s">
        <v>211</v>
      </c>
      <c r="L172" s="166" t="s">
        <v>211</v>
      </c>
      <c r="M172" s="166" t="s">
        <v>211</v>
      </c>
      <c r="N172" s="166" t="s">
        <v>211</v>
      </c>
      <c r="O172" s="166" t="s">
        <v>211</v>
      </c>
    </row>
    <row r="173" spans="1:16" s="453" customFormat="1" ht="14" x14ac:dyDescent="0.2">
      <c r="B173" s="112" t="s">
        <v>11</v>
      </c>
      <c r="C173" s="571" t="s">
        <v>1650</v>
      </c>
      <c r="D173" s="571"/>
      <c r="E173" s="571"/>
      <c r="F173" s="571"/>
      <c r="G173" s="571"/>
      <c r="H173" s="571"/>
      <c r="I173" s="166" t="s">
        <v>211</v>
      </c>
      <c r="J173" s="166" t="s">
        <v>211</v>
      </c>
      <c r="K173" s="166" t="s">
        <v>211</v>
      </c>
      <c r="L173" s="166" t="s">
        <v>211</v>
      </c>
      <c r="M173" s="166" t="s">
        <v>211</v>
      </c>
      <c r="N173" s="166" t="s">
        <v>211</v>
      </c>
      <c r="O173" s="166" t="s">
        <v>211</v>
      </c>
    </row>
    <row r="174" spans="1:16" s="453" customFormat="1" ht="14" x14ac:dyDescent="0.2">
      <c r="B174" s="112">
        <v>3</v>
      </c>
      <c r="C174" s="571" t="s">
        <v>1651</v>
      </c>
      <c r="D174" s="571"/>
      <c r="E174" s="571"/>
      <c r="F174" s="571"/>
      <c r="G174" s="571"/>
      <c r="H174" s="571"/>
      <c r="I174" s="166" t="s">
        <v>211</v>
      </c>
      <c r="J174" s="166" t="s">
        <v>211</v>
      </c>
      <c r="K174" s="166" t="s">
        <v>211</v>
      </c>
      <c r="L174" s="166" t="s">
        <v>211</v>
      </c>
      <c r="M174" s="166" t="s">
        <v>211</v>
      </c>
      <c r="N174" s="166" t="s">
        <v>211</v>
      </c>
      <c r="O174" s="166" t="s">
        <v>211</v>
      </c>
    </row>
    <row r="175" spans="1:16" s="453" customFormat="1" ht="14" x14ac:dyDescent="0.2">
      <c r="B175" s="112" t="s">
        <v>17</v>
      </c>
      <c r="C175" s="571" t="s">
        <v>1652</v>
      </c>
      <c r="D175" s="571"/>
      <c r="E175" s="571"/>
      <c r="F175" s="571"/>
      <c r="G175" s="571"/>
      <c r="H175" s="571"/>
      <c r="I175" s="166" t="s">
        <v>211</v>
      </c>
      <c r="J175" s="166" t="s">
        <v>211</v>
      </c>
      <c r="K175" s="166" t="s">
        <v>211</v>
      </c>
      <c r="L175" s="166" t="s">
        <v>211</v>
      </c>
      <c r="M175" s="166" t="s">
        <v>211</v>
      </c>
      <c r="N175" s="166" t="s">
        <v>211</v>
      </c>
      <c r="O175" s="166" t="s">
        <v>211</v>
      </c>
    </row>
    <row r="176" spans="1:16" s="453" customFormat="1" ht="14" x14ac:dyDescent="0.2">
      <c r="B176" s="112">
        <v>4</v>
      </c>
      <c r="C176" s="571" t="s">
        <v>1653</v>
      </c>
      <c r="D176" s="571"/>
      <c r="E176" s="571"/>
      <c r="F176" s="571"/>
      <c r="G176" s="571"/>
      <c r="H176" s="571"/>
      <c r="I176" s="166" t="s">
        <v>211</v>
      </c>
      <c r="J176" s="166" t="s">
        <v>211</v>
      </c>
      <c r="K176" s="166" t="s">
        <v>211</v>
      </c>
      <c r="L176" s="166" t="s">
        <v>211</v>
      </c>
      <c r="M176" s="166" t="s">
        <v>211</v>
      </c>
      <c r="N176" s="166" t="s">
        <v>211</v>
      </c>
      <c r="O176" s="166" t="s">
        <v>211</v>
      </c>
    </row>
    <row r="177" spans="1:16" s="453" customFormat="1" ht="14" x14ac:dyDescent="0.2">
      <c r="B177" s="112">
        <v>5</v>
      </c>
      <c r="C177" s="571" t="s">
        <v>1654</v>
      </c>
      <c r="D177" s="571"/>
      <c r="E177" s="571"/>
      <c r="F177" s="571"/>
      <c r="G177" s="571"/>
      <c r="H177" s="571"/>
      <c r="I177" s="166" t="s">
        <v>211</v>
      </c>
      <c r="J177" s="166" t="s">
        <v>211</v>
      </c>
      <c r="K177" s="166" t="s">
        <v>211</v>
      </c>
      <c r="L177" s="166" t="s">
        <v>211</v>
      </c>
      <c r="M177" s="166" t="s">
        <v>211</v>
      </c>
      <c r="N177" s="166" t="s">
        <v>211</v>
      </c>
      <c r="O177" s="166" t="s">
        <v>211</v>
      </c>
    </row>
    <row r="178" spans="1:16" s="453" customFormat="1" ht="14" x14ac:dyDescent="0.2">
      <c r="B178" s="112">
        <v>6</v>
      </c>
      <c r="C178" s="571" t="s">
        <v>1655</v>
      </c>
      <c r="D178" s="571"/>
      <c r="E178" s="571"/>
      <c r="F178" s="571"/>
      <c r="G178" s="571"/>
      <c r="H178" s="571"/>
      <c r="I178" s="166" t="s">
        <v>211</v>
      </c>
      <c r="J178" s="166" t="s">
        <v>211</v>
      </c>
      <c r="K178" s="166" t="s">
        <v>211</v>
      </c>
      <c r="L178" s="166" t="s">
        <v>211</v>
      </c>
      <c r="M178" s="166" t="s">
        <v>211</v>
      </c>
      <c r="N178" s="166" t="s">
        <v>211</v>
      </c>
      <c r="O178" s="166" t="s">
        <v>211</v>
      </c>
    </row>
    <row r="179" spans="1:16" s="453" customFormat="1" ht="14" x14ac:dyDescent="0.2">
      <c r="B179" s="112">
        <v>7</v>
      </c>
      <c r="C179" s="571" t="s">
        <v>1600</v>
      </c>
      <c r="D179" s="571"/>
      <c r="E179" s="571"/>
      <c r="F179" s="571"/>
      <c r="G179" s="571"/>
      <c r="H179" s="571"/>
      <c r="I179" s="98" t="s">
        <v>211</v>
      </c>
      <c r="J179" s="106" t="s">
        <v>214</v>
      </c>
      <c r="K179" s="98" t="s">
        <v>211</v>
      </c>
      <c r="L179" s="106" t="s">
        <v>213</v>
      </c>
      <c r="M179" s="213">
        <f>COUNTIF(K179,Data!$A$1)</f>
        <v>0</v>
      </c>
      <c r="N179" s="213"/>
      <c r="O179" s="107"/>
      <c r="P179" s="107">
        <f>SUM(O181*4)</f>
        <v>0</v>
      </c>
    </row>
    <row r="180" spans="1:16" s="108" customFormat="1" ht="17" thickBot="1" x14ac:dyDescent="0.25">
      <c r="D180" s="108" t="s">
        <v>291</v>
      </c>
      <c r="F180" s="103" t="s">
        <v>1588</v>
      </c>
      <c r="G180" s="683" t="s">
        <v>311</v>
      </c>
      <c r="H180" s="684"/>
      <c r="I180" s="722" t="s">
        <v>306</v>
      </c>
      <c r="J180" s="723"/>
      <c r="K180" s="724"/>
      <c r="L180" s="116">
        <f>COUNTIF(L171:L178,Data!$A$1)</f>
        <v>0</v>
      </c>
      <c r="M180" s="116">
        <f>COUNTIF(M171:M178,Data!$A$1)</f>
        <v>0</v>
      </c>
      <c r="N180" s="116">
        <f>COUNTIF(N171:N178,Data!$A$1)</f>
        <v>0</v>
      </c>
      <c r="O180" s="116">
        <f>COUNTIF(O171:O178,Data!$A$1)</f>
        <v>0</v>
      </c>
      <c r="P180" s="116">
        <f>SUM(D181,N181,O181,M179,M180,N180)</f>
        <v>0</v>
      </c>
    </row>
    <row r="181" spans="1:16" s="108" customFormat="1" ht="17" thickBot="1" x14ac:dyDescent="0.25">
      <c r="D181" s="116">
        <f>COUNTIF(I171:I179,Data!$A$1)</f>
        <v>0</v>
      </c>
      <c r="G181" s="578" t="s">
        <v>1584</v>
      </c>
      <c r="H181" s="578"/>
      <c r="I181" s="578"/>
      <c r="J181" s="579"/>
      <c r="K181" s="574">
        <f>SUM(O181,M181)</f>
        <v>0</v>
      </c>
      <c r="L181" s="575"/>
      <c r="M181" s="116">
        <f>SUM(N181*5)</f>
        <v>0</v>
      </c>
      <c r="N181" s="116">
        <f>COUNTIF(J171:J178,Data!$A$1)</f>
        <v>0</v>
      </c>
      <c r="O181" s="116">
        <f>COUNTIF(K171:K178,Data!$A$1)</f>
        <v>0</v>
      </c>
      <c r="P181" s="114">
        <f>SUM(P180*5)</f>
        <v>0</v>
      </c>
    </row>
    <row r="182" spans="1:16" s="453" customFormat="1" ht="14" x14ac:dyDescent="0.2">
      <c r="B182" s="463"/>
      <c r="C182" s="463"/>
      <c r="D182" s="443"/>
      <c r="F182" s="463"/>
      <c r="G182" s="112"/>
      <c r="H182" s="463"/>
    </row>
    <row r="183" spans="1:16" s="453" customFormat="1" ht="14" x14ac:dyDescent="0.2">
      <c r="A183" s="471">
        <v>11</v>
      </c>
      <c r="B183" s="112">
        <v>1</v>
      </c>
      <c r="C183" s="571" t="s">
        <v>1595</v>
      </c>
      <c r="D183" s="571"/>
      <c r="E183" s="571"/>
      <c r="F183" s="571"/>
      <c r="G183" s="571"/>
      <c r="H183" s="571"/>
      <c r="I183" s="166" t="s">
        <v>211</v>
      </c>
      <c r="J183" s="166" t="s">
        <v>211</v>
      </c>
      <c r="K183" s="166" t="s">
        <v>211</v>
      </c>
      <c r="L183" s="166" t="s">
        <v>211</v>
      </c>
      <c r="M183" s="166" t="s">
        <v>211</v>
      </c>
      <c r="N183" s="166" t="s">
        <v>211</v>
      </c>
      <c r="O183" s="166" t="s">
        <v>211</v>
      </c>
    </row>
    <row r="184" spans="1:16" s="453" customFormat="1" ht="14" x14ac:dyDescent="0.2">
      <c r="B184" s="112">
        <v>2</v>
      </c>
      <c r="C184" s="571" t="s">
        <v>1656</v>
      </c>
      <c r="D184" s="571"/>
      <c r="E184" s="571"/>
      <c r="F184" s="571"/>
      <c r="G184" s="571"/>
      <c r="H184" s="571"/>
      <c r="I184" s="166" t="s">
        <v>211</v>
      </c>
      <c r="J184" s="166" t="s">
        <v>211</v>
      </c>
      <c r="K184" s="166" t="s">
        <v>211</v>
      </c>
      <c r="L184" s="166" t="s">
        <v>211</v>
      </c>
      <c r="M184" s="166" t="s">
        <v>211</v>
      </c>
      <c r="N184" s="166" t="s">
        <v>211</v>
      </c>
      <c r="O184" s="166" t="s">
        <v>211</v>
      </c>
    </row>
    <row r="185" spans="1:16" s="453" customFormat="1" ht="14" x14ac:dyDescent="0.2">
      <c r="B185" s="112">
        <v>3</v>
      </c>
      <c r="C185" s="571" t="s">
        <v>1657</v>
      </c>
      <c r="D185" s="571"/>
      <c r="E185" s="571"/>
      <c r="F185" s="571"/>
      <c r="G185" s="571"/>
      <c r="H185" s="571"/>
      <c r="I185" s="166" t="s">
        <v>211</v>
      </c>
      <c r="J185" s="166" t="s">
        <v>211</v>
      </c>
      <c r="K185" s="166" t="s">
        <v>211</v>
      </c>
      <c r="L185" s="166" t="s">
        <v>211</v>
      </c>
      <c r="M185" s="166" t="s">
        <v>211</v>
      </c>
      <c r="N185" s="166" t="s">
        <v>211</v>
      </c>
      <c r="O185" s="166" t="s">
        <v>211</v>
      </c>
    </row>
    <row r="186" spans="1:16" s="453" customFormat="1" ht="14" x14ac:dyDescent="0.2">
      <c r="B186" s="112">
        <v>4</v>
      </c>
      <c r="C186" s="571" t="s">
        <v>1658</v>
      </c>
      <c r="D186" s="571"/>
      <c r="E186" s="571"/>
      <c r="F186" s="571"/>
      <c r="G186" s="571"/>
      <c r="H186" s="571"/>
      <c r="I186" s="166" t="s">
        <v>211</v>
      </c>
      <c r="J186" s="166" t="s">
        <v>211</v>
      </c>
      <c r="K186" s="166" t="s">
        <v>211</v>
      </c>
      <c r="L186" s="166" t="s">
        <v>211</v>
      </c>
      <c r="M186" s="166" t="s">
        <v>211</v>
      </c>
      <c r="N186" s="166" t="s">
        <v>211</v>
      </c>
      <c r="O186" s="166" t="s">
        <v>211</v>
      </c>
    </row>
    <row r="187" spans="1:16" s="453" customFormat="1" ht="14" x14ac:dyDescent="0.2">
      <c r="B187" s="112">
        <v>5</v>
      </c>
      <c r="C187" s="573" t="s">
        <v>1600</v>
      </c>
      <c r="D187" s="573"/>
      <c r="E187" s="573"/>
      <c r="F187" s="573"/>
      <c r="G187" s="573"/>
      <c r="H187" s="573"/>
      <c r="I187" s="98" t="s">
        <v>211</v>
      </c>
      <c r="J187" s="106" t="s">
        <v>214</v>
      </c>
      <c r="K187" s="98" t="s">
        <v>211</v>
      </c>
      <c r="L187" s="106" t="s">
        <v>213</v>
      </c>
      <c r="M187" s="213">
        <f>COUNTIF(K187,Data!$A$1)</f>
        <v>0</v>
      </c>
      <c r="N187" s="213"/>
      <c r="O187" s="107"/>
      <c r="P187" s="107">
        <f>SUM(K188*4)</f>
        <v>0</v>
      </c>
    </row>
    <row r="188" spans="1:16" s="453" customFormat="1" thickBot="1" x14ac:dyDescent="0.25">
      <c r="H188" s="107"/>
      <c r="I188" s="107">
        <f>COUNTIF(I183:I187,Data!$A$1)</f>
        <v>0</v>
      </c>
      <c r="J188" s="107">
        <f>COUNTIF(J183:J186,Data!$A$1)</f>
        <v>0</v>
      </c>
      <c r="K188" s="107">
        <f>COUNTIF(K183:K186,Data!$A$1)</f>
        <v>0</v>
      </c>
      <c r="L188" s="107">
        <f>COUNTIF(L183:L186,Data!$A$1)</f>
        <v>0</v>
      </c>
      <c r="M188" s="107">
        <f>COUNTIF(M183:M186,Data!$A$1)</f>
        <v>0</v>
      </c>
      <c r="N188" s="107">
        <f>COUNTIF(N183:N186,Data!$A$1)</f>
        <v>0</v>
      </c>
      <c r="O188" s="107">
        <f>COUNTIF(O183:O186,Data!$A$1)</f>
        <v>0</v>
      </c>
      <c r="P188" s="107">
        <f>SUM(I188:K188,M187,M188:N188)</f>
        <v>0</v>
      </c>
    </row>
    <row r="189" spans="1:16" s="108" customFormat="1" ht="17" thickBot="1" x14ac:dyDescent="0.25">
      <c r="G189" s="681" t="s">
        <v>1584</v>
      </c>
      <c r="H189" s="681"/>
      <c r="I189" s="681"/>
      <c r="J189" s="682"/>
      <c r="K189" s="574">
        <f>SUM(K188,N189)</f>
        <v>0</v>
      </c>
      <c r="L189" s="575"/>
      <c r="M189" s="116"/>
      <c r="N189" s="109">
        <f>SUM(O189*5)</f>
        <v>0</v>
      </c>
      <c r="O189" s="114">
        <f>SUM(J188,M187)</f>
        <v>0</v>
      </c>
      <c r="P189" s="116">
        <f>SUM(P188*5)</f>
        <v>0</v>
      </c>
    </row>
    <row r="190" spans="1:16" s="453" customFormat="1" ht="14" x14ac:dyDescent="0.2">
      <c r="B190" s="463"/>
      <c r="C190" s="463"/>
      <c r="D190" s="443"/>
      <c r="F190" s="463"/>
      <c r="G190" s="112"/>
      <c r="H190" s="463"/>
    </row>
    <row r="191" spans="1:16" s="453" customFormat="1" ht="14" x14ac:dyDescent="0.2">
      <c r="A191" s="471">
        <v>12</v>
      </c>
      <c r="B191" s="112">
        <v>1</v>
      </c>
      <c r="C191" s="571" t="s">
        <v>1659</v>
      </c>
      <c r="D191" s="571"/>
      <c r="E191" s="571"/>
      <c r="F191" s="571"/>
      <c r="G191" s="571"/>
      <c r="H191" s="571"/>
      <c r="I191" s="166" t="s">
        <v>211</v>
      </c>
      <c r="J191" s="166" t="s">
        <v>211</v>
      </c>
      <c r="K191" s="166" t="s">
        <v>211</v>
      </c>
      <c r="L191" s="166" t="s">
        <v>211</v>
      </c>
      <c r="M191" s="166" t="s">
        <v>211</v>
      </c>
      <c r="N191" s="166" t="s">
        <v>211</v>
      </c>
      <c r="O191" s="166" t="s">
        <v>211</v>
      </c>
    </row>
    <row r="192" spans="1:16" s="453" customFormat="1" ht="14" x14ac:dyDescent="0.2">
      <c r="B192" s="112" t="s">
        <v>10</v>
      </c>
      <c r="C192" s="571" t="s">
        <v>1660</v>
      </c>
      <c r="D192" s="571"/>
      <c r="E192" s="571"/>
      <c r="F192" s="571"/>
      <c r="G192" s="571"/>
      <c r="H192" s="571"/>
      <c r="I192" s="166" t="s">
        <v>211</v>
      </c>
      <c r="J192" s="166" t="s">
        <v>211</v>
      </c>
      <c r="K192" s="166" t="s">
        <v>211</v>
      </c>
      <c r="L192" s="166" t="s">
        <v>211</v>
      </c>
      <c r="M192" s="166" t="s">
        <v>211</v>
      </c>
      <c r="N192" s="166" t="s">
        <v>211</v>
      </c>
      <c r="O192" s="166" t="s">
        <v>211</v>
      </c>
    </row>
    <row r="193" spans="1:16" s="453" customFormat="1" ht="14" x14ac:dyDescent="0.2">
      <c r="B193" s="112">
        <v>2</v>
      </c>
      <c r="C193" s="571" t="s">
        <v>1661</v>
      </c>
      <c r="D193" s="571"/>
      <c r="E193" s="571"/>
      <c r="F193" s="571"/>
      <c r="G193" s="571"/>
      <c r="H193" s="571"/>
      <c r="I193" s="166" t="s">
        <v>211</v>
      </c>
      <c r="J193" s="166" t="s">
        <v>211</v>
      </c>
      <c r="K193" s="166" t="s">
        <v>211</v>
      </c>
      <c r="L193" s="166" t="s">
        <v>211</v>
      </c>
      <c r="M193" s="166" t="s">
        <v>211</v>
      </c>
      <c r="N193" s="166" t="s">
        <v>211</v>
      </c>
      <c r="O193" s="166" t="s">
        <v>211</v>
      </c>
    </row>
    <row r="194" spans="1:16" s="453" customFormat="1" ht="14" x14ac:dyDescent="0.2">
      <c r="B194" s="112">
        <v>3</v>
      </c>
      <c r="C194" s="571" t="s">
        <v>1662</v>
      </c>
      <c r="D194" s="571"/>
      <c r="E194" s="571"/>
      <c r="F194" s="571"/>
      <c r="G194" s="571"/>
      <c r="H194" s="571"/>
      <c r="I194" s="166" t="s">
        <v>211</v>
      </c>
      <c r="J194" s="166" t="s">
        <v>211</v>
      </c>
      <c r="K194" s="166" t="s">
        <v>211</v>
      </c>
      <c r="L194" s="166" t="s">
        <v>211</v>
      </c>
      <c r="M194" s="166" t="s">
        <v>211</v>
      </c>
      <c r="N194" s="166" t="s">
        <v>211</v>
      </c>
      <c r="O194" s="166" t="s">
        <v>211</v>
      </c>
    </row>
    <row r="195" spans="1:16" s="453" customFormat="1" ht="14" x14ac:dyDescent="0.2">
      <c r="B195" s="112">
        <v>4</v>
      </c>
      <c r="C195" s="571" t="s">
        <v>1663</v>
      </c>
      <c r="D195" s="571"/>
      <c r="E195" s="571"/>
      <c r="F195" s="571"/>
      <c r="G195" s="571"/>
      <c r="H195" s="571"/>
      <c r="I195" s="166" t="s">
        <v>211</v>
      </c>
      <c r="J195" s="166" t="s">
        <v>211</v>
      </c>
      <c r="K195" s="166" t="s">
        <v>211</v>
      </c>
      <c r="L195" s="166" t="s">
        <v>211</v>
      </c>
      <c r="M195" s="166" t="s">
        <v>211</v>
      </c>
      <c r="N195" s="166" t="s">
        <v>211</v>
      </c>
      <c r="O195" s="166" t="s">
        <v>211</v>
      </c>
    </row>
    <row r="196" spans="1:16" s="453" customFormat="1" ht="14" x14ac:dyDescent="0.2">
      <c r="B196" s="112">
        <v>5</v>
      </c>
      <c r="C196" s="571" t="s">
        <v>1664</v>
      </c>
      <c r="D196" s="571"/>
      <c r="E196" s="571"/>
      <c r="F196" s="571"/>
      <c r="G196" s="571"/>
      <c r="H196" s="571"/>
      <c r="I196" s="166" t="s">
        <v>211</v>
      </c>
      <c r="J196" s="166" t="s">
        <v>211</v>
      </c>
      <c r="K196" s="166" t="s">
        <v>211</v>
      </c>
      <c r="L196" s="166" t="s">
        <v>211</v>
      </c>
      <c r="M196" s="166" t="s">
        <v>211</v>
      </c>
      <c r="N196" s="166" t="s">
        <v>211</v>
      </c>
      <c r="O196" s="166" t="s">
        <v>211</v>
      </c>
    </row>
    <row r="197" spans="1:16" s="453" customFormat="1" ht="14" x14ac:dyDescent="0.2">
      <c r="B197" s="112">
        <v>6</v>
      </c>
      <c r="C197" s="571" t="s">
        <v>1665</v>
      </c>
      <c r="D197" s="571"/>
      <c r="E197" s="571"/>
      <c r="F197" s="571"/>
      <c r="G197" s="571"/>
      <c r="H197" s="571"/>
      <c r="I197" s="166" t="s">
        <v>211</v>
      </c>
      <c r="J197" s="166" t="s">
        <v>211</v>
      </c>
      <c r="K197" s="166" t="s">
        <v>211</v>
      </c>
      <c r="L197" s="166" t="s">
        <v>211</v>
      </c>
      <c r="M197" s="166" t="s">
        <v>211</v>
      </c>
      <c r="N197" s="166" t="s">
        <v>211</v>
      </c>
      <c r="O197" s="166" t="s">
        <v>211</v>
      </c>
    </row>
    <row r="198" spans="1:16" s="453" customFormat="1" ht="14" x14ac:dyDescent="0.2">
      <c r="B198" s="112" t="s">
        <v>19</v>
      </c>
      <c r="C198" s="571" t="s">
        <v>1666</v>
      </c>
      <c r="D198" s="571"/>
      <c r="E198" s="571"/>
      <c r="F198" s="571"/>
      <c r="G198" s="571"/>
      <c r="H198" s="571"/>
      <c r="I198" s="166" t="s">
        <v>211</v>
      </c>
      <c r="J198" s="166" t="s">
        <v>211</v>
      </c>
      <c r="K198" s="166" t="s">
        <v>211</v>
      </c>
      <c r="L198" s="166" t="s">
        <v>211</v>
      </c>
      <c r="M198" s="166" t="s">
        <v>211</v>
      </c>
      <c r="N198" s="166" t="s">
        <v>211</v>
      </c>
      <c r="O198" s="166" t="s">
        <v>211</v>
      </c>
    </row>
    <row r="199" spans="1:16" s="453" customFormat="1" ht="14" x14ac:dyDescent="0.2">
      <c r="B199" s="112" t="s">
        <v>20</v>
      </c>
      <c r="C199" s="571" t="s">
        <v>299</v>
      </c>
      <c r="D199" s="571"/>
      <c r="E199" s="571"/>
      <c r="F199" s="571"/>
      <c r="G199" s="571"/>
      <c r="H199" s="571"/>
      <c r="I199" s="166" t="s">
        <v>211</v>
      </c>
      <c r="J199" s="166" t="s">
        <v>211</v>
      </c>
      <c r="K199" s="166" t="s">
        <v>211</v>
      </c>
      <c r="L199" s="166" t="s">
        <v>211</v>
      </c>
      <c r="M199" s="166" t="s">
        <v>211</v>
      </c>
      <c r="N199" s="166" t="s">
        <v>211</v>
      </c>
      <c r="O199" s="166" t="s">
        <v>211</v>
      </c>
    </row>
    <row r="200" spans="1:16" s="453" customFormat="1" ht="14" x14ac:dyDescent="0.2">
      <c r="B200" s="112">
        <v>7</v>
      </c>
      <c r="C200" s="571" t="s">
        <v>1667</v>
      </c>
      <c r="D200" s="571"/>
      <c r="E200" s="571"/>
      <c r="F200" s="571"/>
      <c r="G200" s="571"/>
      <c r="H200" s="571"/>
      <c r="I200" s="166" t="s">
        <v>211</v>
      </c>
      <c r="J200" s="166" t="s">
        <v>211</v>
      </c>
      <c r="K200" s="166" t="s">
        <v>211</v>
      </c>
      <c r="L200" s="166" t="s">
        <v>211</v>
      </c>
      <c r="M200" s="166" t="s">
        <v>211</v>
      </c>
      <c r="N200" s="166" t="s">
        <v>211</v>
      </c>
      <c r="O200" s="166" t="s">
        <v>211</v>
      </c>
    </row>
    <row r="201" spans="1:16" s="453" customFormat="1" ht="14" x14ac:dyDescent="0.2">
      <c r="B201" s="112" t="s">
        <v>118</v>
      </c>
      <c r="C201" s="571" t="s">
        <v>1668</v>
      </c>
      <c r="D201" s="571"/>
      <c r="E201" s="571"/>
      <c r="F201" s="571"/>
      <c r="G201" s="571"/>
      <c r="H201" s="571"/>
      <c r="I201" s="166" t="s">
        <v>211</v>
      </c>
      <c r="J201" s="166" t="s">
        <v>211</v>
      </c>
      <c r="K201" s="166" t="s">
        <v>211</v>
      </c>
      <c r="L201" s="166" t="s">
        <v>211</v>
      </c>
      <c r="M201" s="166" t="s">
        <v>211</v>
      </c>
      <c r="N201" s="166" t="s">
        <v>211</v>
      </c>
      <c r="O201" s="166" t="s">
        <v>211</v>
      </c>
    </row>
    <row r="202" spans="1:16" s="453" customFormat="1" ht="14" x14ac:dyDescent="0.2">
      <c r="B202" s="112" t="s">
        <v>121</v>
      </c>
      <c r="C202" s="571" t="s">
        <v>300</v>
      </c>
      <c r="D202" s="571"/>
      <c r="E202" s="571"/>
      <c r="F202" s="571"/>
      <c r="G202" s="571"/>
      <c r="H202" s="571"/>
      <c r="I202" s="166" t="s">
        <v>211</v>
      </c>
      <c r="J202" s="166" t="s">
        <v>211</v>
      </c>
      <c r="K202" s="166" t="s">
        <v>211</v>
      </c>
      <c r="L202" s="166" t="s">
        <v>211</v>
      </c>
      <c r="M202" s="166" t="s">
        <v>211</v>
      </c>
      <c r="N202" s="166" t="s">
        <v>211</v>
      </c>
      <c r="O202" s="166" t="s">
        <v>211</v>
      </c>
    </row>
    <row r="203" spans="1:16" s="453" customFormat="1" ht="14" x14ac:dyDescent="0.2">
      <c r="B203" s="112">
        <v>8</v>
      </c>
      <c r="C203" s="571" t="s">
        <v>1600</v>
      </c>
      <c r="D203" s="571"/>
      <c r="E203" s="571"/>
      <c r="F203" s="571"/>
      <c r="G203" s="571"/>
      <c r="H203" s="571"/>
      <c r="I203" s="98" t="s">
        <v>211</v>
      </c>
      <c r="J203" s="106" t="s">
        <v>214</v>
      </c>
      <c r="K203" s="98" t="s">
        <v>211</v>
      </c>
      <c r="L203" s="106" t="s">
        <v>213</v>
      </c>
      <c r="M203" s="213">
        <f>COUNTIF(K203,Data!$A$1)</f>
        <v>0</v>
      </c>
      <c r="N203" s="213"/>
      <c r="O203" s="107"/>
      <c r="P203" s="107">
        <f>SUM(K204*4)</f>
        <v>0</v>
      </c>
    </row>
    <row r="204" spans="1:16" s="453" customFormat="1" thickBot="1" x14ac:dyDescent="0.25">
      <c r="H204" s="107"/>
      <c r="I204" s="107">
        <f>COUNTIF(I191:I203,Data!$A$1)</f>
        <v>0</v>
      </c>
      <c r="J204" s="107">
        <f>COUNTIF(J191:J202,Data!$A$1)</f>
        <v>0</v>
      </c>
      <c r="K204" s="107">
        <f>COUNTIF(K191:K202,Data!$A$1)</f>
        <v>0</v>
      </c>
      <c r="L204" s="107">
        <f>COUNTIF(L191:L202,Data!$A$1)</f>
        <v>0</v>
      </c>
      <c r="M204" s="107">
        <f>COUNTIF(M191:M202,Data!$A$1)</f>
        <v>0</v>
      </c>
      <c r="N204" s="107">
        <f>COUNTIF(N191:N202,Data!$A$1)</f>
        <v>0</v>
      </c>
      <c r="O204" s="107">
        <f>COUNTIF(O191:O202,Data!$A$1)</f>
        <v>0</v>
      </c>
      <c r="P204" s="107">
        <f>SUM(I204:K204,M203,M204:N204)</f>
        <v>0</v>
      </c>
    </row>
    <row r="205" spans="1:16" s="108" customFormat="1" ht="17" thickBot="1" x14ac:dyDescent="0.25">
      <c r="G205" s="578" t="s">
        <v>1584</v>
      </c>
      <c r="H205" s="578"/>
      <c r="I205" s="578"/>
      <c r="J205" s="579"/>
      <c r="K205" s="574">
        <f>SUM(K204,N205)</f>
        <v>0</v>
      </c>
      <c r="L205" s="575"/>
      <c r="M205" s="116"/>
      <c r="N205" s="109">
        <f>SUM(O205*5)</f>
        <v>0</v>
      </c>
      <c r="O205" s="114">
        <f>SUM(J204,M203)</f>
        <v>0</v>
      </c>
      <c r="P205" s="116">
        <f>SUM(P204*5)</f>
        <v>0</v>
      </c>
    </row>
    <row r="206" spans="1:16" s="453" customFormat="1" ht="14" x14ac:dyDescent="0.2">
      <c r="B206" s="463"/>
      <c r="C206" s="463"/>
      <c r="D206" s="443"/>
      <c r="F206" s="463"/>
      <c r="G206" s="112"/>
      <c r="H206" s="463"/>
      <c r="L206" s="124"/>
      <c r="M206" s="124"/>
      <c r="N206" s="124"/>
    </row>
    <row r="207" spans="1:16" s="453" customFormat="1" ht="14" x14ac:dyDescent="0.2">
      <c r="A207" s="471">
        <v>13</v>
      </c>
      <c r="B207" s="112">
        <v>1</v>
      </c>
      <c r="C207" s="571" t="s">
        <v>1595</v>
      </c>
      <c r="D207" s="571"/>
      <c r="E207" s="571"/>
      <c r="F207" s="571"/>
      <c r="G207" s="571"/>
      <c r="H207" s="571"/>
      <c r="I207" s="166" t="s">
        <v>211</v>
      </c>
      <c r="J207" s="166" t="s">
        <v>211</v>
      </c>
      <c r="K207" s="166" t="s">
        <v>211</v>
      </c>
      <c r="L207" s="166" t="s">
        <v>211</v>
      </c>
      <c r="M207" s="166" t="s">
        <v>211</v>
      </c>
      <c r="N207" s="166" t="s">
        <v>211</v>
      </c>
      <c r="O207" s="166" t="s">
        <v>211</v>
      </c>
    </row>
    <row r="208" spans="1:16" s="453" customFormat="1" ht="14" x14ac:dyDescent="0.2">
      <c r="B208" s="112">
        <v>2</v>
      </c>
      <c r="C208" s="571" t="s">
        <v>1669</v>
      </c>
      <c r="D208" s="571"/>
      <c r="E208" s="571"/>
      <c r="F208" s="571"/>
      <c r="G208" s="571"/>
      <c r="H208" s="571"/>
      <c r="I208" s="166" t="s">
        <v>211</v>
      </c>
      <c r="J208" s="166" t="s">
        <v>211</v>
      </c>
      <c r="K208" s="166" t="s">
        <v>211</v>
      </c>
      <c r="L208" s="166" t="s">
        <v>211</v>
      </c>
      <c r="M208" s="166" t="s">
        <v>211</v>
      </c>
      <c r="N208" s="166" t="s">
        <v>211</v>
      </c>
      <c r="O208" s="166" t="s">
        <v>211</v>
      </c>
    </row>
    <row r="209" spans="1:17" s="453" customFormat="1" ht="14" x14ac:dyDescent="0.2">
      <c r="B209" s="112">
        <v>3</v>
      </c>
      <c r="C209" s="571" t="s">
        <v>1670</v>
      </c>
      <c r="D209" s="571"/>
      <c r="E209" s="571"/>
      <c r="F209" s="571"/>
      <c r="G209" s="571"/>
      <c r="H209" s="571"/>
      <c r="I209" s="166" t="s">
        <v>211</v>
      </c>
      <c r="J209" s="166" t="s">
        <v>211</v>
      </c>
      <c r="K209" s="166" t="s">
        <v>211</v>
      </c>
      <c r="L209" s="166" t="s">
        <v>211</v>
      </c>
      <c r="M209" s="166" t="s">
        <v>211</v>
      </c>
      <c r="N209" s="166" t="s">
        <v>211</v>
      </c>
      <c r="O209" s="166" t="s">
        <v>211</v>
      </c>
    </row>
    <row r="210" spans="1:17" s="453" customFormat="1" ht="14" x14ac:dyDescent="0.2">
      <c r="B210" s="112">
        <v>4</v>
      </c>
      <c r="C210" s="573" t="s">
        <v>1600</v>
      </c>
      <c r="D210" s="573"/>
      <c r="E210" s="573"/>
      <c r="F210" s="573"/>
      <c r="G210" s="573"/>
      <c r="H210" s="573"/>
      <c r="I210" s="98" t="s">
        <v>211</v>
      </c>
      <c r="J210" s="106" t="s">
        <v>214</v>
      </c>
      <c r="K210" s="98" t="s">
        <v>211</v>
      </c>
      <c r="L210" s="106" t="s">
        <v>213</v>
      </c>
      <c r="M210" s="214">
        <f>COUNTIF(K210,Data!$A$1)</f>
        <v>0</v>
      </c>
      <c r="N210" s="106"/>
      <c r="P210" s="107">
        <f>SUM(K211*4)</f>
        <v>0</v>
      </c>
    </row>
    <row r="211" spans="1:17" s="453" customFormat="1" thickBot="1" x14ac:dyDescent="0.25">
      <c r="H211" s="107"/>
      <c r="I211" s="107">
        <f>COUNTIF(I207:I210,Data!$A$1)</f>
        <v>0</v>
      </c>
      <c r="J211" s="107">
        <f>COUNTIF(J207:J209,Data!$A$1)</f>
        <v>0</v>
      </c>
      <c r="K211" s="107">
        <f>COUNTIF(K207:K209,Data!$A$1)</f>
        <v>0</v>
      </c>
      <c r="L211" s="107">
        <f>COUNTIF(L207:L209,Data!$A$1)</f>
        <v>0</v>
      </c>
      <c r="M211" s="107">
        <f>COUNTIF(M207:M209,Data!$A$1)</f>
        <v>0</v>
      </c>
      <c r="N211" s="107">
        <f>COUNTIF(N207:N209,Data!$A$1)</f>
        <v>0</v>
      </c>
      <c r="O211" s="107">
        <f>COUNTIF(O207:O209,Data!$A$1)</f>
        <v>0</v>
      </c>
      <c r="P211" s="107">
        <f>SUM(I211:K211,M210,M211:N211)</f>
        <v>0</v>
      </c>
    </row>
    <row r="212" spans="1:17" s="108" customFormat="1" ht="17" thickBot="1" x14ac:dyDescent="0.25">
      <c r="G212" s="578" t="s">
        <v>1584</v>
      </c>
      <c r="H212" s="578"/>
      <c r="I212" s="578"/>
      <c r="J212" s="579"/>
      <c r="K212" s="574">
        <f>SUM(O212,K211)</f>
        <v>0</v>
      </c>
      <c r="L212" s="575"/>
      <c r="M212" s="116"/>
      <c r="N212" s="109">
        <f>SUM(O212*5)</f>
        <v>0</v>
      </c>
      <c r="O212" s="114">
        <f>SUM(J211,M210)</f>
        <v>0</v>
      </c>
      <c r="P212" s="116">
        <f>SUM(P211*5)</f>
        <v>0</v>
      </c>
    </row>
    <row r="213" spans="1:17" s="453" customFormat="1" ht="14" x14ac:dyDescent="0.2">
      <c r="B213" s="463"/>
      <c r="C213" s="463"/>
      <c r="D213" s="443"/>
      <c r="F213" s="463"/>
      <c r="G213" s="112"/>
      <c r="H213" s="463"/>
    </row>
    <row r="214" spans="1:17" s="453" customFormat="1" ht="14" x14ac:dyDescent="0.2">
      <c r="A214" s="471">
        <v>14</v>
      </c>
      <c r="B214" s="112">
        <v>1</v>
      </c>
      <c r="C214" s="571" t="s">
        <v>1671</v>
      </c>
      <c r="D214" s="571"/>
      <c r="E214" s="571"/>
      <c r="F214" s="571"/>
      <c r="G214" s="571"/>
      <c r="H214" s="571"/>
      <c r="I214" s="166" t="s">
        <v>211</v>
      </c>
      <c r="J214" s="166" t="s">
        <v>211</v>
      </c>
      <c r="K214" s="166" t="s">
        <v>211</v>
      </c>
      <c r="L214" s="166" t="s">
        <v>211</v>
      </c>
      <c r="M214" s="166" t="s">
        <v>211</v>
      </c>
      <c r="N214" s="166" t="s">
        <v>211</v>
      </c>
      <c r="O214" s="166" t="s">
        <v>211</v>
      </c>
    </row>
    <row r="215" spans="1:17" s="453" customFormat="1" ht="14" x14ac:dyDescent="0.2">
      <c r="B215" s="112">
        <v>2</v>
      </c>
      <c r="C215" s="571" t="s">
        <v>1672</v>
      </c>
      <c r="D215" s="571"/>
      <c r="E215" s="571"/>
      <c r="F215" s="571"/>
      <c r="G215" s="571"/>
      <c r="H215" s="571"/>
      <c r="I215" s="166" t="s">
        <v>211</v>
      </c>
      <c r="J215" s="166" t="s">
        <v>211</v>
      </c>
      <c r="K215" s="166" t="s">
        <v>211</v>
      </c>
      <c r="L215" s="166" t="s">
        <v>211</v>
      </c>
      <c r="M215" s="166" t="s">
        <v>211</v>
      </c>
      <c r="N215" s="166" t="s">
        <v>211</v>
      </c>
      <c r="O215" s="166" t="s">
        <v>211</v>
      </c>
    </row>
    <row r="216" spans="1:17" s="453" customFormat="1" ht="14" x14ac:dyDescent="0.2">
      <c r="B216" s="453">
        <v>3</v>
      </c>
      <c r="C216" s="571" t="s">
        <v>1595</v>
      </c>
      <c r="D216" s="571"/>
      <c r="E216" s="571"/>
      <c r="F216" s="571"/>
      <c r="G216" s="571"/>
      <c r="H216" s="571"/>
      <c r="I216" s="166" t="s">
        <v>211</v>
      </c>
      <c r="J216" s="166" t="s">
        <v>211</v>
      </c>
      <c r="K216" s="166" t="s">
        <v>211</v>
      </c>
      <c r="L216" s="166" t="s">
        <v>211</v>
      </c>
      <c r="M216" s="166" t="s">
        <v>211</v>
      </c>
      <c r="N216" s="166" t="s">
        <v>211</v>
      </c>
      <c r="O216" s="166" t="s">
        <v>211</v>
      </c>
    </row>
    <row r="217" spans="1:17" s="453" customFormat="1" ht="14" x14ac:dyDescent="0.2">
      <c r="B217" s="112">
        <v>4</v>
      </c>
      <c r="C217" s="571" t="s">
        <v>1670</v>
      </c>
      <c r="D217" s="571"/>
      <c r="E217" s="571"/>
      <c r="F217" s="571"/>
      <c r="G217" s="571"/>
      <c r="H217" s="571"/>
      <c r="I217" s="166" t="s">
        <v>211</v>
      </c>
      <c r="J217" s="166" t="s">
        <v>211</v>
      </c>
      <c r="K217" s="166" t="s">
        <v>211</v>
      </c>
      <c r="L217" s="166" t="s">
        <v>211</v>
      </c>
      <c r="M217" s="166" t="s">
        <v>211</v>
      </c>
      <c r="N217" s="166" t="s">
        <v>211</v>
      </c>
      <c r="O217" s="166" t="s">
        <v>211</v>
      </c>
    </row>
    <row r="218" spans="1:17" s="453" customFormat="1" ht="14" x14ac:dyDescent="0.2">
      <c r="B218" s="112">
        <v>5</v>
      </c>
      <c r="C218" s="573" t="s">
        <v>1600</v>
      </c>
      <c r="D218" s="573"/>
      <c r="E218" s="573"/>
      <c r="F218" s="573"/>
      <c r="G218" s="573"/>
      <c r="H218" s="573"/>
      <c r="I218" s="98" t="s">
        <v>211</v>
      </c>
      <c r="J218" s="106" t="s">
        <v>214</v>
      </c>
      <c r="K218" s="98" t="s">
        <v>211</v>
      </c>
      <c r="L218" s="106" t="s">
        <v>213</v>
      </c>
      <c r="M218" s="214">
        <f>COUNTIF(K218,Data!$A$1)</f>
        <v>0</v>
      </c>
      <c r="N218" s="106"/>
      <c r="P218" s="107">
        <f>SUM(K219*4)</f>
        <v>0</v>
      </c>
    </row>
    <row r="219" spans="1:17" s="453" customFormat="1" thickBot="1" x14ac:dyDescent="0.25">
      <c r="H219" s="107"/>
      <c r="I219" s="107">
        <f>COUNTIF(I214:I218,Data!$A$1)</f>
        <v>0</v>
      </c>
      <c r="J219" s="107">
        <f>COUNTIF(J214:J217,Data!$A$1)</f>
        <v>0</v>
      </c>
      <c r="K219" s="107">
        <f>COUNTIF(K214:K217,Data!$A$1)</f>
        <v>0</v>
      </c>
      <c r="L219" s="107">
        <f>COUNTIF(L214:L217,Data!$A$1)</f>
        <v>0</v>
      </c>
      <c r="M219" s="107">
        <f>COUNTIF(M214:M217,Data!$A$1)</f>
        <v>0</v>
      </c>
      <c r="N219" s="107">
        <f>COUNTIF(N214:N217,Data!$A$1)</f>
        <v>0</v>
      </c>
      <c r="O219" s="107">
        <f>COUNTIF(O214:O217,Data!$A$1)</f>
        <v>0</v>
      </c>
      <c r="P219" s="107">
        <f>SUM(I219:K219,M218,M219:N219)</f>
        <v>0</v>
      </c>
    </row>
    <row r="220" spans="1:17" s="108" customFormat="1" ht="17" thickBot="1" x14ac:dyDescent="0.25">
      <c r="G220" s="578" t="s">
        <v>1584</v>
      </c>
      <c r="H220" s="578"/>
      <c r="I220" s="578"/>
      <c r="J220" s="579"/>
      <c r="K220" s="574">
        <f>SUM(O220,K219)</f>
        <v>0</v>
      </c>
      <c r="L220" s="575"/>
      <c r="M220" s="116"/>
      <c r="N220" s="109">
        <f>SUM(O220*5)</f>
        <v>0</v>
      </c>
      <c r="O220" s="114">
        <f>SUM(J219,M218)</f>
        <v>0</v>
      </c>
      <c r="P220" s="116">
        <f>SUM(P219*5)</f>
        <v>0</v>
      </c>
      <c r="Q220" s="116"/>
    </row>
    <row r="221" spans="1:17" s="453" customFormat="1" ht="14" x14ac:dyDescent="0.2">
      <c r="B221" s="463"/>
      <c r="C221" s="463"/>
      <c r="D221" s="443"/>
      <c r="F221" s="463"/>
      <c r="G221" s="112"/>
      <c r="H221" s="463"/>
    </row>
    <row r="222" spans="1:17" s="453" customFormat="1" ht="14" x14ac:dyDescent="0.2">
      <c r="A222" s="471">
        <v>15</v>
      </c>
      <c r="B222" s="112">
        <v>1</v>
      </c>
      <c r="C222" s="571" t="s">
        <v>1673</v>
      </c>
      <c r="D222" s="571"/>
      <c r="E222" s="571"/>
      <c r="F222" s="571"/>
      <c r="G222" s="571"/>
      <c r="H222" s="571"/>
      <c r="I222" s="166" t="s">
        <v>211</v>
      </c>
      <c r="J222" s="166" t="s">
        <v>211</v>
      </c>
      <c r="K222" s="166" t="s">
        <v>211</v>
      </c>
      <c r="L222" s="166" t="s">
        <v>211</v>
      </c>
      <c r="M222" s="166" t="s">
        <v>211</v>
      </c>
      <c r="N222" s="166" t="s">
        <v>211</v>
      </c>
      <c r="O222" s="166" t="s">
        <v>211</v>
      </c>
    </row>
    <row r="223" spans="1:17" s="453" customFormat="1" ht="14" x14ac:dyDescent="0.2">
      <c r="B223" s="112" t="s">
        <v>10</v>
      </c>
      <c r="C223" s="571" t="s">
        <v>1674</v>
      </c>
      <c r="D223" s="571"/>
      <c r="E223" s="571"/>
      <c r="F223" s="571"/>
      <c r="G223" s="571"/>
      <c r="H223" s="571"/>
      <c r="I223" s="166" t="s">
        <v>211</v>
      </c>
      <c r="J223" s="166" t="s">
        <v>211</v>
      </c>
      <c r="K223" s="166" t="s">
        <v>211</v>
      </c>
      <c r="L223" s="166" t="s">
        <v>211</v>
      </c>
      <c r="M223" s="166" t="s">
        <v>211</v>
      </c>
      <c r="N223" s="166" t="s">
        <v>211</v>
      </c>
      <c r="O223" s="166" t="s">
        <v>211</v>
      </c>
    </row>
    <row r="224" spans="1:17" s="453" customFormat="1" ht="14" x14ac:dyDescent="0.2">
      <c r="B224" s="112">
        <v>2</v>
      </c>
      <c r="C224" s="571" t="s">
        <v>1675</v>
      </c>
      <c r="D224" s="571"/>
      <c r="E224" s="571"/>
      <c r="F224" s="571"/>
      <c r="G224" s="571"/>
      <c r="H224" s="571"/>
      <c r="I224" s="166" t="s">
        <v>211</v>
      </c>
      <c r="J224" s="166" t="s">
        <v>211</v>
      </c>
      <c r="K224" s="166" t="s">
        <v>211</v>
      </c>
      <c r="L224" s="166" t="s">
        <v>211</v>
      </c>
      <c r="M224" s="166" t="s">
        <v>211</v>
      </c>
      <c r="N224" s="166" t="s">
        <v>211</v>
      </c>
      <c r="O224" s="166" t="s">
        <v>211</v>
      </c>
    </row>
    <row r="225" spans="1:16" s="453" customFormat="1" ht="14" x14ac:dyDescent="0.2">
      <c r="B225" s="112">
        <v>3</v>
      </c>
      <c r="C225" s="571" t="s">
        <v>1676</v>
      </c>
      <c r="D225" s="571"/>
      <c r="E225" s="571"/>
      <c r="F225" s="571"/>
      <c r="G225" s="571"/>
      <c r="H225" s="571"/>
      <c r="I225" s="166" t="s">
        <v>211</v>
      </c>
      <c r="J225" s="166" t="s">
        <v>211</v>
      </c>
      <c r="K225" s="166" t="s">
        <v>211</v>
      </c>
      <c r="L225" s="166" t="s">
        <v>211</v>
      </c>
      <c r="M225" s="166" t="s">
        <v>211</v>
      </c>
      <c r="N225" s="166" t="s">
        <v>211</v>
      </c>
      <c r="O225" s="166" t="s">
        <v>211</v>
      </c>
    </row>
    <row r="226" spans="1:16" s="453" customFormat="1" ht="14" x14ac:dyDescent="0.2">
      <c r="B226" s="112">
        <v>4</v>
      </c>
      <c r="C226" s="571" t="s">
        <v>1677</v>
      </c>
      <c r="D226" s="571"/>
      <c r="E226" s="571"/>
      <c r="F226" s="571"/>
      <c r="G226" s="571"/>
      <c r="H226" s="571"/>
      <c r="I226" s="166" t="s">
        <v>211</v>
      </c>
      <c r="J226" s="166" t="s">
        <v>211</v>
      </c>
      <c r="K226" s="166" t="s">
        <v>211</v>
      </c>
      <c r="L226" s="166" t="s">
        <v>211</v>
      </c>
      <c r="M226" s="166" t="s">
        <v>211</v>
      </c>
      <c r="N226" s="166" t="s">
        <v>211</v>
      </c>
      <c r="O226" s="166" t="s">
        <v>211</v>
      </c>
    </row>
    <row r="227" spans="1:16" s="453" customFormat="1" ht="14" x14ac:dyDescent="0.2">
      <c r="B227" s="112" t="s">
        <v>108</v>
      </c>
      <c r="C227" s="571" t="s">
        <v>1678</v>
      </c>
      <c r="D227" s="571"/>
      <c r="E227" s="571"/>
      <c r="F227" s="571"/>
      <c r="G227" s="571"/>
      <c r="H227" s="571"/>
      <c r="I227" s="166" t="s">
        <v>211</v>
      </c>
      <c r="J227" s="166" t="s">
        <v>211</v>
      </c>
      <c r="K227" s="166" t="s">
        <v>211</v>
      </c>
      <c r="L227" s="166" t="s">
        <v>211</v>
      </c>
      <c r="M227" s="166" t="s">
        <v>211</v>
      </c>
      <c r="N227" s="166" t="s">
        <v>211</v>
      </c>
      <c r="O227" s="166" t="s">
        <v>211</v>
      </c>
    </row>
    <row r="228" spans="1:16" s="453" customFormat="1" ht="14" x14ac:dyDescent="0.2">
      <c r="B228" s="112">
        <v>5</v>
      </c>
      <c r="C228" s="571" t="s">
        <v>1648</v>
      </c>
      <c r="D228" s="571"/>
      <c r="E228" s="571"/>
      <c r="F228" s="571"/>
      <c r="G228" s="571"/>
      <c r="H228" s="571"/>
      <c r="I228" s="166" t="s">
        <v>211</v>
      </c>
      <c r="J228" s="166" t="s">
        <v>211</v>
      </c>
      <c r="K228" s="166" t="s">
        <v>211</v>
      </c>
      <c r="L228" s="166" t="s">
        <v>211</v>
      </c>
      <c r="M228" s="166" t="s">
        <v>211</v>
      </c>
      <c r="N228" s="166" t="s">
        <v>211</v>
      </c>
      <c r="O228" s="166" t="s">
        <v>211</v>
      </c>
    </row>
    <row r="229" spans="1:16" s="453" customFormat="1" ht="14" x14ac:dyDescent="0.2">
      <c r="B229" s="112">
        <v>6</v>
      </c>
      <c r="C229" s="571" t="s">
        <v>1670</v>
      </c>
      <c r="D229" s="571"/>
      <c r="E229" s="571"/>
      <c r="F229" s="571"/>
      <c r="G229" s="571"/>
      <c r="H229" s="571"/>
      <c r="I229" s="166" t="s">
        <v>211</v>
      </c>
      <c r="J229" s="166" t="s">
        <v>211</v>
      </c>
      <c r="K229" s="166" t="s">
        <v>211</v>
      </c>
      <c r="L229" s="166" t="s">
        <v>211</v>
      </c>
      <c r="M229" s="166" t="s">
        <v>211</v>
      </c>
      <c r="N229" s="166" t="s">
        <v>211</v>
      </c>
      <c r="O229" s="166" t="s">
        <v>211</v>
      </c>
    </row>
    <row r="230" spans="1:16" s="453" customFormat="1" ht="14" x14ac:dyDescent="0.2">
      <c r="B230" s="112">
        <v>7</v>
      </c>
      <c r="C230" s="573" t="s">
        <v>1600</v>
      </c>
      <c r="D230" s="573"/>
      <c r="E230" s="573"/>
      <c r="F230" s="573"/>
      <c r="G230" s="573"/>
      <c r="H230" s="573"/>
      <c r="I230" s="98" t="s">
        <v>211</v>
      </c>
      <c r="J230" s="106" t="s">
        <v>214</v>
      </c>
      <c r="K230" s="98" t="s">
        <v>211</v>
      </c>
      <c r="L230" s="106" t="s">
        <v>213</v>
      </c>
      <c r="M230" s="214">
        <f>COUNTIF(K230,Data!$A$1)</f>
        <v>0</v>
      </c>
      <c r="N230" s="106"/>
      <c r="P230" s="107">
        <f>SUM(K231*4)</f>
        <v>0</v>
      </c>
    </row>
    <row r="231" spans="1:16" s="453" customFormat="1" thickBot="1" x14ac:dyDescent="0.25">
      <c r="H231" s="107"/>
      <c r="I231" s="107">
        <f>COUNTIF(I222:I230,Data!$A$1)</f>
        <v>0</v>
      </c>
      <c r="J231" s="107">
        <f>COUNTIF(J222:J229,Data!$A$1)</f>
        <v>0</v>
      </c>
      <c r="K231" s="107">
        <f>COUNTIF(K222:K229,Data!$A$1)</f>
        <v>0</v>
      </c>
      <c r="L231" s="107">
        <f>COUNTIF(L222:L229,Data!$A$1)</f>
        <v>0</v>
      </c>
      <c r="M231" s="107">
        <f>COUNTIF(M222:M229,Data!$A$1)</f>
        <v>0</v>
      </c>
      <c r="N231" s="107">
        <f>COUNTIF(N222:N229,Data!$A$1)</f>
        <v>0</v>
      </c>
      <c r="O231" s="107">
        <f>COUNTIF(O222:O229,Data!$A$1)</f>
        <v>0</v>
      </c>
      <c r="P231" s="107">
        <f>SUM(I231:K231,M230,M231:N231)</f>
        <v>0</v>
      </c>
    </row>
    <row r="232" spans="1:16" s="108" customFormat="1" ht="17" thickBot="1" x14ac:dyDescent="0.25">
      <c r="G232" s="578" t="s">
        <v>1584</v>
      </c>
      <c r="H232" s="578"/>
      <c r="I232" s="578"/>
      <c r="J232" s="579"/>
      <c r="K232" s="574">
        <f>SUM(K231,O232)</f>
        <v>0</v>
      </c>
      <c r="L232" s="575"/>
      <c r="M232" s="116"/>
      <c r="N232" s="109">
        <f>SUM(O232*5)</f>
        <v>0</v>
      </c>
      <c r="O232" s="114">
        <f>SUM(J231,M230)</f>
        <v>0</v>
      </c>
      <c r="P232" s="116">
        <f>SUM(P231*5)</f>
        <v>0</v>
      </c>
    </row>
    <row r="233" spans="1:16" s="453" customFormat="1" ht="14" x14ac:dyDescent="0.2">
      <c r="B233" s="463"/>
      <c r="C233" s="463"/>
      <c r="D233" s="443"/>
      <c r="F233" s="463"/>
      <c r="G233" s="112"/>
      <c r="H233" s="463"/>
    </row>
    <row r="234" spans="1:16" s="453" customFormat="1" ht="14" x14ac:dyDescent="0.2">
      <c r="A234" s="471">
        <v>16</v>
      </c>
      <c r="B234" s="453">
        <v>1</v>
      </c>
      <c r="C234" s="571" t="s">
        <v>1595</v>
      </c>
      <c r="D234" s="571"/>
      <c r="E234" s="571"/>
      <c r="F234" s="571"/>
      <c r="G234" s="571"/>
      <c r="H234" s="571"/>
      <c r="I234" s="166" t="s">
        <v>211</v>
      </c>
      <c r="J234" s="166" t="s">
        <v>211</v>
      </c>
      <c r="K234" s="166" t="s">
        <v>211</v>
      </c>
      <c r="L234" s="166" t="s">
        <v>211</v>
      </c>
      <c r="M234" s="166" t="s">
        <v>211</v>
      </c>
      <c r="N234" s="166" t="s">
        <v>211</v>
      </c>
      <c r="O234" s="166" t="s">
        <v>211</v>
      </c>
    </row>
    <row r="235" spans="1:16" s="453" customFormat="1" ht="14" x14ac:dyDescent="0.2">
      <c r="B235" s="453">
        <v>2</v>
      </c>
      <c r="C235" s="571" t="s">
        <v>1679</v>
      </c>
      <c r="D235" s="571"/>
      <c r="E235" s="571"/>
      <c r="F235" s="571"/>
      <c r="G235" s="571"/>
      <c r="H235" s="571"/>
      <c r="I235" s="166" t="s">
        <v>211</v>
      </c>
      <c r="J235" s="166" t="s">
        <v>211</v>
      </c>
      <c r="K235" s="166" t="s">
        <v>211</v>
      </c>
      <c r="L235" s="166" t="s">
        <v>211</v>
      </c>
      <c r="M235" s="166" t="s">
        <v>211</v>
      </c>
      <c r="N235" s="166" t="s">
        <v>211</v>
      </c>
      <c r="O235" s="166" t="s">
        <v>211</v>
      </c>
    </row>
    <row r="236" spans="1:16" s="453" customFormat="1" ht="14" x14ac:dyDescent="0.2">
      <c r="B236" s="453">
        <v>3</v>
      </c>
      <c r="C236" s="571" t="s">
        <v>1680</v>
      </c>
      <c r="D236" s="571"/>
      <c r="E236" s="571"/>
      <c r="F236" s="571"/>
      <c r="G236" s="571"/>
      <c r="H236" s="571"/>
      <c r="I236" s="166" t="s">
        <v>211</v>
      </c>
      <c r="J236" s="166" t="s">
        <v>211</v>
      </c>
      <c r="K236" s="166" t="s">
        <v>211</v>
      </c>
      <c r="L236" s="166" t="s">
        <v>211</v>
      </c>
      <c r="M236" s="166" t="s">
        <v>211</v>
      </c>
      <c r="N236" s="166" t="s">
        <v>211</v>
      </c>
      <c r="O236" s="166" t="s">
        <v>211</v>
      </c>
    </row>
    <row r="237" spans="1:16" s="453" customFormat="1" ht="14" x14ac:dyDescent="0.2">
      <c r="B237" s="453">
        <v>4</v>
      </c>
      <c r="C237" s="573" t="s">
        <v>1600</v>
      </c>
      <c r="D237" s="573"/>
      <c r="E237" s="573"/>
      <c r="F237" s="573"/>
      <c r="G237" s="573"/>
      <c r="H237" s="573"/>
      <c r="I237" s="98" t="s">
        <v>211</v>
      </c>
      <c r="J237" s="106" t="s">
        <v>214</v>
      </c>
      <c r="K237" s="98" t="s">
        <v>211</v>
      </c>
      <c r="L237" s="106" t="s">
        <v>213</v>
      </c>
      <c r="M237" s="213">
        <f>COUNTIF(K237,Data!$A$1)</f>
        <v>0</v>
      </c>
      <c r="N237" s="213"/>
      <c r="O237" s="107"/>
      <c r="P237" s="107">
        <f>SUM(K238*4)</f>
        <v>0</v>
      </c>
    </row>
    <row r="238" spans="1:16" s="453" customFormat="1" thickBot="1" x14ac:dyDescent="0.25">
      <c r="H238" s="107"/>
      <c r="I238" s="107">
        <f>COUNTIF(I234:I237,Data!$A$1)</f>
        <v>0</v>
      </c>
      <c r="J238" s="107">
        <f>COUNTIF(J234:J236,Data!$A$1)</f>
        <v>0</v>
      </c>
      <c r="K238" s="107">
        <f>COUNTIF(K234:K236,Data!$A$1)</f>
        <v>0</v>
      </c>
      <c r="L238" s="107">
        <f>COUNTIF(L234:L236,Data!$A$1)</f>
        <v>0</v>
      </c>
      <c r="M238" s="107">
        <f>COUNTIF(M234:M236,Data!$A$1)</f>
        <v>0</v>
      </c>
      <c r="N238" s="107">
        <f>COUNTIF(N234:N236,Data!$A$1)</f>
        <v>0</v>
      </c>
      <c r="O238" s="107">
        <f>COUNTIF(O234:O236,Data!$A$1)</f>
        <v>0</v>
      </c>
      <c r="P238" s="107">
        <f>SUM(I238:K238,M237,M238:N238)</f>
        <v>0</v>
      </c>
    </row>
    <row r="239" spans="1:16" s="108" customFormat="1" ht="17" thickBot="1" x14ac:dyDescent="0.25">
      <c r="G239" s="578" t="s">
        <v>1584</v>
      </c>
      <c r="H239" s="578"/>
      <c r="I239" s="578"/>
      <c r="J239" s="579"/>
      <c r="K239" s="574">
        <f>SUM(O239,K238)</f>
        <v>0</v>
      </c>
      <c r="L239" s="575"/>
      <c r="M239" s="116"/>
      <c r="N239" s="109">
        <f>SUM(O239*5)</f>
        <v>0</v>
      </c>
      <c r="O239" s="114">
        <f>SUM(J238,M237)</f>
        <v>0</v>
      </c>
      <c r="P239" s="116">
        <f>SUM(P238*5)</f>
        <v>0</v>
      </c>
    </row>
    <row r="240" spans="1:16" s="453" customFormat="1" ht="14" x14ac:dyDescent="0.2">
      <c r="B240" s="463"/>
      <c r="C240" s="463"/>
      <c r="D240" s="443"/>
      <c r="F240" s="463"/>
      <c r="G240" s="112"/>
      <c r="H240" s="463"/>
    </row>
    <row r="241" spans="1:17" s="453" customFormat="1" ht="14" x14ac:dyDescent="0.2">
      <c r="A241" s="471">
        <v>17</v>
      </c>
      <c r="B241" s="112">
        <v>1</v>
      </c>
      <c r="C241" s="571" t="s">
        <v>1681</v>
      </c>
      <c r="D241" s="571"/>
      <c r="E241" s="571"/>
      <c r="F241" s="571"/>
      <c r="G241" s="571"/>
      <c r="H241" s="571"/>
      <c r="I241" s="166" t="s">
        <v>211</v>
      </c>
      <c r="J241" s="166" t="s">
        <v>211</v>
      </c>
      <c r="K241" s="166" t="s">
        <v>211</v>
      </c>
      <c r="L241" s="166" t="s">
        <v>211</v>
      </c>
      <c r="M241" s="166" t="s">
        <v>211</v>
      </c>
      <c r="N241" s="166" t="s">
        <v>211</v>
      </c>
      <c r="O241" s="166" t="s">
        <v>211</v>
      </c>
    </row>
    <row r="242" spans="1:17" s="453" customFormat="1" ht="14" x14ac:dyDescent="0.2">
      <c r="B242" s="112">
        <v>2</v>
      </c>
      <c r="C242" s="571" t="s">
        <v>1682</v>
      </c>
      <c r="D242" s="571"/>
      <c r="E242" s="571"/>
      <c r="F242" s="571"/>
      <c r="G242" s="571"/>
      <c r="H242" s="571"/>
      <c r="I242" s="166" t="s">
        <v>211</v>
      </c>
      <c r="J242" s="166" t="s">
        <v>211</v>
      </c>
      <c r="K242" s="166" t="s">
        <v>211</v>
      </c>
      <c r="L242" s="166" t="s">
        <v>211</v>
      </c>
      <c r="M242" s="166" t="s">
        <v>211</v>
      </c>
      <c r="N242" s="166" t="s">
        <v>211</v>
      </c>
      <c r="O242" s="166" t="s">
        <v>211</v>
      </c>
    </row>
    <row r="243" spans="1:17" s="453" customFormat="1" ht="14" x14ac:dyDescent="0.2">
      <c r="B243" s="112">
        <v>3</v>
      </c>
      <c r="C243" s="571" t="s">
        <v>1683</v>
      </c>
      <c r="D243" s="571"/>
      <c r="E243" s="571"/>
      <c r="F243" s="571"/>
      <c r="G243" s="571"/>
      <c r="H243" s="571"/>
      <c r="I243" s="166" t="s">
        <v>211</v>
      </c>
      <c r="J243" s="166" t="s">
        <v>211</v>
      </c>
      <c r="K243" s="166" t="s">
        <v>211</v>
      </c>
      <c r="L243" s="166" t="s">
        <v>211</v>
      </c>
      <c r="M243" s="166" t="s">
        <v>211</v>
      </c>
      <c r="N243" s="166" t="s">
        <v>211</v>
      </c>
      <c r="O243" s="166" t="s">
        <v>211</v>
      </c>
    </row>
    <row r="244" spans="1:17" s="453" customFormat="1" ht="14" x14ac:dyDescent="0.2">
      <c r="B244" s="112">
        <v>4</v>
      </c>
      <c r="C244" s="571" t="s">
        <v>1595</v>
      </c>
      <c r="D244" s="571"/>
      <c r="E244" s="571"/>
      <c r="F244" s="571"/>
      <c r="G244" s="571"/>
      <c r="H244" s="571"/>
      <c r="I244" s="166" t="s">
        <v>211</v>
      </c>
      <c r="J244" s="166" t="s">
        <v>211</v>
      </c>
      <c r="K244" s="166" t="s">
        <v>211</v>
      </c>
      <c r="L244" s="166" t="s">
        <v>211</v>
      </c>
      <c r="M244" s="166" t="s">
        <v>211</v>
      </c>
      <c r="N244" s="166" t="s">
        <v>211</v>
      </c>
      <c r="O244" s="166" t="s">
        <v>211</v>
      </c>
    </row>
    <row r="245" spans="1:17" s="453" customFormat="1" ht="14" x14ac:dyDescent="0.2">
      <c r="B245" s="112">
        <v>5</v>
      </c>
      <c r="C245" s="571" t="s">
        <v>1684</v>
      </c>
      <c r="D245" s="571"/>
      <c r="E245" s="571"/>
      <c r="F245" s="571"/>
      <c r="G245" s="571"/>
      <c r="H245" s="571"/>
      <c r="I245" s="166" t="s">
        <v>211</v>
      </c>
      <c r="J245" s="166" t="s">
        <v>211</v>
      </c>
      <c r="K245" s="166" t="s">
        <v>211</v>
      </c>
      <c r="L245" s="166" t="s">
        <v>211</v>
      </c>
      <c r="M245" s="166" t="s">
        <v>211</v>
      </c>
      <c r="N245" s="166" t="s">
        <v>211</v>
      </c>
      <c r="O245" s="166" t="s">
        <v>211</v>
      </c>
    </row>
    <row r="246" spans="1:17" s="453" customFormat="1" ht="14" x14ac:dyDescent="0.2">
      <c r="B246" s="112" t="s">
        <v>273</v>
      </c>
      <c r="C246" s="571" t="s">
        <v>1685</v>
      </c>
      <c r="D246" s="571"/>
      <c r="E246" s="571"/>
      <c r="F246" s="571"/>
      <c r="G246" s="571"/>
      <c r="H246" s="571"/>
      <c r="I246" s="166" t="s">
        <v>211</v>
      </c>
      <c r="J246" s="166" t="s">
        <v>211</v>
      </c>
      <c r="K246" s="166" t="s">
        <v>211</v>
      </c>
      <c r="L246" s="166" t="s">
        <v>211</v>
      </c>
      <c r="M246" s="166" t="s">
        <v>211</v>
      </c>
      <c r="N246" s="166" t="s">
        <v>211</v>
      </c>
      <c r="O246" s="166" t="s">
        <v>211</v>
      </c>
    </row>
    <row r="247" spans="1:17" s="453" customFormat="1" ht="14" x14ac:dyDescent="0.2">
      <c r="B247" s="112" t="s">
        <v>277</v>
      </c>
      <c r="C247" s="571" t="s">
        <v>1621</v>
      </c>
      <c r="D247" s="571"/>
      <c r="E247" s="571"/>
      <c r="F247" s="571"/>
      <c r="G247" s="571"/>
      <c r="H247" s="571"/>
      <c r="I247" s="166" t="s">
        <v>211</v>
      </c>
      <c r="J247" s="166" t="s">
        <v>211</v>
      </c>
      <c r="K247" s="166" t="s">
        <v>211</v>
      </c>
      <c r="L247" s="166" t="s">
        <v>211</v>
      </c>
      <c r="M247" s="166" t="s">
        <v>211</v>
      </c>
      <c r="N247" s="166" t="s">
        <v>211</v>
      </c>
      <c r="O247" s="166" t="s">
        <v>211</v>
      </c>
    </row>
    <row r="248" spans="1:17" s="453" customFormat="1" ht="14" x14ac:dyDescent="0.2">
      <c r="B248" s="112">
        <v>6</v>
      </c>
      <c r="C248" s="571" t="s">
        <v>1615</v>
      </c>
      <c r="D248" s="571"/>
      <c r="E248" s="571"/>
      <c r="F248" s="571"/>
      <c r="G248" s="571"/>
      <c r="H248" s="571"/>
      <c r="I248" s="166" t="s">
        <v>211</v>
      </c>
      <c r="J248" s="166" t="s">
        <v>211</v>
      </c>
      <c r="K248" s="166" t="s">
        <v>211</v>
      </c>
      <c r="L248" s="166" t="s">
        <v>211</v>
      </c>
      <c r="M248" s="166" t="s">
        <v>211</v>
      </c>
      <c r="N248" s="166" t="s">
        <v>211</v>
      </c>
      <c r="O248" s="166" t="s">
        <v>211</v>
      </c>
    </row>
    <row r="249" spans="1:17" s="453" customFormat="1" ht="14" x14ac:dyDescent="0.2">
      <c r="B249" s="112">
        <v>7</v>
      </c>
      <c r="C249" s="571" t="s">
        <v>1686</v>
      </c>
      <c r="D249" s="571"/>
      <c r="E249" s="571"/>
      <c r="F249" s="571"/>
      <c r="G249" s="571"/>
      <c r="H249" s="571"/>
      <c r="I249" s="166" t="s">
        <v>211</v>
      </c>
      <c r="J249" s="166" t="s">
        <v>211</v>
      </c>
      <c r="K249" s="166" t="s">
        <v>211</v>
      </c>
      <c r="L249" s="166" t="s">
        <v>211</v>
      </c>
      <c r="M249" s="166" t="s">
        <v>211</v>
      </c>
      <c r="N249" s="166" t="s">
        <v>211</v>
      </c>
      <c r="O249" s="166" t="s">
        <v>211</v>
      </c>
      <c r="P249" s="107"/>
    </row>
    <row r="250" spans="1:17" s="453" customFormat="1" ht="14" x14ac:dyDescent="0.2">
      <c r="B250" s="112">
        <v>8</v>
      </c>
      <c r="C250" s="573" t="s">
        <v>1600</v>
      </c>
      <c r="D250" s="573"/>
      <c r="E250" s="573"/>
      <c r="F250" s="573"/>
      <c r="G250" s="573"/>
      <c r="H250" s="573"/>
      <c r="I250" s="98" t="s">
        <v>211</v>
      </c>
      <c r="J250" s="106" t="s">
        <v>214</v>
      </c>
      <c r="K250" s="98" t="s">
        <v>211</v>
      </c>
      <c r="L250" s="106" t="s">
        <v>213</v>
      </c>
      <c r="M250" s="214">
        <f>COUNTIF(K250,Data!$A$1)</f>
        <v>0</v>
      </c>
      <c r="N250" s="106"/>
      <c r="P250" s="107">
        <f>SUM(K251*4)</f>
        <v>0</v>
      </c>
    </row>
    <row r="251" spans="1:17" s="108" customFormat="1" ht="17" thickBot="1" x14ac:dyDescent="0.25">
      <c r="F251" s="115" t="s">
        <v>312</v>
      </c>
      <c r="G251" s="101" t="s">
        <v>215</v>
      </c>
      <c r="I251" s="107">
        <f>COUNTIF(I241:I250,Data!$A$1)</f>
        <v>0</v>
      </c>
      <c r="J251" s="107">
        <f>COUNTIF(J241:J249,Data!$A$1)</f>
        <v>0</v>
      </c>
      <c r="K251" s="107">
        <f>COUNTIF(K241:K249,Data!$A$1)</f>
        <v>0</v>
      </c>
      <c r="L251" s="107">
        <f>COUNTIF(L241:L249,Data!$A$1)</f>
        <v>0</v>
      </c>
      <c r="M251" s="107">
        <f>COUNTIF(M241:M249,Data!$A$1)</f>
        <v>0</v>
      </c>
      <c r="N251" s="107">
        <f>COUNTIF(N241:N249,Data!$A$1)</f>
        <v>0</v>
      </c>
      <c r="O251" s="107">
        <f>COUNTIF(O241:O249,Data!$A$1)</f>
        <v>0</v>
      </c>
      <c r="P251" s="107">
        <f>SUM(I251:K251,M250,M251:N251)</f>
        <v>0</v>
      </c>
      <c r="Q251" s="116"/>
    </row>
    <row r="252" spans="1:17" s="108" customFormat="1" ht="17" thickBot="1" x14ac:dyDescent="0.25">
      <c r="G252" s="578" t="s">
        <v>1584</v>
      </c>
      <c r="H252" s="578"/>
      <c r="I252" s="578"/>
      <c r="J252" s="579"/>
      <c r="K252" s="574">
        <f>SUM(K251,N252)</f>
        <v>0</v>
      </c>
      <c r="L252" s="575"/>
      <c r="M252" s="116"/>
      <c r="N252" s="109">
        <f>SUM(O252*5)</f>
        <v>0</v>
      </c>
      <c r="O252" s="114">
        <f>SUM(J251,M250)</f>
        <v>0</v>
      </c>
      <c r="P252" s="116">
        <f>SUM(P251*5)</f>
        <v>0</v>
      </c>
    </row>
    <row r="253" spans="1:17" s="453" customFormat="1" ht="14" x14ac:dyDescent="0.2">
      <c r="B253" s="463"/>
      <c r="C253" s="463"/>
      <c r="D253" s="443"/>
      <c r="F253" s="463"/>
      <c r="G253" s="112"/>
      <c r="H253" s="463"/>
    </row>
    <row r="254" spans="1:17" s="453" customFormat="1" ht="14" x14ac:dyDescent="0.2">
      <c r="A254" s="471">
        <v>18</v>
      </c>
      <c r="B254" s="112">
        <v>1</v>
      </c>
      <c r="C254" s="571" t="s">
        <v>1648</v>
      </c>
      <c r="D254" s="571"/>
      <c r="E254" s="571"/>
      <c r="F254" s="571"/>
      <c r="G254" s="571"/>
      <c r="H254" s="571"/>
      <c r="I254" s="166" t="s">
        <v>211</v>
      </c>
      <c r="J254" s="166" t="s">
        <v>211</v>
      </c>
      <c r="K254" s="166" t="s">
        <v>211</v>
      </c>
      <c r="L254" s="166" t="s">
        <v>211</v>
      </c>
      <c r="M254" s="166" t="s">
        <v>211</v>
      </c>
      <c r="N254" s="166" t="s">
        <v>211</v>
      </c>
      <c r="O254" s="166" t="s">
        <v>211</v>
      </c>
    </row>
    <row r="255" spans="1:17" s="453" customFormat="1" ht="14" x14ac:dyDescent="0.2">
      <c r="B255" s="112">
        <v>2</v>
      </c>
      <c r="C255" s="571" t="s">
        <v>1687</v>
      </c>
      <c r="D255" s="571"/>
      <c r="E255" s="571"/>
      <c r="F255" s="571"/>
      <c r="G255" s="571"/>
      <c r="H255" s="571"/>
      <c r="I255" s="166" t="s">
        <v>211</v>
      </c>
      <c r="J255" s="166" t="s">
        <v>211</v>
      </c>
      <c r="K255" s="166" t="s">
        <v>211</v>
      </c>
      <c r="L255" s="166" t="s">
        <v>211</v>
      </c>
      <c r="M255" s="166" t="s">
        <v>211</v>
      </c>
      <c r="N255" s="166" t="s">
        <v>211</v>
      </c>
      <c r="O255" s="166" t="s">
        <v>211</v>
      </c>
    </row>
    <row r="256" spans="1:17" s="453" customFormat="1" ht="14" x14ac:dyDescent="0.2">
      <c r="B256" s="112">
        <v>3</v>
      </c>
      <c r="C256" s="571" t="s">
        <v>1688</v>
      </c>
      <c r="D256" s="571"/>
      <c r="E256" s="571"/>
      <c r="F256" s="571"/>
      <c r="G256" s="571"/>
      <c r="H256" s="571"/>
      <c r="I256" s="166" t="s">
        <v>211</v>
      </c>
      <c r="J256" s="166" t="s">
        <v>211</v>
      </c>
      <c r="K256" s="166" t="s">
        <v>211</v>
      </c>
      <c r="L256" s="166" t="s">
        <v>211</v>
      </c>
      <c r="M256" s="166" t="s">
        <v>211</v>
      </c>
      <c r="N256" s="166" t="s">
        <v>211</v>
      </c>
      <c r="O256" s="166" t="s">
        <v>211</v>
      </c>
    </row>
    <row r="257" spans="1:17" s="453" customFormat="1" ht="14" x14ac:dyDescent="0.2">
      <c r="B257" s="112">
        <v>4</v>
      </c>
      <c r="C257" s="571" t="s">
        <v>1689</v>
      </c>
      <c r="D257" s="571"/>
      <c r="E257" s="571"/>
      <c r="F257" s="571"/>
      <c r="G257" s="571"/>
      <c r="H257" s="571"/>
      <c r="I257" s="166" t="s">
        <v>211</v>
      </c>
      <c r="J257" s="166" t="s">
        <v>211</v>
      </c>
      <c r="K257" s="166" t="s">
        <v>211</v>
      </c>
      <c r="L257" s="166" t="s">
        <v>211</v>
      </c>
      <c r="M257" s="166" t="s">
        <v>211</v>
      </c>
      <c r="N257" s="166" t="s">
        <v>211</v>
      </c>
      <c r="O257" s="166" t="s">
        <v>211</v>
      </c>
    </row>
    <row r="258" spans="1:17" s="453" customFormat="1" ht="14" x14ac:dyDescent="0.2">
      <c r="B258" s="112">
        <v>5</v>
      </c>
      <c r="C258" s="571" t="s">
        <v>1690</v>
      </c>
      <c r="D258" s="571"/>
      <c r="E258" s="571"/>
      <c r="F258" s="571"/>
      <c r="G258" s="571"/>
      <c r="H258" s="571"/>
      <c r="I258" s="166" t="s">
        <v>211</v>
      </c>
      <c r="J258" s="166" t="s">
        <v>211</v>
      </c>
      <c r="K258" s="166" t="s">
        <v>211</v>
      </c>
      <c r="L258" s="166" t="s">
        <v>211</v>
      </c>
      <c r="M258" s="166" t="s">
        <v>211</v>
      </c>
      <c r="N258" s="166" t="s">
        <v>211</v>
      </c>
      <c r="O258" s="166" t="s">
        <v>211</v>
      </c>
    </row>
    <row r="259" spans="1:17" s="453" customFormat="1" ht="14" x14ac:dyDescent="0.2">
      <c r="B259" s="112">
        <v>6</v>
      </c>
      <c r="C259" s="571" t="s">
        <v>1691</v>
      </c>
      <c r="D259" s="571"/>
      <c r="E259" s="571"/>
      <c r="F259" s="571"/>
      <c r="G259" s="571"/>
      <c r="H259" s="571"/>
      <c r="I259" s="166" t="s">
        <v>211</v>
      </c>
      <c r="J259" s="166" t="s">
        <v>211</v>
      </c>
      <c r="K259" s="166" t="s">
        <v>211</v>
      </c>
      <c r="L259" s="166" t="s">
        <v>211</v>
      </c>
      <c r="M259" s="166" t="s">
        <v>211</v>
      </c>
      <c r="N259" s="166" t="s">
        <v>211</v>
      </c>
      <c r="O259" s="166" t="s">
        <v>211</v>
      </c>
    </row>
    <row r="260" spans="1:17" s="453" customFormat="1" ht="12.75" customHeight="1" x14ac:dyDescent="0.2">
      <c r="B260" s="112">
        <v>7</v>
      </c>
      <c r="C260" s="610" t="s">
        <v>1692</v>
      </c>
      <c r="D260" s="610"/>
      <c r="E260" s="610"/>
      <c r="F260" s="610"/>
      <c r="G260" s="610"/>
      <c r="H260" s="610"/>
      <c r="I260" s="166" t="s">
        <v>211</v>
      </c>
      <c r="J260" s="166" t="s">
        <v>211</v>
      </c>
      <c r="K260" s="166" t="s">
        <v>211</v>
      </c>
      <c r="L260" s="166" t="s">
        <v>211</v>
      </c>
      <c r="M260" s="166" t="s">
        <v>211</v>
      </c>
      <c r="N260" s="166" t="s">
        <v>211</v>
      </c>
      <c r="O260" s="166" t="s">
        <v>211</v>
      </c>
    </row>
    <row r="261" spans="1:17" s="453" customFormat="1" ht="14" x14ac:dyDescent="0.2">
      <c r="B261" s="112" t="s">
        <v>118</v>
      </c>
      <c r="C261" s="571" t="s">
        <v>1693</v>
      </c>
      <c r="D261" s="571"/>
      <c r="E261" s="571"/>
      <c r="F261" s="571"/>
      <c r="G261" s="571"/>
      <c r="H261" s="571"/>
      <c r="I261" s="166" t="s">
        <v>211</v>
      </c>
      <c r="J261" s="166" t="s">
        <v>211</v>
      </c>
      <c r="K261" s="166" t="s">
        <v>211</v>
      </c>
      <c r="L261" s="166" t="s">
        <v>211</v>
      </c>
      <c r="M261" s="166" t="s">
        <v>211</v>
      </c>
      <c r="N261" s="166" t="s">
        <v>211</v>
      </c>
      <c r="O261" s="166" t="s">
        <v>211</v>
      </c>
    </row>
    <row r="262" spans="1:17" s="453" customFormat="1" ht="14" x14ac:dyDescent="0.2">
      <c r="B262" s="112">
        <v>8</v>
      </c>
      <c r="C262" s="571" t="s">
        <v>301</v>
      </c>
      <c r="D262" s="571"/>
      <c r="E262" s="571"/>
      <c r="F262" s="571"/>
      <c r="G262" s="571"/>
      <c r="H262" s="571"/>
      <c r="I262" s="166" t="s">
        <v>211</v>
      </c>
      <c r="J262" s="166" t="s">
        <v>211</v>
      </c>
      <c r="K262" s="166" t="s">
        <v>211</v>
      </c>
      <c r="L262" s="166" t="s">
        <v>211</v>
      </c>
      <c r="M262" s="166" t="s">
        <v>211</v>
      </c>
      <c r="N262" s="166" t="s">
        <v>211</v>
      </c>
      <c r="O262" s="166" t="s">
        <v>211</v>
      </c>
    </row>
    <row r="263" spans="1:17" s="453" customFormat="1" ht="14" x14ac:dyDescent="0.2">
      <c r="B263" s="112">
        <v>9</v>
      </c>
      <c r="C263" s="573" t="s">
        <v>1600</v>
      </c>
      <c r="D263" s="573"/>
      <c r="E263" s="573"/>
      <c r="F263" s="573"/>
      <c r="G263" s="573"/>
      <c r="H263" s="573"/>
      <c r="I263" s="98" t="s">
        <v>211</v>
      </c>
      <c r="J263" s="106" t="s">
        <v>214</v>
      </c>
      <c r="K263" s="98" t="s">
        <v>211</v>
      </c>
      <c r="L263" s="106" t="s">
        <v>213</v>
      </c>
      <c r="M263" s="213">
        <f>COUNTIF(K263,Data!$A$1)</f>
        <v>0</v>
      </c>
      <c r="N263" s="213"/>
      <c r="O263" s="107"/>
      <c r="P263" s="107">
        <f>SUM(K264*4)</f>
        <v>0</v>
      </c>
      <c r="Q263" s="107"/>
    </row>
    <row r="264" spans="1:17" s="453" customFormat="1" thickBot="1" x14ac:dyDescent="0.25">
      <c r="H264" s="107"/>
      <c r="I264" s="107">
        <f>COUNTIF(I254:I263,Data!$A$1)</f>
        <v>0</v>
      </c>
      <c r="J264" s="107">
        <f>COUNTIF(J254:J262,Data!$A$1)</f>
        <v>0</v>
      </c>
      <c r="K264" s="107">
        <f>COUNTIF(K254:K262,Data!$A$1)</f>
        <v>0</v>
      </c>
      <c r="L264" s="107">
        <f>COUNTIF(L254:L262,Data!$A$1)</f>
        <v>0</v>
      </c>
      <c r="M264" s="107">
        <f>COUNTIF(M254:M262,Data!$A$1)</f>
        <v>0</v>
      </c>
      <c r="N264" s="107">
        <f>COUNTIF(N254:N262,Data!$A$1)</f>
        <v>0</v>
      </c>
      <c r="O264" s="107">
        <f>COUNTIF(O254:O262,Data!$A$1)</f>
        <v>0</v>
      </c>
      <c r="P264" s="107">
        <f>SUM(I264:K264,M263,M264:N264)</f>
        <v>0</v>
      </c>
      <c r="Q264" s="107"/>
    </row>
    <row r="265" spans="1:17" s="108" customFormat="1" ht="17" thickBot="1" x14ac:dyDescent="0.25">
      <c r="G265" s="578" t="s">
        <v>1584</v>
      </c>
      <c r="H265" s="578"/>
      <c r="I265" s="578"/>
      <c r="J265" s="579"/>
      <c r="K265" s="574">
        <f>SUM(K264,N265)</f>
        <v>0</v>
      </c>
      <c r="L265" s="575"/>
      <c r="M265" s="116"/>
      <c r="N265" s="109">
        <f>SUM(O265*5)</f>
        <v>0</v>
      </c>
      <c r="O265" s="114">
        <f>SUM(J264,M263)</f>
        <v>0</v>
      </c>
      <c r="P265" s="116">
        <f>SUM(P264*5)</f>
        <v>0</v>
      </c>
      <c r="Q265" s="116"/>
    </row>
    <row r="266" spans="1:17" s="453" customFormat="1" ht="14" x14ac:dyDescent="0.2">
      <c r="B266" s="463"/>
      <c r="C266" s="463"/>
      <c r="D266" s="443"/>
      <c r="F266" s="463"/>
      <c r="G266" s="112"/>
      <c r="H266" s="463"/>
      <c r="M266" s="107"/>
      <c r="N266" s="107"/>
      <c r="O266" s="107"/>
      <c r="P266" s="107"/>
      <c r="Q266" s="107"/>
    </row>
    <row r="267" spans="1:17" s="453" customFormat="1" ht="14" x14ac:dyDescent="0.2">
      <c r="A267" s="471">
        <v>19</v>
      </c>
      <c r="B267" s="112">
        <v>1</v>
      </c>
      <c r="C267" s="571" t="s">
        <v>1648</v>
      </c>
      <c r="D267" s="571"/>
      <c r="E267" s="571"/>
      <c r="F267" s="571"/>
      <c r="G267" s="571"/>
      <c r="H267" s="571"/>
      <c r="I267" s="166" t="s">
        <v>211</v>
      </c>
      <c r="J267" s="166" t="s">
        <v>211</v>
      </c>
      <c r="K267" s="166" t="s">
        <v>211</v>
      </c>
      <c r="L267" s="166" t="s">
        <v>211</v>
      </c>
      <c r="M267" s="166" t="s">
        <v>211</v>
      </c>
      <c r="N267" s="166" t="s">
        <v>211</v>
      </c>
      <c r="O267" s="166" t="s">
        <v>211</v>
      </c>
    </row>
    <row r="268" spans="1:17" s="453" customFormat="1" ht="14" x14ac:dyDescent="0.2">
      <c r="B268" s="112">
        <v>2</v>
      </c>
      <c r="C268" s="571" t="s">
        <v>1656</v>
      </c>
      <c r="D268" s="571"/>
      <c r="E268" s="571"/>
      <c r="F268" s="571"/>
      <c r="G268" s="571"/>
      <c r="H268" s="571"/>
      <c r="I268" s="166" t="s">
        <v>211</v>
      </c>
      <c r="J268" s="166" t="s">
        <v>211</v>
      </c>
      <c r="K268" s="166" t="s">
        <v>211</v>
      </c>
      <c r="L268" s="166" t="s">
        <v>211</v>
      </c>
      <c r="M268" s="166" t="s">
        <v>211</v>
      </c>
      <c r="N268" s="166" t="s">
        <v>211</v>
      </c>
      <c r="O268" s="166" t="s">
        <v>211</v>
      </c>
    </row>
    <row r="269" spans="1:17" s="453" customFormat="1" ht="12.75" customHeight="1" x14ac:dyDescent="0.2">
      <c r="B269" s="112" t="s">
        <v>11</v>
      </c>
      <c r="C269" s="664" t="s">
        <v>1694</v>
      </c>
      <c r="D269" s="664"/>
      <c r="E269" s="664"/>
      <c r="F269" s="664"/>
      <c r="G269" s="664"/>
      <c r="H269" s="664"/>
      <c r="I269" s="166" t="s">
        <v>211</v>
      </c>
      <c r="J269" s="166" t="s">
        <v>211</v>
      </c>
      <c r="K269" s="166" t="s">
        <v>211</v>
      </c>
      <c r="L269" s="166" t="s">
        <v>211</v>
      </c>
      <c r="M269" s="166" t="s">
        <v>211</v>
      </c>
      <c r="N269" s="166" t="s">
        <v>211</v>
      </c>
      <c r="O269" s="166" t="s">
        <v>211</v>
      </c>
    </row>
    <row r="270" spans="1:17" s="453" customFormat="1" ht="14" x14ac:dyDescent="0.2">
      <c r="B270" s="112">
        <v>3</v>
      </c>
      <c r="C270" s="571" t="s">
        <v>1630</v>
      </c>
      <c r="D270" s="571"/>
      <c r="E270" s="571"/>
      <c r="F270" s="571"/>
      <c r="G270" s="571"/>
      <c r="H270" s="571"/>
      <c r="I270" s="166" t="s">
        <v>211</v>
      </c>
      <c r="J270" s="166" t="s">
        <v>211</v>
      </c>
      <c r="K270" s="166" t="s">
        <v>211</v>
      </c>
      <c r="L270" s="166" t="s">
        <v>211</v>
      </c>
      <c r="M270" s="166" t="s">
        <v>211</v>
      </c>
      <c r="N270" s="166" t="s">
        <v>211</v>
      </c>
      <c r="O270" s="166" t="s">
        <v>211</v>
      </c>
    </row>
    <row r="271" spans="1:17" s="453" customFormat="1" ht="14" x14ac:dyDescent="0.2">
      <c r="B271" s="112" t="s">
        <v>17</v>
      </c>
      <c r="C271" s="571" t="s">
        <v>1652</v>
      </c>
      <c r="D271" s="571"/>
      <c r="E271" s="571"/>
      <c r="F271" s="571"/>
      <c r="G271" s="571"/>
      <c r="H271" s="571"/>
      <c r="I271" s="166" t="s">
        <v>211</v>
      </c>
      <c r="J271" s="166" t="s">
        <v>211</v>
      </c>
      <c r="K271" s="166" t="s">
        <v>211</v>
      </c>
      <c r="L271" s="166" t="s">
        <v>211</v>
      </c>
      <c r="M271" s="166" t="s">
        <v>211</v>
      </c>
      <c r="N271" s="166" t="s">
        <v>211</v>
      </c>
      <c r="O271" s="166" t="s">
        <v>211</v>
      </c>
    </row>
    <row r="272" spans="1:17" s="453" customFormat="1" ht="14" x14ac:dyDescent="0.2">
      <c r="B272" s="112">
        <v>4</v>
      </c>
      <c r="C272" s="571" t="s">
        <v>1632</v>
      </c>
      <c r="D272" s="571"/>
      <c r="E272" s="571"/>
      <c r="F272" s="571"/>
      <c r="G272" s="571"/>
      <c r="H272" s="571"/>
      <c r="I272" s="166" t="s">
        <v>211</v>
      </c>
      <c r="J272" s="166" t="s">
        <v>211</v>
      </c>
      <c r="K272" s="166" t="s">
        <v>211</v>
      </c>
      <c r="L272" s="166" t="s">
        <v>211</v>
      </c>
      <c r="M272" s="166" t="s">
        <v>211</v>
      </c>
      <c r="N272" s="166" t="s">
        <v>211</v>
      </c>
      <c r="O272" s="166" t="s">
        <v>211</v>
      </c>
    </row>
    <row r="273" spans="1:17" s="453" customFormat="1" ht="14" x14ac:dyDescent="0.2">
      <c r="B273" s="112">
        <v>5</v>
      </c>
      <c r="C273" s="571" t="s">
        <v>1695</v>
      </c>
      <c r="D273" s="571"/>
      <c r="E273" s="571"/>
      <c r="F273" s="571"/>
      <c r="G273" s="571"/>
      <c r="H273" s="571"/>
      <c r="I273" s="166" t="s">
        <v>211</v>
      </c>
      <c r="J273" s="166" t="s">
        <v>211</v>
      </c>
      <c r="K273" s="166" t="s">
        <v>211</v>
      </c>
      <c r="L273" s="166" t="s">
        <v>211</v>
      </c>
      <c r="M273" s="166" t="s">
        <v>211</v>
      </c>
      <c r="N273" s="166" t="s">
        <v>211</v>
      </c>
      <c r="O273" s="166" t="s">
        <v>211</v>
      </c>
    </row>
    <row r="274" spans="1:17" s="453" customFormat="1" ht="14" x14ac:dyDescent="0.2">
      <c r="B274" s="112" t="s">
        <v>273</v>
      </c>
      <c r="C274" s="571" t="s">
        <v>1696</v>
      </c>
      <c r="D274" s="571"/>
      <c r="E274" s="571"/>
      <c r="F274" s="571"/>
      <c r="G274" s="571"/>
      <c r="H274" s="571"/>
      <c r="I274" s="166" t="s">
        <v>211</v>
      </c>
      <c r="J274" s="166" t="s">
        <v>211</v>
      </c>
      <c r="K274" s="166" t="s">
        <v>211</v>
      </c>
      <c r="L274" s="166" t="s">
        <v>211</v>
      </c>
      <c r="M274" s="166" t="s">
        <v>211</v>
      </c>
      <c r="N274" s="166" t="s">
        <v>211</v>
      </c>
      <c r="O274" s="166" t="s">
        <v>211</v>
      </c>
    </row>
    <row r="275" spans="1:17" s="453" customFormat="1" ht="14" x14ac:dyDescent="0.2">
      <c r="B275" s="112">
        <v>6</v>
      </c>
      <c r="C275" s="571" t="s">
        <v>1697</v>
      </c>
      <c r="D275" s="571"/>
      <c r="E275" s="571"/>
      <c r="F275" s="571"/>
      <c r="G275" s="571"/>
      <c r="H275" s="571"/>
      <c r="I275" s="166" t="s">
        <v>211</v>
      </c>
      <c r="J275" s="166" t="s">
        <v>211</v>
      </c>
      <c r="K275" s="166" t="s">
        <v>211</v>
      </c>
      <c r="L275" s="166" t="s">
        <v>211</v>
      </c>
      <c r="M275" s="166" t="s">
        <v>211</v>
      </c>
      <c r="N275" s="166" t="s">
        <v>211</v>
      </c>
      <c r="O275" s="166" t="s">
        <v>211</v>
      </c>
    </row>
    <row r="276" spans="1:17" s="453" customFormat="1" ht="14" x14ac:dyDescent="0.2">
      <c r="B276" s="112">
        <v>7</v>
      </c>
      <c r="C276" s="571" t="s">
        <v>1698</v>
      </c>
      <c r="D276" s="571"/>
      <c r="E276" s="571"/>
      <c r="F276" s="571"/>
      <c r="G276" s="571"/>
      <c r="H276" s="571"/>
      <c r="I276" s="166" t="s">
        <v>211</v>
      </c>
      <c r="J276" s="166" t="s">
        <v>211</v>
      </c>
      <c r="K276" s="166" t="s">
        <v>211</v>
      </c>
      <c r="L276" s="166" t="s">
        <v>211</v>
      </c>
      <c r="M276" s="166" t="s">
        <v>211</v>
      </c>
      <c r="N276" s="166" t="s">
        <v>211</v>
      </c>
      <c r="O276" s="166" t="s">
        <v>211</v>
      </c>
    </row>
    <row r="277" spans="1:17" s="453" customFormat="1" ht="14" x14ac:dyDescent="0.2">
      <c r="B277" s="112">
        <v>8</v>
      </c>
      <c r="C277" s="571" t="s">
        <v>1699</v>
      </c>
      <c r="D277" s="571"/>
      <c r="E277" s="571"/>
      <c r="F277" s="571"/>
      <c r="G277" s="571"/>
      <c r="H277" s="571"/>
      <c r="I277" s="166" t="s">
        <v>211</v>
      </c>
      <c r="J277" s="166" t="s">
        <v>211</v>
      </c>
      <c r="K277" s="166" t="s">
        <v>211</v>
      </c>
      <c r="L277" s="166" t="s">
        <v>211</v>
      </c>
      <c r="M277" s="166" t="s">
        <v>211</v>
      </c>
      <c r="N277" s="166" t="s">
        <v>211</v>
      </c>
      <c r="O277" s="166" t="s">
        <v>211</v>
      </c>
    </row>
    <row r="278" spans="1:17" s="453" customFormat="1" ht="14" x14ac:dyDescent="0.2">
      <c r="B278" s="112">
        <v>9</v>
      </c>
      <c r="C278" s="573" t="s">
        <v>1600</v>
      </c>
      <c r="D278" s="573"/>
      <c r="E278" s="573"/>
      <c r="F278" s="573"/>
      <c r="G278" s="573"/>
      <c r="H278" s="573"/>
      <c r="I278" s="98" t="s">
        <v>211</v>
      </c>
      <c r="J278" s="106" t="s">
        <v>214</v>
      </c>
      <c r="K278" s="98" t="s">
        <v>211</v>
      </c>
      <c r="L278" s="106" t="s">
        <v>213</v>
      </c>
      <c r="M278" s="214">
        <f>COUNTIF(K278,Data!$A$1)</f>
        <v>0</v>
      </c>
      <c r="N278" s="106"/>
      <c r="P278" s="107">
        <f>SUM(F280*4)</f>
        <v>0</v>
      </c>
      <c r="Q278" s="107"/>
    </row>
    <row r="279" spans="1:17" s="108" customFormat="1" ht="17" thickBot="1" x14ac:dyDescent="0.25">
      <c r="D279" s="727" t="s">
        <v>304</v>
      </c>
      <c r="E279" s="684"/>
      <c r="F279" s="103" t="s">
        <v>1588</v>
      </c>
      <c r="G279" s="683" t="s">
        <v>305</v>
      </c>
      <c r="H279" s="684"/>
      <c r="I279" s="722" t="s">
        <v>306</v>
      </c>
      <c r="J279" s="723"/>
      <c r="K279" s="724"/>
      <c r="L279" s="116">
        <f>COUNTIF(L267:L278,Data!$A$1)</f>
        <v>0</v>
      </c>
      <c r="M279" s="116">
        <f>COUNTIF(M267:M277,Data!$A$1)</f>
        <v>0</v>
      </c>
      <c r="N279" s="116">
        <f>COUNTIF(N267:N277,Data!$A$1)</f>
        <v>0</v>
      </c>
      <c r="O279" s="116">
        <f>COUNTIF(O267:O277,Data!$A$1)</f>
        <v>0</v>
      </c>
      <c r="P279" s="116"/>
      <c r="Q279" s="116">
        <f>SUM(M278,E280,F280,N280,M279,N279)</f>
        <v>0</v>
      </c>
    </row>
    <row r="280" spans="1:17" s="108" customFormat="1" ht="17" thickBot="1" x14ac:dyDescent="0.25">
      <c r="D280" s="116"/>
      <c r="E280" s="116">
        <f>COUNTIF(I267:I278,Data!$A$1)</f>
        <v>0</v>
      </c>
      <c r="F280" s="116">
        <f>COUNTIF(K267:K277,Data!$A$1)</f>
        <v>0</v>
      </c>
      <c r="G280" s="578" t="s">
        <v>1584</v>
      </c>
      <c r="H280" s="578"/>
      <c r="I280" s="578"/>
      <c r="J280" s="579"/>
      <c r="K280" s="574">
        <f>SUM(O280,M280)</f>
        <v>0</v>
      </c>
      <c r="L280" s="575"/>
      <c r="M280" s="114">
        <f>SUM(N280*5)</f>
        <v>0</v>
      </c>
      <c r="N280" s="116">
        <f>COUNTIF(J267:J277,Data!$A$1)</f>
        <v>0</v>
      </c>
      <c r="O280" s="114">
        <f>COUNTIF(K267:K278,Data!$A$1)</f>
        <v>0</v>
      </c>
      <c r="P280" s="114">
        <f>SUM(Q279*5)</f>
        <v>0</v>
      </c>
      <c r="Q280" s="116"/>
    </row>
    <row r="281" spans="1:17" s="453" customFormat="1" ht="14" x14ac:dyDescent="0.2">
      <c r="B281" s="463"/>
      <c r="C281" s="463"/>
      <c r="D281" s="443"/>
      <c r="F281" s="463"/>
      <c r="G281" s="112"/>
      <c r="H281" s="463"/>
    </row>
    <row r="282" spans="1:17" s="453" customFormat="1" ht="14" x14ac:dyDescent="0.2">
      <c r="A282" s="471">
        <v>20</v>
      </c>
      <c r="B282" s="453">
        <v>1</v>
      </c>
      <c r="C282" s="571" t="s">
        <v>1700</v>
      </c>
      <c r="D282" s="571"/>
      <c r="E282" s="571"/>
      <c r="F282" s="571"/>
      <c r="G282" s="571"/>
      <c r="H282" s="571"/>
      <c r="I282" s="166" t="s">
        <v>211</v>
      </c>
      <c r="J282" s="166" t="s">
        <v>211</v>
      </c>
      <c r="K282" s="166" t="s">
        <v>211</v>
      </c>
      <c r="L282" s="166" t="s">
        <v>211</v>
      </c>
      <c r="M282" s="166" t="s">
        <v>211</v>
      </c>
      <c r="N282" s="166" t="s">
        <v>211</v>
      </c>
      <c r="O282" s="166" t="s">
        <v>211</v>
      </c>
    </row>
    <row r="283" spans="1:17" s="453" customFormat="1" ht="14" x14ac:dyDescent="0.2">
      <c r="B283" s="453">
        <v>2</v>
      </c>
      <c r="C283" s="609" t="s">
        <v>1595</v>
      </c>
      <c r="D283" s="609"/>
      <c r="E283" s="609"/>
      <c r="F283" s="609"/>
      <c r="G283" s="609"/>
      <c r="H283" s="609"/>
      <c r="I283" s="166" t="s">
        <v>211</v>
      </c>
      <c r="J283" s="166" t="s">
        <v>211</v>
      </c>
      <c r="K283" s="166" t="s">
        <v>211</v>
      </c>
      <c r="L283" s="166" t="s">
        <v>211</v>
      </c>
      <c r="M283" s="166" t="s">
        <v>211</v>
      </c>
      <c r="N283" s="166" t="s">
        <v>211</v>
      </c>
      <c r="O283" s="166" t="s">
        <v>211</v>
      </c>
    </row>
    <row r="284" spans="1:17" s="453" customFormat="1" ht="14" x14ac:dyDescent="0.2">
      <c r="B284" s="453">
        <v>3</v>
      </c>
      <c r="C284" s="571" t="s">
        <v>1701</v>
      </c>
      <c r="D284" s="571"/>
      <c r="E284" s="571"/>
      <c r="F284" s="571"/>
      <c r="G284" s="571"/>
      <c r="H284" s="571"/>
      <c r="I284" s="166" t="s">
        <v>211</v>
      </c>
      <c r="J284" s="166" t="s">
        <v>211</v>
      </c>
      <c r="K284" s="166" t="s">
        <v>211</v>
      </c>
      <c r="L284" s="166" t="s">
        <v>211</v>
      </c>
      <c r="M284" s="166" t="s">
        <v>211</v>
      </c>
      <c r="N284" s="166" t="s">
        <v>211</v>
      </c>
      <c r="O284" s="166" t="s">
        <v>211</v>
      </c>
    </row>
    <row r="285" spans="1:17" s="453" customFormat="1" ht="14" x14ac:dyDescent="0.2">
      <c r="B285" s="453">
        <v>4</v>
      </c>
      <c r="C285" s="571" t="s">
        <v>1702</v>
      </c>
      <c r="D285" s="571"/>
      <c r="E285" s="571"/>
      <c r="F285" s="571"/>
      <c r="G285" s="571"/>
      <c r="H285" s="571"/>
      <c r="I285" s="166" t="s">
        <v>211</v>
      </c>
      <c r="J285" s="166" t="s">
        <v>211</v>
      </c>
      <c r="K285" s="166" t="s">
        <v>211</v>
      </c>
      <c r="L285" s="166" t="s">
        <v>211</v>
      </c>
      <c r="M285" s="166" t="s">
        <v>211</v>
      </c>
      <c r="N285" s="166" t="s">
        <v>211</v>
      </c>
      <c r="O285" s="166" t="s">
        <v>211</v>
      </c>
    </row>
    <row r="286" spans="1:17" s="453" customFormat="1" ht="14" x14ac:dyDescent="0.2">
      <c r="B286" s="453">
        <v>5</v>
      </c>
      <c r="C286" s="125" t="s">
        <v>1703</v>
      </c>
      <c r="D286" s="125"/>
      <c r="E286" s="125"/>
      <c r="F286" s="665" t="s">
        <v>292</v>
      </c>
      <c r="G286" s="666"/>
      <c r="H286" s="126"/>
      <c r="I286" s="166" t="s">
        <v>211</v>
      </c>
      <c r="J286" s="166" t="s">
        <v>211</v>
      </c>
      <c r="K286" s="166" t="s">
        <v>211</v>
      </c>
      <c r="L286" s="166" t="s">
        <v>211</v>
      </c>
      <c r="M286" s="166" t="s">
        <v>211</v>
      </c>
      <c r="N286" s="166" t="s">
        <v>211</v>
      </c>
      <c r="O286" s="166" t="s">
        <v>211</v>
      </c>
    </row>
    <row r="287" spans="1:17" s="453" customFormat="1" ht="14" x14ac:dyDescent="0.2">
      <c r="B287" s="453">
        <v>6</v>
      </c>
      <c r="C287" s="573" t="s">
        <v>1600</v>
      </c>
      <c r="D287" s="573"/>
      <c r="E287" s="573"/>
      <c r="F287" s="573"/>
      <c r="G287" s="573"/>
      <c r="H287" s="573"/>
      <c r="I287" s="98" t="s">
        <v>211</v>
      </c>
      <c r="J287" s="106" t="s">
        <v>214</v>
      </c>
      <c r="K287" s="98" t="s">
        <v>211</v>
      </c>
      <c r="L287" s="106" t="s">
        <v>213</v>
      </c>
      <c r="M287" s="213">
        <f>COUNTIF(K287,Data!$A$1)</f>
        <v>0</v>
      </c>
      <c r="N287" s="213"/>
      <c r="O287" s="107"/>
      <c r="P287" s="107">
        <f>SUM(K288*4)</f>
        <v>0</v>
      </c>
    </row>
    <row r="288" spans="1:17" s="108" customFormat="1" ht="17" thickBot="1" x14ac:dyDescent="0.25">
      <c r="F288" s="115" t="s">
        <v>312</v>
      </c>
      <c r="G288" s="101" t="s">
        <v>215</v>
      </c>
      <c r="I288" s="107">
        <f>COUNTIF(I282:I287,Data!$A$1)</f>
        <v>0</v>
      </c>
      <c r="J288" s="107">
        <f>COUNTIF(J282:J286,Data!$A$1)</f>
        <v>0</v>
      </c>
      <c r="K288" s="107">
        <f>COUNTIF(K282:K286,Data!$A$1)</f>
        <v>0</v>
      </c>
      <c r="L288" s="107">
        <f>COUNTIF(L282:L286,Data!$A$1)</f>
        <v>0</v>
      </c>
      <c r="M288" s="107">
        <f>COUNTIF(M282:M286,Data!$A$1)</f>
        <v>0</v>
      </c>
      <c r="N288" s="107">
        <f>COUNTIF(N282:N286,Data!$A$1)</f>
        <v>0</v>
      </c>
      <c r="O288" s="107">
        <f>COUNTIF(O282:O286,Data!$A$1)</f>
        <v>0</v>
      </c>
      <c r="P288" s="107">
        <f>SUM(I288:K288,M287,M288:N288)</f>
        <v>0</v>
      </c>
    </row>
    <row r="289" spans="1:17" s="108" customFormat="1" ht="17" thickBot="1" x14ac:dyDescent="0.25">
      <c r="G289" s="578" t="s">
        <v>1584</v>
      </c>
      <c r="H289" s="578"/>
      <c r="I289" s="578"/>
      <c r="J289" s="579"/>
      <c r="K289" s="574">
        <f>SUM(O289,K288)</f>
        <v>0</v>
      </c>
      <c r="L289" s="575"/>
      <c r="M289" s="116"/>
      <c r="N289" s="109">
        <f>SUM(O289*5)</f>
        <v>0</v>
      </c>
      <c r="O289" s="114">
        <f>SUM(J288,M287)</f>
        <v>0</v>
      </c>
      <c r="P289" s="116">
        <f>SUM(P288*5)</f>
        <v>0</v>
      </c>
    </row>
    <row r="290" spans="1:17" s="453" customFormat="1" ht="14" x14ac:dyDescent="0.2">
      <c r="C290" s="449"/>
      <c r="D290" s="449"/>
      <c r="E290" s="449"/>
      <c r="F290" s="449"/>
      <c r="G290" s="449"/>
      <c r="H290" s="449"/>
    </row>
    <row r="291" spans="1:17" s="453" customFormat="1" ht="14" x14ac:dyDescent="0.2">
      <c r="A291" s="471">
        <v>21</v>
      </c>
      <c r="B291" s="112">
        <v>1</v>
      </c>
      <c r="C291" s="571" t="s">
        <v>1704</v>
      </c>
      <c r="D291" s="571"/>
      <c r="E291" s="571"/>
      <c r="F291" s="571"/>
      <c r="G291" s="571"/>
      <c r="H291" s="571"/>
      <c r="I291" s="166" t="s">
        <v>211</v>
      </c>
      <c r="J291" s="166" t="s">
        <v>211</v>
      </c>
      <c r="K291" s="166" t="s">
        <v>211</v>
      </c>
      <c r="L291" s="166" t="s">
        <v>211</v>
      </c>
      <c r="M291" s="166" t="s">
        <v>211</v>
      </c>
      <c r="N291" s="166" t="s">
        <v>211</v>
      </c>
      <c r="O291" s="166" t="s">
        <v>211</v>
      </c>
    </row>
    <row r="292" spans="1:17" s="453" customFormat="1" ht="14" x14ac:dyDescent="0.2">
      <c r="B292" s="112">
        <v>2</v>
      </c>
      <c r="C292" s="609" t="s">
        <v>1595</v>
      </c>
      <c r="D292" s="609"/>
      <c r="E292" s="609"/>
      <c r="F292" s="609"/>
      <c r="G292" s="609"/>
      <c r="H292" s="609"/>
      <c r="I292" s="166" t="s">
        <v>211</v>
      </c>
      <c r="J292" s="166" t="s">
        <v>211</v>
      </c>
      <c r="K292" s="166" t="s">
        <v>211</v>
      </c>
      <c r="L292" s="166" t="s">
        <v>211</v>
      </c>
      <c r="M292" s="166" t="s">
        <v>211</v>
      </c>
      <c r="N292" s="166" t="s">
        <v>211</v>
      </c>
      <c r="O292" s="166" t="s">
        <v>211</v>
      </c>
    </row>
    <row r="293" spans="1:17" s="453" customFormat="1" ht="14" x14ac:dyDescent="0.2">
      <c r="B293" s="112">
        <v>3</v>
      </c>
      <c r="C293" s="571" t="s">
        <v>1670</v>
      </c>
      <c r="D293" s="571"/>
      <c r="E293" s="571"/>
      <c r="F293" s="571"/>
      <c r="G293" s="571"/>
      <c r="H293" s="571"/>
      <c r="I293" s="166" t="s">
        <v>211</v>
      </c>
      <c r="J293" s="166" t="s">
        <v>211</v>
      </c>
      <c r="K293" s="166" t="s">
        <v>211</v>
      </c>
      <c r="L293" s="166" t="s">
        <v>211</v>
      </c>
      <c r="M293" s="166" t="s">
        <v>211</v>
      </c>
      <c r="N293" s="166" t="s">
        <v>211</v>
      </c>
      <c r="O293" s="166" t="s">
        <v>211</v>
      </c>
    </row>
    <row r="294" spans="1:17" s="453" customFormat="1" ht="14" x14ac:dyDescent="0.2">
      <c r="B294" s="112">
        <v>4</v>
      </c>
      <c r="C294" s="571" t="s">
        <v>1705</v>
      </c>
      <c r="D294" s="571"/>
      <c r="E294" s="571"/>
      <c r="F294" s="571"/>
      <c r="G294" s="571"/>
      <c r="H294" s="571"/>
      <c r="I294" s="166" t="s">
        <v>211</v>
      </c>
      <c r="J294" s="166" t="s">
        <v>211</v>
      </c>
      <c r="K294" s="166" t="s">
        <v>211</v>
      </c>
      <c r="L294" s="166" t="s">
        <v>211</v>
      </c>
      <c r="M294" s="166" t="s">
        <v>211</v>
      </c>
      <c r="N294" s="166" t="s">
        <v>211</v>
      </c>
      <c r="O294" s="166" t="s">
        <v>211</v>
      </c>
    </row>
    <row r="295" spans="1:17" s="453" customFormat="1" ht="14" x14ac:dyDescent="0.2">
      <c r="B295" s="112" t="s">
        <v>108</v>
      </c>
      <c r="C295" s="571" t="s">
        <v>1706</v>
      </c>
      <c r="D295" s="571"/>
      <c r="E295" s="571"/>
      <c r="F295" s="571"/>
      <c r="G295" s="571"/>
      <c r="H295" s="571"/>
      <c r="I295" s="166" t="s">
        <v>211</v>
      </c>
      <c r="J295" s="166" t="s">
        <v>211</v>
      </c>
      <c r="K295" s="166" t="s">
        <v>211</v>
      </c>
      <c r="L295" s="166" t="s">
        <v>211</v>
      </c>
      <c r="M295" s="166" t="s">
        <v>211</v>
      </c>
      <c r="N295" s="166" t="s">
        <v>211</v>
      </c>
      <c r="O295" s="166" t="s">
        <v>211</v>
      </c>
    </row>
    <row r="296" spans="1:17" s="453" customFormat="1" ht="14" x14ac:dyDescent="0.2">
      <c r="B296" s="112">
        <v>5</v>
      </c>
      <c r="C296" s="571" t="s">
        <v>1707</v>
      </c>
      <c r="D296" s="571"/>
      <c r="E296" s="571"/>
      <c r="F296" s="571"/>
      <c r="G296" s="571"/>
      <c r="H296" s="571"/>
      <c r="I296" s="166" t="s">
        <v>211</v>
      </c>
      <c r="J296" s="166" t="s">
        <v>211</v>
      </c>
      <c r="K296" s="166" t="s">
        <v>211</v>
      </c>
      <c r="L296" s="166" t="s">
        <v>211</v>
      </c>
      <c r="M296" s="166" t="s">
        <v>211</v>
      </c>
      <c r="N296" s="166" t="s">
        <v>211</v>
      </c>
      <c r="O296" s="166" t="s">
        <v>211</v>
      </c>
    </row>
    <row r="297" spans="1:17" s="453" customFormat="1" ht="14" x14ac:dyDescent="0.2">
      <c r="B297" s="112">
        <v>6</v>
      </c>
      <c r="C297" s="573" t="s">
        <v>1600</v>
      </c>
      <c r="D297" s="573"/>
      <c r="E297" s="573"/>
      <c r="F297" s="573"/>
      <c r="G297" s="573"/>
      <c r="H297" s="573"/>
      <c r="I297" s="98" t="s">
        <v>211</v>
      </c>
      <c r="J297" s="106" t="s">
        <v>214</v>
      </c>
      <c r="K297" s="98" t="s">
        <v>211</v>
      </c>
      <c r="L297" s="106" t="s">
        <v>213</v>
      </c>
      <c r="M297" s="213">
        <f>COUNTIF(K297,Data!$A$1)</f>
        <v>0</v>
      </c>
      <c r="N297" s="213"/>
      <c r="O297" s="107"/>
      <c r="P297" s="107">
        <f>SUM(K298*4)</f>
        <v>0</v>
      </c>
      <c r="Q297" s="107"/>
    </row>
    <row r="298" spans="1:17" s="108" customFormat="1" ht="17" thickBot="1" x14ac:dyDescent="0.25">
      <c r="F298" s="115" t="s">
        <v>312</v>
      </c>
      <c r="G298" s="101" t="s">
        <v>215</v>
      </c>
      <c r="I298" s="107">
        <f>COUNTIF(I291:I297,Data!$A$1)</f>
        <v>0</v>
      </c>
      <c r="J298" s="107">
        <f>COUNTIF(J291:J296,Data!$A$1)</f>
        <v>0</v>
      </c>
      <c r="K298" s="107">
        <f>COUNTIF(K291:K296,Data!$A$1)</f>
        <v>0</v>
      </c>
      <c r="L298" s="107">
        <f>COUNTIF(L291:L296,Data!$A$1)</f>
        <v>0</v>
      </c>
      <c r="M298" s="107">
        <f>COUNTIF(M291:M296,Data!$A$1)</f>
        <v>0</v>
      </c>
      <c r="N298" s="107">
        <f>COUNTIF(N291:N296,Data!$A$1)</f>
        <v>0</v>
      </c>
      <c r="O298" s="107">
        <f>COUNTIF(O291:O296,Data!$A$1)</f>
        <v>0</v>
      </c>
      <c r="P298" s="107">
        <f>SUM(I298:K298,M297,M298:N298)</f>
        <v>0</v>
      </c>
      <c r="Q298" s="116"/>
    </row>
    <row r="299" spans="1:17" s="108" customFormat="1" ht="17" thickBot="1" x14ac:dyDescent="0.25">
      <c r="G299" s="578" t="s">
        <v>1584</v>
      </c>
      <c r="H299" s="578"/>
      <c r="I299" s="578"/>
      <c r="J299" s="579"/>
      <c r="K299" s="574">
        <f>SUM(O299,K298)</f>
        <v>0</v>
      </c>
      <c r="L299" s="575"/>
      <c r="M299" s="215"/>
      <c r="N299" s="216">
        <f>SUM(O299*5)</f>
        <v>0</v>
      </c>
      <c r="O299" s="217">
        <f>SUM(J298,M297)</f>
        <v>0</v>
      </c>
      <c r="P299" s="215">
        <f>SUM(P298*5)</f>
        <v>0</v>
      </c>
      <c r="Q299" s="215"/>
    </row>
    <row r="300" spans="1:17" s="453" customFormat="1" ht="14" x14ac:dyDescent="0.2">
      <c r="B300" s="463"/>
      <c r="C300" s="463"/>
      <c r="D300" s="443"/>
      <c r="F300" s="463"/>
      <c r="G300" s="112"/>
      <c r="H300" s="463"/>
      <c r="M300" s="107"/>
      <c r="N300" s="107"/>
      <c r="O300" s="107"/>
      <c r="P300" s="107"/>
      <c r="Q300" s="107"/>
    </row>
    <row r="301" spans="1:17" s="453" customFormat="1" ht="14" x14ac:dyDescent="0.2">
      <c r="A301" s="471">
        <v>22</v>
      </c>
      <c r="B301" s="112">
        <v>1</v>
      </c>
      <c r="C301" s="571" t="s">
        <v>281</v>
      </c>
      <c r="D301" s="571"/>
      <c r="E301" s="571"/>
      <c r="F301" s="571"/>
      <c r="G301" s="571"/>
      <c r="H301" s="571"/>
      <c r="I301" s="166" t="s">
        <v>211</v>
      </c>
      <c r="J301" s="166" t="s">
        <v>211</v>
      </c>
      <c r="K301" s="166" t="s">
        <v>211</v>
      </c>
      <c r="L301" s="166" t="s">
        <v>211</v>
      </c>
      <c r="M301" s="166" t="s">
        <v>211</v>
      </c>
      <c r="N301" s="166" t="s">
        <v>211</v>
      </c>
      <c r="O301" s="166" t="s">
        <v>211</v>
      </c>
    </row>
    <row r="302" spans="1:17" s="453" customFormat="1" ht="14" x14ac:dyDescent="0.2">
      <c r="B302" s="112">
        <v>2</v>
      </c>
      <c r="C302" s="571" t="s">
        <v>282</v>
      </c>
      <c r="D302" s="571"/>
      <c r="E302" s="571"/>
      <c r="F302" s="571"/>
      <c r="G302" s="571"/>
      <c r="H302" s="571"/>
      <c r="I302" s="166" t="s">
        <v>211</v>
      </c>
      <c r="J302" s="166" t="s">
        <v>211</v>
      </c>
      <c r="K302" s="166" t="s">
        <v>211</v>
      </c>
      <c r="L302" s="166" t="s">
        <v>211</v>
      </c>
      <c r="M302" s="166" t="s">
        <v>211</v>
      </c>
      <c r="N302" s="166" t="s">
        <v>211</v>
      </c>
      <c r="O302" s="166" t="s">
        <v>211</v>
      </c>
    </row>
    <row r="303" spans="1:17" s="453" customFormat="1" ht="14" x14ac:dyDescent="0.2">
      <c r="B303" s="112" t="s">
        <v>11</v>
      </c>
      <c r="C303" s="571" t="s">
        <v>1708</v>
      </c>
      <c r="D303" s="571"/>
      <c r="E303" s="571"/>
      <c r="F303" s="571"/>
      <c r="G303" s="571"/>
      <c r="H303" s="571"/>
      <c r="I303" s="166" t="s">
        <v>211</v>
      </c>
      <c r="J303" s="166" t="s">
        <v>211</v>
      </c>
      <c r="K303" s="166" t="s">
        <v>211</v>
      </c>
      <c r="L303" s="166" t="s">
        <v>211</v>
      </c>
      <c r="M303" s="166" t="s">
        <v>211</v>
      </c>
      <c r="N303" s="166" t="s">
        <v>211</v>
      </c>
      <c r="O303" s="166" t="s">
        <v>211</v>
      </c>
    </row>
    <row r="304" spans="1:17" s="453" customFormat="1" ht="14" x14ac:dyDescent="0.2">
      <c r="B304" s="112" t="s">
        <v>283</v>
      </c>
      <c r="C304" s="571" t="s">
        <v>1709</v>
      </c>
      <c r="D304" s="571"/>
      <c r="E304" s="571"/>
      <c r="F304" s="571"/>
      <c r="G304" s="571"/>
      <c r="H304" s="571"/>
      <c r="I304" s="166" t="s">
        <v>211</v>
      </c>
      <c r="J304" s="166" t="s">
        <v>211</v>
      </c>
      <c r="K304" s="166" t="s">
        <v>211</v>
      </c>
      <c r="L304" s="166" t="s">
        <v>211</v>
      </c>
      <c r="M304" s="166" t="s">
        <v>211</v>
      </c>
      <c r="N304" s="166" t="s">
        <v>211</v>
      </c>
      <c r="O304" s="166" t="s">
        <v>211</v>
      </c>
    </row>
    <row r="305" spans="1:16" s="453" customFormat="1" ht="14" x14ac:dyDescent="0.2">
      <c r="B305" s="112">
        <v>3</v>
      </c>
      <c r="C305" s="571" t="s">
        <v>284</v>
      </c>
      <c r="D305" s="571"/>
      <c r="E305" s="571"/>
      <c r="F305" s="571"/>
      <c r="G305" s="571"/>
      <c r="H305" s="571"/>
      <c r="I305" s="166" t="s">
        <v>211</v>
      </c>
      <c r="J305" s="166" t="s">
        <v>211</v>
      </c>
      <c r="K305" s="166" t="s">
        <v>211</v>
      </c>
      <c r="L305" s="166" t="s">
        <v>211</v>
      </c>
      <c r="M305" s="166" t="s">
        <v>211</v>
      </c>
      <c r="N305" s="166" t="s">
        <v>211</v>
      </c>
      <c r="O305" s="166" t="s">
        <v>211</v>
      </c>
    </row>
    <row r="306" spans="1:16" s="453" customFormat="1" ht="14" x14ac:dyDescent="0.2">
      <c r="B306" s="112" t="s">
        <v>17</v>
      </c>
      <c r="C306" s="571" t="s">
        <v>1710</v>
      </c>
      <c r="D306" s="571"/>
      <c r="E306" s="571"/>
      <c r="F306" s="571"/>
      <c r="G306" s="571"/>
      <c r="H306" s="571"/>
      <c r="I306" s="166" t="s">
        <v>211</v>
      </c>
      <c r="J306" s="166" t="s">
        <v>211</v>
      </c>
      <c r="K306" s="166" t="s">
        <v>211</v>
      </c>
      <c r="L306" s="166" t="s">
        <v>211</v>
      </c>
      <c r="M306" s="166" t="s">
        <v>211</v>
      </c>
      <c r="N306" s="166" t="s">
        <v>211</v>
      </c>
      <c r="O306" s="166" t="s">
        <v>211</v>
      </c>
    </row>
    <row r="307" spans="1:16" s="453" customFormat="1" ht="12.75" customHeight="1" x14ac:dyDescent="0.2">
      <c r="B307" s="112" t="s">
        <v>18</v>
      </c>
      <c r="C307" s="610" t="s">
        <v>1711</v>
      </c>
      <c r="D307" s="610"/>
      <c r="E307" s="610"/>
      <c r="F307" s="610"/>
      <c r="G307" s="610"/>
      <c r="H307" s="610"/>
      <c r="I307" s="166" t="s">
        <v>211</v>
      </c>
      <c r="J307" s="166" t="s">
        <v>211</v>
      </c>
      <c r="K307" s="166" t="s">
        <v>211</v>
      </c>
      <c r="L307" s="166" t="s">
        <v>211</v>
      </c>
      <c r="M307" s="166" t="s">
        <v>211</v>
      </c>
      <c r="N307" s="166" t="s">
        <v>211</v>
      </c>
      <c r="O307" s="166" t="s">
        <v>211</v>
      </c>
    </row>
    <row r="308" spans="1:16" s="453" customFormat="1" ht="14" x14ac:dyDescent="0.2">
      <c r="B308" s="112">
        <v>4</v>
      </c>
      <c r="C308" s="571" t="s">
        <v>285</v>
      </c>
      <c r="D308" s="571"/>
      <c r="E308" s="571"/>
      <c r="F308" s="571"/>
      <c r="G308" s="571"/>
      <c r="H308" s="571"/>
      <c r="I308" s="166" t="s">
        <v>211</v>
      </c>
      <c r="J308" s="166" t="s">
        <v>211</v>
      </c>
      <c r="K308" s="166" t="s">
        <v>211</v>
      </c>
      <c r="L308" s="166" t="s">
        <v>211</v>
      </c>
      <c r="M308" s="166" t="s">
        <v>211</v>
      </c>
      <c r="N308" s="166" t="s">
        <v>211</v>
      </c>
      <c r="O308" s="166" t="s">
        <v>211</v>
      </c>
    </row>
    <row r="309" spans="1:16" s="453" customFormat="1" ht="14" x14ac:dyDescent="0.2">
      <c r="B309" s="112">
        <v>5</v>
      </c>
      <c r="C309" s="571" t="s">
        <v>1712</v>
      </c>
      <c r="D309" s="571"/>
      <c r="E309" s="571"/>
      <c r="F309" s="571"/>
      <c r="G309" s="571"/>
      <c r="H309" s="571"/>
      <c r="I309" s="166" t="s">
        <v>211</v>
      </c>
      <c r="J309" s="166" t="s">
        <v>211</v>
      </c>
      <c r="K309" s="166" t="s">
        <v>211</v>
      </c>
      <c r="L309" s="166" t="s">
        <v>211</v>
      </c>
      <c r="M309" s="166" t="s">
        <v>211</v>
      </c>
      <c r="N309" s="166" t="s">
        <v>211</v>
      </c>
      <c r="O309" s="166" t="s">
        <v>211</v>
      </c>
    </row>
    <row r="310" spans="1:16" s="453" customFormat="1" ht="14" x14ac:dyDescent="0.2">
      <c r="B310" s="112" t="s">
        <v>273</v>
      </c>
      <c r="C310" s="571" t="s">
        <v>1713</v>
      </c>
      <c r="D310" s="571"/>
      <c r="E310" s="571"/>
      <c r="F310" s="571"/>
      <c r="G310" s="571"/>
      <c r="H310" s="571"/>
      <c r="I310" s="166" t="s">
        <v>211</v>
      </c>
      <c r="J310" s="166" t="s">
        <v>211</v>
      </c>
      <c r="K310" s="166" t="s">
        <v>211</v>
      </c>
      <c r="L310" s="166" t="s">
        <v>211</v>
      </c>
      <c r="M310" s="166" t="s">
        <v>211</v>
      </c>
      <c r="N310" s="166" t="s">
        <v>211</v>
      </c>
      <c r="O310" s="166" t="s">
        <v>211</v>
      </c>
    </row>
    <row r="311" spans="1:16" s="453" customFormat="1" ht="14" x14ac:dyDescent="0.2">
      <c r="B311" s="112">
        <v>6</v>
      </c>
      <c r="C311" s="573" t="s">
        <v>1600</v>
      </c>
      <c r="D311" s="573"/>
      <c r="E311" s="573"/>
      <c r="F311" s="573"/>
      <c r="G311" s="573"/>
      <c r="H311" s="573"/>
      <c r="I311" s="98" t="s">
        <v>211</v>
      </c>
      <c r="J311" s="106" t="s">
        <v>214</v>
      </c>
      <c r="K311" s="98" t="s">
        <v>211</v>
      </c>
      <c r="L311" s="106" t="s">
        <v>213</v>
      </c>
      <c r="M311" s="213">
        <f>COUNTIF(K311,Data!$A$1)</f>
        <v>0</v>
      </c>
      <c r="N311" s="213"/>
      <c r="O311" s="107"/>
      <c r="P311" s="107">
        <f>SUM(K312*4)</f>
        <v>0</v>
      </c>
    </row>
    <row r="312" spans="1:16" s="108" customFormat="1" ht="17" thickBot="1" x14ac:dyDescent="0.25">
      <c r="F312" s="115" t="s">
        <v>312</v>
      </c>
      <c r="G312" s="101" t="s">
        <v>215</v>
      </c>
      <c r="I312" s="107">
        <f>COUNTIF(I301:I311,Data!$A$1)</f>
        <v>0</v>
      </c>
      <c r="J312" s="107">
        <f>COUNTIF(J301:J310,Data!$A$1)</f>
        <v>0</v>
      </c>
      <c r="K312" s="107">
        <f>COUNTIF(K301:K310,Data!$A$1)</f>
        <v>0</v>
      </c>
      <c r="L312" s="107">
        <f>COUNTIF(L301:L310,Data!$A$1)</f>
        <v>0</v>
      </c>
      <c r="M312" s="107">
        <f>COUNTIF(M301:M310,Data!$A$1)</f>
        <v>0</v>
      </c>
      <c r="N312" s="107">
        <f>COUNTIF(N301:N310,Data!$A$1)</f>
        <v>0</v>
      </c>
      <c r="O312" s="107">
        <f>COUNTIF(O301:O310,Data!$A$1)</f>
        <v>0</v>
      </c>
      <c r="P312" s="107">
        <f>SUM(I312:K312,M311,M312:N312)</f>
        <v>0</v>
      </c>
    </row>
    <row r="313" spans="1:16" s="108" customFormat="1" ht="17" thickBot="1" x14ac:dyDescent="0.25">
      <c r="G313" s="578" t="s">
        <v>1584</v>
      </c>
      <c r="H313" s="578"/>
      <c r="I313" s="578"/>
      <c r="J313" s="579"/>
      <c r="K313" s="574">
        <f>SUM(O313,K312)</f>
        <v>0</v>
      </c>
      <c r="L313" s="575"/>
      <c r="M313" s="116"/>
      <c r="N313" s="109">
        <f>SUM(O313*5)</f>
        <v>0</v>
      </c>
      <c r="O313" s="114">
        <f>SUM(J312,M311)</f>
        <v>0</v>
      </c>
      <c r="P313" s="116">
        <f>SUM(P312*5)</f>
        <v>0</v>
      </c>
    </row>
    <row r="314" spans="1:16" x14ac:dyDescent="0.2">
      <c r="B314" s="461"/>
      <c r="C314" s="461"/>
      <c r="D314" s="465"/>
      <c r="F314" s="461"/>
      <c r="G314" s="464"/>
      <c r="H314" s="461"/>
    </row>
    <row r="315" spans="1:16" s="453" customFormat="1" ht="14" x14ac:dyDescent="0.2">
      <c r="A315" s="471">
        <v>23</v>
      </c>
      <c r="B315" s="112">
        <v>1</v>
      </c>
      <c r="C315" s="571" t="s">
        <v>1714</v>
      </c>
      <c r="D315" s="571"/>
      <c r="E315" s="571"/>
      <c r="F315" s="571"/>
      <c r="G315" s="571"/>
      <c r="H315" s="571"/>
      <c r="I315" s="166" t="s">
        <v>211</v>
      </c>
      <c r="J315" s="166" t="s">
        <v>211</v>
      </c>
      <c r="K315" s="166" t="s">
        <v>211</v>
      </c>
      <c r="L315" s="166" t="s">
        <v>211</v>
      </c>
      <c r="M315" s="166" t="s">
        <v>211</v>
      </c>
      <c r="N315" s="166" t="s">
        <v>211</v>
      </c>
      <c r="O315" s="166" t="s">
        <v>211</v>
      </c>
    </row>
    <row r="316" spans="1:16" s="453" customFormat="1" ht="14" x14ac:dyDescent="0.2">
      <c r="B316" s="112">
        <v>2</v>
      </c>
      <c r="C316" s="571" t="s">
        <v>1715</v>
      </c>
      <c r="D316" s="571"/>
      <c r="E316" s="571"/>
      <c r="F316" s="571"/>
      <c r="G316" s="571"/>
      <c r="H316" s="571"/>
      <c r="I316" s="166" t="s">
        <v>211</v>
      </c>
      <c r="J316" s="166" t="s">
        <v>211</v>
      </c>
      <c r="K316" s="166" t="s">
        <v>211</v>
      </c>
      <c r="L316" s="166" t="s">
        <v>211</v>
      </c>
      <c r="M316" s="166" t="s">
        <v>211</v>
      </c>
      <c r="N316" s="166" t="s">
        <v>211</v>
      </c>
      <c r="O316" s="166" t="s">
        <v>211</v>
      </c>
    </row>
    <row r="317" spans="1:16" s="453" customFormat="1" ht="14" x14ac:dyDescent="0.2">
      <c r="B317" s="112">
        <v>3</v>
      </c>
      <c r="C317" s="571" t="s">
        <v>1716</v>
      </c>
      <c r="D317" s="571"/>
      <c r="E317" s="571"/>
      <c r="F317" s="571"/>
      <c r="G317" s="571"/>
      <c r="H317" s="571"/>
      <c r="I317" s="166" t="s">
        <v>211</v>
      </c>
      <c r="J317" s="166" t="s">
        <v>211</v>
      </c>
      <c r="K317" s="166" t="s">
        <v>211</v>
      </c>
      <c r="L317" s="166" t="s">
        <v>211</v>
      </c>
      <c r="M317" s="166" t="s">
        <v>211</v>
      </c>
      <c r="N317" s="166" t="s">
        <v>211</v>
      </c>
      <c r="O317" s="166" t="s">
        <v>211</v>
      </c>
    </row>
    <row r="318" spans="1:16" s="453" customFormat="1" ht="14" x14ac:dyDescent="0.2">
      <c r="B318" s="112">
        <v>4</v>
      </c>
      <c r="C318" s="571" t="s">
        <v>1630</v>
      </c>
      <c r="D318" s="571"/>
      <c r="E318" s="571"/>
      <c r="F318" s="571"/>
      <c r="G318" s="571"/>
      <c r="H318" s="571"/>
      <c r="I318" s="166" t="s">
        <v>211</v>
      </c>
      <c r="J318" s="166" t="s">
        <v>211</v>
      </c>
      <c r="K318" s="166" t="s">
        <v>211</v>
      </c>
      <c r="L318" s="166" t="s">
        <v>211</v>
      </c>
      <c r="M318" s="166" t="s">
        <v>211</v>
      </c>
      <c r="N318" s="166" t="s">
        <v>211</v>
      </c>
      <c r="O318" s="166" t="s">
        <v>211</v>
      </c>
    </row>
    <row r="319" spans="1:16" s="453" customFormat="1" ht="14" x14ac:dyDescent="0.2">
      <c r="B319" s="112" t="s">
        <v>108</v>
      </c>
      <c r="C319" s="571" t="s">
        <v>1652</v>
      </c>
      <c r="D319" s="571"/>
      <c r="E319" s="571"/>
      <c r="F319" s="571"/>
      <c r="G319" s="571"/>
      <c r="H319" s="571"/>
      <c r="I319" s="166" t="s">
        <v>211</v>
      </c>
      <c r="J319" s="166" t="s">
        <v>211</v>
      </c>
      <c r="K319" s="166" t="s">
        <v>211</v>
      </c>
      <c r="L319" s="166" t="s">
        <v>211</v>
      </c>
      <c r="M319" s="166" t="s">
        <v>211</v>
      </c>
      <c r="N319" s="166" t="s">
        <v>211</v>
      </c>
      <c r="O319" s="166" t="s">
        <v>211</v>
      </c>
    </row>
    <row r="320" spans="1:16" s="453" customFormat="1" ht="14" x14ac:dyDescent="0.2">
      <c r="B320" s="112">
        <v>5</v>
      </c>
      <c r="C320" s="609" t="s">
        <v>1595</v>
      </c>
      <c r="D320" s="609"/>
      <c r="E320" s="609"/>
      <c r="F320" s="609"/>
      <c r="G320" s="609"/>
      <c r="H320" s="609"/>
      <c r="I320" s="166" t="s">
        <v>211</v>
      </c>
      <c r="J320" s="166" t="s">
        <v>211</v>
      </c>
      <c r="K320" s="166" t="s">
        <v>211</v>
      </c>
      <c r="L320" s="166" t="s">
        <v>211</v>
      </c>
      <c r="M320" s="166" t="s">
        <v>211</v>
      </c>
      <c r="N320" s="166" t="s">
        <v>211</v>
      </c>
      <c r="O320" s="166" t="s">
        <v>211</v>
      </c>
    </row>
    <row r="321" spans="1:16" s="453" customFormat="1" ht="14" x14ac:dyDescent="0.2">
      <c r="B321" s="112">
        <v>6</v>
      </c>
      <c r="C321" s="571" t="s">
        <v>1656</v>
      </c>
      <c r="D321" s="571"/>
      <c r="E321" s="571"/>
      <c r="F321" s="571"/>
      <c r="G321" s="571"/>
      <c r="H321" s="571"/>
      <c r="I321" s="166" t="s">
        <v>211</v>
      </c>
      <c r="J321" s="166" t="s">
        <v>211</v>
      </c>
      <c r="K321" s="166" t="s">
        <v>211</v>
      </c>
      <c r="L321" s="166" t="s">
        <v>211</v>
      </c>
      <c r="M321" s="166" t="s">
        <v>211</v>
      </c>
      <c r="N321" s="166" t="s">
        <v>211</v>
      </c>
      <c r="O321" s="166" t="s">
        <v>211</v>
      </c>
    </row>
    <row r="322" spans="1:16" s="453" customFormat="1" ht="14" x14ac:dyDescent="0.2">
      <c r="B322" s="112">
        <v>7</v>
      </c>
      <c r="C322" s="571" t="s">
        <v>1717</v>
      </c>
      <c r="D322" s="571"/>
      <c r="E322" s="571"/>
      <c r="F322" s="571"/>
      <c r="G322" s="571"/>
      <c r="H322" s="571"/>
      <c r="I322" s="166" t="s">
        <v>211</v>
      </c>
      <c r="J322" s="166" t="s">
        <v>211</v>
      </c>
      <c r="K322" s="166" t="s">
        <v>211</v>
      </c>
      <c r="L322" s="166" t="s">
        <v>211</v>
      </c>
      <c r="M322" s="166" t="s">
        <v>211</v>
      </c>
      <c r="N322" s="166" t="s">
        <v>211</v>
      </c>
      <c r="O322" s="166" t="s">
        <v>211</v>
      </c>
    </row>
    <row r="323" spans="1:16" s="453" customFormat="1" ht="14" x14ac:dyDescent="0.2">
      <c r="B323" s="112">
        <v>8</v>
      </c>
      <c r="C323" s="571" t="s">
        <v>1718</v>
      </c>
      <c r="D323" s="571"/>
      <c r="E323" s="571"/>
      <c r="F323" s="571"/>
      <c r="G323" s="571"/>
      <c r="H323" s="571"/>
      <c r="I323" s="166" t="s">
        <v>211</v>
      </c>
      <c r="J323" s="166" t="s">
        <v>211</v>
      </c>
      <c r="K323" s="166" t="s">
        <v>211</v>
      </c>
      <c r="L323" s="166" t="s">
        <v>211</v>
      </c>
      <c r="M323" s="166" t="s">
        <v>211</v>
      </c>
      <c r="N323" s="166" t="s">
        <v>211</v>
      </c>
      <c r="O323" s="166" t="s">
        <v>211</v>
      </c>
    </row>
    <row r="324" spans="1:16" s="453" customFormat="1" ht="14" x14ac:dyDescent="0.2">
      <c r="B324" s="112">
        <v>9</v>
      </c>
      <c r="C324" s="571" t="s">
        <v>265</v>
      </c>
      <c r="D324" s="571"/>
      <c r="E324" s="571"/>
      <c r="F324" s="571"/>
      <c r="G324" s="571"/>
      <c r="H324" s="571"/>
      <c r="I324" s="98" t="s">
        <v>211</v>
      </c>
      <c r="J324" s="106" t="s">
        <v>214</v>
      </c>
      <c r="K324" s="98" t="s">
        <v>211</v>
      </c>
      <c r="L324" s="106" t="s">
        <v>213</v>
      </c>
      <c r="M324" s="214">
        <f>COUNTIF(K324,Data!$A$1)</f>
        <v>0</v>
      </c>
      <c r="N324" s="106"/>
      <c r="P324" s="107">
        <f>SUM(K325*4)</f>
        <v>0</v>
      </c>
    </row>
    <row r="325" spans="1:16" s="453" customFormat="1" thickBot="1" x14ac:dyDescent="0.25">
      <c r="D325" s="453" t="s">
        <v>293</v>
      </c>
      <c r="F325" s="131" t="s">
        <v>292</v>
      </c>
      <c r="I325" s="107">
        <f>COUNTIF(I315:I324,Data!$A$1)</f>
        <v>0</v>
      </c>
      <c r="J325" s="107">
        <f>COUNTIF(J315:J323,Data!$A$1)</f>
        <v>0</v>
      </c>
      <c r="K325" s="107">
        <f>COUNTIF(K315:K323,Data!$A$1)</f>
        <v>0</v>
      </c>
      <c r="L325" s="107">
        <f>COUNTIF(L315:L323,Data!$A$1)</f>
        <v>0</v>
      </c>
      <c r="M325" s="107">
        <f>COUNTIF(M315:M323,Data!$A$1)</f>
        <v>0</v>
      </c>
      <c r="N325" s="107">
        <f>COUNTIF(N315:N323,Data!$A$1)</f>
        <v>0</v>
      </c>
      <c r="O325" s="107">
        <f>COUNTIF(O315:O323,Data!$A$1)</f>
        <v>0</v>
      </c>
      <c r="P325" s="107">
        <f>SUM(I325:K325,M324,M325:N325)</f>
        <v>0</v>
      </c>
    </row>
    <row r="326" spans="1:16" s="108" customFormat="1" ht="17" thickBot="1" x14ac:dyDescent="0.25">
      <c r="G326" s="578" t="s">
        <v>1584</v>
      </c>
      <c r="H326" s="578"/>
      <c r="I326" s="578"/>
      <c r="J326" s="579"/>
      <c r="K326" s="574">
        <f>SUM(K325,N326)</f>
        <v>0</v>
      </c>
      <c r="L326" s="575"/>
      <c r="M326" s="116"/>
      <c r="N326" s="109">
        <f>SUM(O326*5)</f>
        <v>0</v>
      </c>
      <c r="O326" s="114">
        <f>SUM(J325,M324)</f>
        <v>0</v>
      </c>
      <c r="P326" s="116">
        <f>SUM(P325*5)</f>
        <v>0</v>
      </c>
    </row>
    <row r="327" spans="1:16" s="453" customFormat="1" ht="14" x14ac:dyDescent="0.2">
      <c r="B327" s="463"/>
      <c r="C327" s="463"/>
      <c r="D327" s="443"/>
      <c r="F327" s="463"/>
      <c r="G327" s="112"/>
      <c r="H327" s="463"/>
    </row>
    <row r="328" spans="1:16" s="453" customFormat="1" ht="14" x14ac:dyDescent="0.2">
      <c r="A328" s="471">
        <v>24</v>
      </c>
      <c r="B328" s="112">
        <v>1</v>
      </c>
      <c r="C328" s="571" t="s">
        <v>1719</v>
      </c>
      <c r="D328" s="571"/>
      <c r="E328" s="571"/>
      <c r="F328" s="571"/>
      <c r="G328" s="571"/>
      <c r="H328" s="571"/>
      <c r="I328" s="166" t="s">
        <v>211</v>
      </c>
      <c r="J328" s="166" t="s">
        <v>211</v>
      </c>
      <c r="K328" s="166" t="s">
        <v>211</v>
      </c>
      <c r="L328" s="166" t="s">
        <v>211</v>
      </c>
      <c r="M328" s="166" t="s">
        <v>211</v>
      </c>
      <c r="N328" s="166" t="s">
        <v>211</v>
      </c>
      <c r="O328" s="166" t="s">
        <v>211</v>
      </c>
    </row>
    <row r="329" spans="1:16" s="453" customFormat="1" ht="12.75" customHeight="1" x14ac:dyDescent="0.2">
      <c r="B329" s="112">
        <v>2</v>
      </c>
      <c r="C329" s="657" t="s">
        <v>1875</v>
      </c>
      <c r="D329" s="657"/>
      <c r="E329" s="657"/>
      <c r="F329" s="657"/>
      <c r="G329" s="657"/>
      <c r="H329" s="657"/>
      <c r="I329" s="166" t="s">
        <v>211</v>
      </c>
      <c r="J329" s="166" t="s">
        <v>211</v>
      </c>
      <c r="K329" s="166" t="s">
        <v>211</v>
      </c>
      <c r="L329" s="166" t="s">
        <v>211</v>
      </c>
      <c r="M329" s="166" t="s">
        <v>211</v>
      </c>
      <c r="N329" s="166" t="s">
        <v>211</v>
      </c>
      <c r="O329" s="166" t="s">
        <v>211</v>
      </c>
    </row>
    <row r="330" spans="1:16" s="453" customFormat="1" ht="14" x14ac:dyDescent="0.2">
      <c r="B330" s="112">
        <v>3</v>
      </c>
      <c r="C330" s="571" t="s">
        <v>1721</v>
      </c>
      <c r="D330" s="571"/>
      <c r="E330" s="571"/>
      <c r="F330" s="571"/>
      <c r="G330" s="571"/>
      <c r="H330" s="571"/>
      <c r="I330" s="166" t="s">
        <v>211</v>
      </c>
      <c r="J330" s="166" t="s">
        <v>211</v>
      </c>
      <c r="K330" s="166" t="s">
        <v>211</v>
      </c>
      <c r="L330" s="166" t="s">
        <v>211</v>
      </c>
      <c r="M330" s="166" t="s">
        <v>211</v>
      </c>
      <c r="N330" s="166" t="s">
        <v>211</v>
      </c>
      <c r="O330" s="166" t="s">
        <v>211</v>
      </c>
    </row>
    <row r="331" spans="1:16" s="453" customFormat="1" ht="14" x14ac:dyDescent="0.2">
      <c r="B331" s="112" t="s">
        <v>17</v>
      </c>
      <c r="C331" s="571" t="s">
        <v>1722</v>
      </c>
      <c r="D331" s="571"/>
      <c r="E331" s="571"/>
      <c r="F331" s="571"/>
      <c r="G331" s="571"/>
      <c r="H331" s="571"/>
      <c r="I331" s="166" t="s">
        <v>211</v>
      </c>
      <c r="J331" s="166" t="s">
        <v>211</v>
      </c>
      <c r="K331" s="166" t="s">
        <v>211</v>
      </c>
      <c r="L331" s="166" t="s">
        <v>211</v>
      </c>
      <c r="M331" s="166" t="s">
        <v>211</v>
      </c>
      <c r="N331" s="166" t="s">
        <v>211</v>
      </c>
      <c r="O331" s="166" t="s">
        <v>211</v>
      </c>
    </row>
    <row r="332" spans="1:16" s="453" customFormat="1" ht="12.75" customHeight="1" x14ac:dyDescent="0.2">
      <c r="B332" s="112" t="s">
        <v>18</v>
      </c>
      <c r="C332" s="610" t="s">
        <v>1723</v>
      </c>
      <c r="D332" s="610"/>
      <c r="E332" s="610"/>
      <c r="F332" s="610"/>
      <c r="G332" s="610"/>
      <c r="H332" s="610"/>
      <c r="I332" s="166" t="s">
        <v>211</v>
      </c>
      <c r="J332" s="166" t="s">
        <v>211</v>
      </c>
      <c r="K332" s="166" t="s">
        <v>211</v>
      </c>
      <c r="L332" s="166" t="s">
        <v>211</v>
      </c>
      <c r="M332" s="166" t="s">
        <v>211</v>
      </c>
      <c r="N332" s="166" t="s">
        <v>211</v>
      </c>
      <c r="O332" s="166" t="s">
        <v>211</v>
      </c>
    </row>
    <row r="333" spans="1:16" s="453" customFormat="1" ht="14" x14ac:dyDescent="0.2">
      <c r="B333" s="112">
        <v>4</v>
      </c>
      <c r="C333" s="571" t="s">
        <v>1724</v>
      </c>
      <c r="D333" s="571"/>
      <c r="E333" s="571"/>
      <c r="F333" s="571"/>
      <c r="G333" s="571"/>
      <c r="H333" s="571"/>
      <c r="I333" s="166" t="s">
        <v>211</v>
      </c>
      <c r="J333" s="166" t="s">
        <v>211</v>
      </c>
      <c r="K333" s="166" t="s">
        <v>211</v>
      </c>
      <c r="L333" s="166" t="s">
        <v>211</v>
      </c>
      <c r="M333" s="166" t="s">
        <v>211</v>
      </c>
      <c r="N333" s="166" t="s">
        <v>211</v>
      </c>
      <c r="O333" s="166" t="s">
        <v>211</v>
      </c>
    </row>
    <row r="334" spans="1:16" s="453" customFormat="1" ht="14" x14ac:dyDescent="0.2">
      <c r="B334" s="112">
        <v>5</v>
      </c>
      <c r="C334" s="571" t="s">
        <v>1725</v>
      </c>
      <c r="D334" s="571"/>
      <c r="E334" s="571"/>
      <c r="F334" s="571"/>
      <c r="G334" s="571"/>
      <c r="H334" s="571"/>
      <c r="I334" s="166" t="s">
        <v>211</v>
      </c>
      <c r="J334" s="166" t="s">
        <v>211</v>
      </c>
      <c r="K334" s="166" t="s">
        <v>211</v>
      </c>
      <c r="L334" s="166" t="s">
        <v>211</v>
      </c>
      <c r="M334" s="166" t="s">
        <v>211</v>
      </c>
      <c r="N334" s="166" t="s">
        <v>211</v>
      </c>
      <c r="O334" s="166" t="s">
        <v>211</v>
      </c>
    </row>
    <row r="335" spans="1:16" s="453" customFormat="1" ht="14" x14ac:dyDescent="0.2">
      <c r="B335" s="112">
        <v>6</v>
      </c>
      <c r="C335" s="571" t="s">
        <v>1726</v>
      </c>
      <c r="D335" s="571"/>
      <c r="E335" s="571"/>
      <c r="F335" s="571"/>
      <c r="G335" s="571"/>
      <c r="H335" s="571"/>
      <c r="I335" s="166" t="s">
        <v>211</v>
      </c>
      <c r="J335" s="166" t="s">
        <v>211</v>
      </c>
      <c r="K335" s="166" t="s">
        <v>211</v>
      </c>
      <c r="L335" s="166" t="s">
        <v>211</v>
      </c>
      <c r="M335" s="166" t="s">
        <v>211</v>
      </c>
      <c r="N335" s="166" t="s">
        <v>211</v>
      </c>
      <c r="O335" s="166" t="s">
        <v>211</v>
      </c>
    </row>
    <row r="336" spans="1:16" s="453" customFormat="1" ht="14" x14ac:dyDescent="0.2">
      <c r="B336" s="112">
        <v>7</v>
      </c>
      <c r="C336" s="573" t="s">
        <v>1600</v>
      </c>
      <c r="D336" s="573"/>
      <c r="E336" s="573"/>
      <c r="F336" s="573"/>
      <c r="G336" s="573"/>
      <c r="H336" s="573"/>
      <c r="I336" s="98" t="s">
        <v>211</v>
      </c>
      <c r="J336" s="106" t="s">
        <v>214</v>
      </c>
      <c r="K336" s="98" t="s">
        <v>211</v>
      </c>
      <c r="L336" s="106" t="s">
        <v>213</v>
      </c>
      <c r="M336" s="214">
        <f>COUNTIF(K336,Data!$A$1)</f>
        <v>0</v>
      </c>
      <c r="N336" s="106"/>
      <c r="P336" s="107">
        <f>SUM(K337*4)</f>
        <v>0</v>
      </c>
    </row>
    <row r="337" spans="1:16" ht="16" thickBot="1" x14ac:dyDescent="0.25">
      <c r="H337" s="129"/>
      <c r="I337" s="107">
        <f>COUNTIF(I328:I336,Data!$A$1)</f>
        <v>0</v>
      </c>
      <c r="J337" s="107">
        <f>COUNTIF(J328:J335,Data!$A$1)</f>
        <v>0</v>
      </c>
      <c r="K337" s="107">
        <f>COUNTIF(K328:K335,Data!$A$1)</f>
        <v>0</v>
      </c>
      <c r="L337" s="107">
        <f>COUNTIF(L328:L335,Data!$A$1)</f>
        <v>0</v>
      </c>
      <c r="M337" s="107">
        <f>COUNTIF(M328:M335,Data!$A$1)</f>
        <v>0</v>
      </c>
      <c r="N337" s="107">
        <f>COUNTIF(N328:N335,Data!$A$1)</f>
        <v>0</v>
      </c>
      <c r="O337" s="107">
        <f>COUNTIF(O328:O335,Data!$A$1)</f>
        <v>0</v>
      </c>
      <c r="P337" s="107">
        <f>SUM(I337:K337,M336,M337:N337)</f>
        <v>0</v>
      </c>
    </row>
    <row r="338" spans="1:16" s="108" customFormat="1" ht="17" thickBot="1" x14ac:dyDescent="0.25">
      <c r="G338" s="578" t="s">
        <v>1584</v>
      </c>
      <c r="H338" s="578"/>
      <c r="I338" s="578"/>
      <c r="J338" s="579"/>
      <c r="K338" s="574">
        <f>SUM(O338,K337)</f>
        <v>0</v>
      </c>
      <c r="L338" s="575"/>
      <c r="M338" s="116"/>
      <c r="N338" s="109">
        <f>SUM(O338*5)</f>
        <v>0</v>
      </c>
      <c r="O338" s="114">
        <f>SUM(J337,M336)</f>
        <v>0</v>
      </c>
      <c r="P338" s="116">
        <f>SUM(P337*5)</f>
        <v>0</v>
      </c>
    </row>
    <row r="339" spans="1:16" s="453" customFormat="1" ht="14" x14ac:dyDescent="0.2">
      <c r="B339" s="463"/>
      <c r="C339" s="463"/>
      <c r="D339" s="443"/>
      <c r="F339" s="463"/>
      <c r="G339" s="112"/>
      <c r="H339" s="463"/>
    </row>
    <row r="340" spans="1:16" s="453" customFormat="1" ht="14" x14ac:dyDescent="0.2">
      <c r="A340" s="471">
        <v>25</v>
      </c>
      <c r="B340" s="112">
        <v>1</v>
      </c>
      <c r="C340" s="571" t="s">
        <v>1715</v>
      </c>
      <c r="D340" s="571"/>
      <c r="E340" s="571"/>
      <c r="F340" s="571"/>
      <c r="G340" s="571"/>
      <c r="H340" s="571"/>
      <c r="I340" s="166" t="s">
        <v>211</v>
      </c>
      <c r="J340" s="166" t="s">
        <v>211</v>
      </c>
      <c r="K340" s="166" t="s">
        <v>211</v>
      </c>
      <c r="L340" s="166" t="s">
        <v>211</v>
      </c>
      <c r="M340" s="166" t="s">
        <v>211</v>
      </c>
      <c r="N340" s="166" t="s">
        <v>211</v>
      </c>
      <c r="O340" s="166" t="s">
        <v>211</v>
      </c>
    </row>
    <row r="341" spans="1:16" s="453" customFormat="1" ht="14" x14ac:dyDescent="0.2">
      <c r="B341" s="112">
        <v>2</v>
      </c>
      <c r="C341" s="571" t="s">
        <v>1727</v>
      </c>
      <c r="D341" s="571"/>
      <c r="E341" s="571"/>
      <c r="F341" s="571"/>
      <c r="G341" s="571"/>
      <c r="H341" s="571"/>
      <c r="I341" s="166" t="s">
        <v>211</v>
      </c>
      <c r="J341" s="166" t="s">
        <v>211</v>
      </c>
      <c r="K341" s="166" t="s">
        <v>211</v>
      </c>
      <c r="L341" s="166" t="s">
        <v>211</v>
      </c>
      <c r="M341" s="166" t="s">
        <v>211</v>
      </c>
      <c r="N341" s="166" t="s">
        <v>211</v>
      </c>
      <c r="O341" s="166" t="s">
        <v>211</v>
      </c>
    </row>
    <row r="342" spans="1:16" s="453" customFormat="1" ht="14" x14ac:dyDescent="0.2">
      <c r="B342" s="112">
        <v>3</v>
      </c>
      <c r="C342" s="571" t="s">
        <v>1671</v>
      </c>
      <c r="D342" s="571"/>
      <c r="E342" s="571"/>
      <c r="F342" s="571"/>
      <c r="G342" s="571"/>
      <c r="H342" s="571"/>
      <c r="I342" s="166" t="s">
        <v>211</v>
      </c>
      <c r="J342" s="166" t="s">
        <v>211</v>
      </c>
      <c r="K342" s="166" t="s">
        <v>211</v>
      </c>
      <c r="L342" s="166" t="s">
        <v>211</v>
      </c>
      <c r="M342" s="166" t="s">
        <v>211</v>
      </c>
      <c r="N342" s="166" t="s">
        <v>211</v>
      </c>
      <c r="O342" s="166" t="s">
        <v>211</v>
      </c>
    </row>
    <row r="343" spans="1:16" s="453" customFormat="1" ht="14" x14ac:dyDescent="0.2">
      <c r="B343" s="112">
        <v>4</v>
      </c>
      <c r="C343" s="571" t="s">
        <v>1728</v>
      </c>
      <c r="D343" s="571"/>
      <c r="E343" s="571"/>
      <c r="F343" s="571"/>
      <c r="G343" s="571"/>
      <c r="H343" s="571"/>
      <c r="I343" s="166" t="s">
        <v>211</v>
      </c>
      <c r="J343" s="166" t="s">
        <v>211</v>
      </c>
      <c r="K343" s="166" t="s">
        <v>211</v>
      </c>
      <c r="L343" s="166" t="s">
        <v>211</v>
      </c>
      <c r="M343" s="166" t="s">
        <v>211</v>
      </c>
      <c r="N343" s="166" t="s">
        <v>211</v>
      </c>
      <c r="O343" s="166" t="s">
        <v>211</v>
      </c>
    </row>
    <row r="344" spans="1:16" s="453" customFormat="1" ht="14" x14ac:dyDescent="0.2">
      <c r="B344" s="112" t="s">
        <v>108</v>
      </c>
      <c r="C344" s="571" t="s">
        <v>1729</v>
      </c>
      <c r="D344" s="571"/>
      <c r="E344" s="571"/>
      <c r="F344" s="571"/>
      <c r="G344" s="571"/>
      <c r="H344" s="571"/>
      <c r="I344" s="166" t="s">
        <v>211</v>
      </c>
      <c r="J344" s="166" t="s">
        <v>211</v>
      </c>
      <c r="K344" s="166" t="s">
        <v>211</v>
      </c>
      <c r="L344" s="166" t="s">
        <v>211</v>
      </c>
      <c r="M344" s="166" t="s">
        <v>211</v>
      </c>
      <c r="N344" s="166" t="s">
        <v>211</v>
      </c>
      <c r="O344" s="166" t="s">
        <v>211</v>
      </c>
    </row>
    <row r="345" spans="1:16" s="453" customFormat="1" ht="14" x14ac:dyDescent="0.2">
      <c r="B345" s="112" t="s">
        <v>200</v>
      </c>
      <c r="C345" s="571" t="s">
        <v>1730</v>
      </c>
      <c r="D345" s="571"/>
      <c r="E345" s="571"/>
      <c r="F345" s="571"/>
      <c r="G345" s="571"/>
      <c r="H345" s="571"/>
      <c r="I345" s="166" t="s">
        <v>211</v>
      </c>
      <c r="J345" s="166" t="s">
        <v>211</v>
      </c>
      <c r="K345" s="166" t="s">
        <v>211</v>
      </c>
      <c r="L345" s="166" t="s">
        <v>211</v>
      </c>
      <c r="M345" s="166" t="s">
        <v>211</v>
      </c>
      <c r="N345" s="166" t="s">
        <v>211</v>
      </c>
      <c r="O345" s="166" t="s">
        <v>211</v>
      </c>
    </row>
    <row r="346" spans="1:16" s="453" customFormat="1" ht="12.75" customHeight="1" x14ac:dyDescent="0.2">
      <c r="B346" s="112" t="s">
        <v>286</v>
      </c>
      <c r="C346" s="610" t="s">
        <v>1731</v>
      </c>
      <c r="D346" s="610"/>
      <c r="E346" s="610"/>
      <c r="F346" s="610"/>
      <c r="G346" s="610"/>
      <c r="H346" s="610"/>
      <c r="I346" s="166" t="s">
        <v>211</v>
      </c>
      <c r="J346" s="166" t="s">
        <v>211</v>
      </c>
      <c r="K346" s="166" t="s">
        <v>211</v>
      </c>
      <c r="L346" s="166" t="s">
        <v>211</v>
      </c>
      <c r="M346" s="166" t="s">
        <v>211</v>
      </c>
      <c r="N346" s="166" t="s">
        <v>211</v>
      </c>
      <c r="O346" s="166" t="s">
        <v>211</v>
      </c>
    </row>
    <row r="347" spans="1:16" s="453" customFormat="1" ht="14" x14ac:dyDescent="0.2">
      <c r="B347" s="112">
        <v>5</v>
      </c>
      <c r="C347" s="609" t="s">
        <v>1595</v>
      </c>
      <c r="D347" s="609"/>
      <c r="E347" s="609"/>
      <c r="F347" s="609"/>
      <c r="G347" s="609"/>
      <c r="H347" s="609"/>
      <c r="I347" s="166" t="s">
        <v>211</v>
      </c>
      <c r="J347" s="166" t="s">
        <v>211</v>
      </c>
      <c r="K347" s="166" t="s">
        <v>211</v>
      </c>
      <c r="L347" s="166" t="s">
        <v>211</v>
      </c>
      <c r="M347" s="166" t="s">
        <v>211</v>
      </c>
      <c r="N347" s="166" t="s">
        <v>211</v>
      </c>
      <c r="O347" s="166" t="s">
        <v>211</v>
      </c>
    </row>
    <row r="348" spans="1:16" s="453" customFormat="1" ht="14" x14ac:dyDescent="0.2">
      <c r="B348" s="112" t="s">
        <v>273</v>
      </c>
      <c r="C348" s="571" t="s">
        <v>1732</v>
      </c>
      <c r="D348" s="571"/>
      <c r="E348" s="571"/>
      <c r="F348" s="571"/>
      <c r="G348" s="571"/>
      <c r="H348" s="571"/>
      <c r="I348" s="166" t="s">
        <v>211</v>
      </c>
      <c r="J348" s="166" t="s">
        <v>211</v>
      </c>
      <c r="K348" s="166" t="s">
        <v>211</v>
      </c>
      <c r="L348" s="166" t="s">
        <v>211</v>
      </c>
      <c r="M348" s="166" t="s">
        <v>211</v>
      </c>
      <c r="N348" s="166" t="s">
        <v>211</v>
      </c>
      <c r="O348" s="166" t="s">
        <v>211</v>
      </c>
    </row>
    <row r="349" spans="1:16" s="453" customFormat="1" ht="14" x14ac:dyDescent="0.2">
      <c r="B349" s="112">
        <v>6</v>
      </c>
      <c r="C349" s="573" t="s">
        <v>1600</v>
      </c>
      <c r="D349" s="573"/>
      <c r="E349" s="573"/>
      <c r="F349" s="573"/>
      <c r="G349" s="573"/>
      <c r="H349" s="573"/>
      <c r="I349" s="98" t="s">
        <v>211</v>
      </c>
      <c r="J349" s="106" t="s">
        <v>214</v>
      </c>
      <c r="K349" s="98" t="s">
        <v>211</v>
      </c>
      <c r="L349" s="106" t="s">
        <v>213</v>
      </c>
      <c r="M349" s="213">
        <f>COUNTIF(K349,Data!$A$1)</f>
        <v>0</v>
      </c>
      <c r="N349" s="213"/>
      <c r="O349" s="107"/>
      <c r="P349" s="107">
        <f>SUM(K350*4)</f>
        <v>0</v>
      </c>
    </row>
    <row r="350" spans="1:16" s="108" customFormat="1" ht="17" thickBot="1" x14ac:dyDescent="0.25">
      <c r="F350" s="115" t="s">
        <v>312</v>
      </c>
      <c r="G350" s="101" t="s">
        <v>215</v>
      </c>
      <c r="I350" s="107">
        <f>COUNTIF(I340:I349,Data!$A$1)</f>
        <v>0</v>
      </c>
      <c r="J350" s="107">
        <f>COUNTIF(J340:J348,Data!$A$1)</f>
        <v>0</v>
      </c>
      <c r="K350" s="107">
        <f>COUNTIF(K340:K348,Data!$A$1)</f>
        <v>0</v>
      </c>
      <c r="L350" s="107">
        <f>COUNTIF(L340:L348,Data!$A$1)</f>
        <v>0</v>
      </c>
      <c r="M350" s="107">
        <f>COUNTIF(M340:M348,Data!$A$1)</f>
        <v>0</v>
      </c>
      <c r="N350" s="107">
        <f>COUNTIF(N340:N348,Data!$A$1)</f>
        <v>0</v>
      </c>
      <c r="O350" s="107">
        <f>COUNTIF(O340:O348,Data!$A$1)</f>
        <v>0</v>
      </c>
      <c r="P350" s="107">
        <f>SUM(I350:K350,M349,M350:N350)</f>
        <v>0</v>
      </c>
    </row>
    <row r="351" spans="1:16" s="108" customFormat="1" ht="17" thickBot="1" x14ac:dyDescent="0.25">
      <c r="G351" s="578" t="s">
        <v>1584</v>
      </c>
      <c r="H351" s="578"/>
      <c r="I351" s="578"/>
      <c r="J351" s="579"/>
      <c r="K351" s="574">
        <f>SUM(K350,N351)</f>
        <v>0</v>
      </c>
      <c r="L351" s="575"/>
      <c r="M351" s="116"/>
      <c r="N351" s="109">
        <f>SUM(O351*5)</f>
        <v>0</v>
      </c>
      <c r="O351" s="114">
        <f>SUM(J350,M349)</f>
        <v>0</v>
      </c>
      <c r="P351" s="116">
        <f>SUM(P350*5)</f>
        <v>0</v>
      </c>
    </row>
    <row r="352" spans="1:16" s="453" customFormat="1" ht="14" x14ac:dyDescent="0.2">
      <c r="B352" s="463"/>
      <c r="C352" s="463"/>
      <c r="D352" s="443"/>
      <c r="F352" s="463"/>
      <c r="G352" s="112"/>
      <c r="H352" s="463"/>
    </row>
    <row r="353" spans="1:16" s="453" customFormat="1" ht="14" x14ac:dyDescent="0.2">
      <c r="A353" s="471">
        <v>26</v>
      </c>
      <c r="B353" s="453">
        <v>1</v>
      </c>
      <c r="C353" s="609" t="s">
        <v>1595</v>
      </c>
      <c r="D353" s="609"/>
      <c r="E353" s="609"/>
      <c r="F353" s="609"/>
      <c r="G353" s="609"/>
      <c r="H353" s="609"/>
      <c r="I353" s="166" t="s">
        <v>211</v>
      </c>
      <c r="J353" s="166" t="s">
        <v>211</v>
      </c>
      <c r="K353" s="166" t="s">
        <v>211</v>
      </c>
      <c r="L353" s="166" t="s">
        <v>211</v>
      </c>
      <c r="M353" s="166" t="s">
        <v>211</v>
      </c>
      <c r="N353" s="166" t="s">
        <v>211</v>
      </c>
      <c r="O353" s="166" t="s">
        <v>211</v>
      </c>
    </row>
    <row r="354" spans="1:16" s="453" customFormat="1" ht="14" x14ac:dyDescent="0.2">
      <c r="B354" s="453">
        <v>2</v>
      </c>
      <c r="C354" s="571" t="s">
        <v>1649</v>
      </c>
      <c r="D354" s="571"/>
      <c r="E354" s="571"/>
      <c r="F354" s="571"/>
      <c r="G354" s="571"/>
      <c r="H354" s="571"/>
      <c r="I354" s="166" t="s">
        <v>211</v>
      </c>
      <c r="J354" s="166" t="s">
        <v>211</v>
      </c>
      <c r="K354" s="166" t="s">
        <v>211</v>
      </c>
      <c r="L354" s="166" t="s">
        <v>211</v>
      </c>
      <c r="M354" s="166" t="s">
        <v>211</v>
      </c>
      <c r="N354" s="166" t="s">
        <v>211</v>
      </c>
      <c r="O354" s="166" t="s">
        <v>211</v>
      </c>
    </row>
    <row r="355" spans="1:16" s="453" customFormat="1" ht="14" x14ac:dyDescent="0.2">
      <c r="B355" s="453">
        <v>3</v>
      </c>
      <c r="C355" s="571" t="s">
        <v>1733</v>
      </c>
      <c r="D355" s="571"/>
      <c r="E355" s="571"/>
      <c r="F355" s="571"/>
      <c r="G355" s="571"/>
      <c r="H355" s="571"/>
      <c r="I355" s="166" t="s">
        <v>211</v>
      </c>
      <c r="J355" s="166" t="s">
        <v>211</v>
      </c>
      <c r="K355" s="166" t="s">
        <v>211</v>
      </c>
      <c r="L355" s="166" t="s">
        <v>211</v>
      </c>
      <c r="M355" s="166" t="s">
        <v>211</v>
      </c>
      <c r="N355" s="166" t="s">
        <v>211</v>
      </c>
      <c r="O355" s="166" t="s">
        <v>211</v>
      </c>
    </row>
    <row r="356" spans="1:16" s="453" customFormat="1" ht="14" x14ac:dyDescent="0.2">
      <c r="B356" s="453">
        <v>4</v>
      </c>
      <c r="C356" s="571" t="s">
        <v>1734</v>
      </c>
      <c r="D356" s="571"/>
      <c r="E356" s="571"/>
      <c r="F356" s="571"/>
      <c r="G356" s="571"/>
      <c r="H356" s="571"/>
      <c r="I356" s="166" t="s">
        <v>211</v>
      </c>
      <c r="J356" s="166" t="s">
        <v>211</v>
      </c>
      <c r="K356" s="166" t="s">
        <v>211</v>
      </c>
      <c r="L356" s="166" t="s">
        <v>211</v>
      </c>
      <c r="M356" s="166" t="s">
        <v>211</v>
      </c>
      <c r="N356" s="166" t="s">
        <v>211</v>
      </c>
      <c r="O356" s="166" t="s">
        <v>211</v>
      </c>
    </row>
    <row r="357" spans="1:16" s="453" customFormat="1" ht="14" x14ac:dyDescent="0.2">
      <c r="B357" s="453">
        <v>5</v>
      </c>
      <c r="C357" s="573" t="s">
        <v>1600</v>
      </c>
      <c r="D357" s="573"/>
      <c r="E357" s="573"/>
      <c r="F357" s="573"/>
      <c r="G357" s="573"/>
      <c r="H357" s="573"/>
      <c r="I357" s="98" t="s">
        <v>211</v>
      </c>
      <c r="J357" s="106" t="s">
        <v>214</v>
      </c>
      <c r="K357" s="98" t="s">
        <v>211</v>
      </c>
      <c r="L357" s="106" t="s">
        <v>213</v>
      </c>
      <c r="M357" s="213">
        <f>COUNTIF(K357,Data!$A$1)</f>
        <v>0</v>
      </c>
      <c r="N357" s="213"/>
      <c r="O357" s="107"/>
      <c r="P357" s="107">
        <f>SUM(K358*4)</f>
        <v>0</v>
      </c>
    </row>
    <row r="358" spans="1:16" s="108" customFormat="1" ht="17" thickBot="1" x14ac:dyDescent="0.25">
      <c r="F358" s="115" t="s">
        <v>312</v>
      </c>
      <c r="G358" s="101" t="s">
        <v>215</v>
      </c>
      <c r="I358" s="107">
        <f>COUNTIF(I353:I357,Data!$A$1)</f>
        <v>0</v>
      </c>
      <c r="J358" s="107">
        <f>COUNTIF(J353:J356,Data!$A$1)</f>
        <v>0</v>
      </c>
      <c r="K358" s="107">
        <f>COUNTIF(K353:K356,Data!$A$1)</f>
        <v>0</v>
      </c>
      <c r="L358" s="107">
        <f>COUNTIF(L353:L356,Data!$A$1)</f>
        <v>0</v>
      </c>
      <c r="M358" s="107">
        <f>COUNTIF(M353:M356,Data!$A$1)</f>
        <v>0</v>
      </c>
      <c r="N358" s="107">
        <f>COUNTIF(N353:N356,Data!$A$1)</f>
        <v>0</v>
      </c>
      <c r="O358" s="107">
        <f>COUNTIF(O353:O356,Data!$A$1)</f>
        <v>0</v>
      </c>
      <c r="P358" s="107">
        <f>SUM(I358:K358,M357,M358:N358)</f>
        <v>0</v>
      </c>
    </row>
    <row r="359" spans="1:16" s="108" customFormat="1" ht="17" thickBot="1" x14ac:dyDescent="0.25">
      <c r="G359" s="578" t="s">
        <v>1584</v>
      </c>
      <c r="H359" s="578"/>
      <c r="I359" s="578"/>
      <c r="J359" s="579"/>
      <c r="K359" s="574">
        <f>SUM(K358,N359)</f>
        <v>0</v>
      </c>
      <c r="L359" s="575"/>
      <c r="M359" s="116"/>
      <c r="N359" s="109">
        <f>SUM(O359*5)</f>
        <v>0</v>
      </c>
      <c r="O359" s="114">
        <f>SUM(J358,M357)</f>
        <v>0</v>
      </c>
      <c r="P359" s="116">
        <f>SUM(P358*5)</f>
        <v>0</v>
      </c>
    </row>
    <row r="360" spans="1:16" s="453" customFormat="1" ht="14" x14ac:dyDescent="0.2">
      <c r="B360" s="463"/>
      <c r="C360" s="463"/>
      <c r="D360" s="443"/>
      <c r="F360" s="463"/>
      <c r="G360" s="112"/>
      <c r="H360" s="463"/>
    </row>
    <row r="361" spans="1:16" s="453" customFormat="1" ht="14" x14ac:dyDescent="0.2">
      <c r="A361" s="471">
        <v>27</v>
      </c>
      <c r="B361" s="453">
        <v>1</v>
      </c>
      <c r="C361" s="571" t="s">
        <v>1735</v>
      </c>
      <c r="D361" s="571"/>
      <c r="E361" s="571"/>
      <c r="F361" s="571"/>
      <c r="G361" s="571"/>
      <c r="H361" s="571"/>
      <c r="I361" s="166" t="s">
        <v>211</v>
      </c>
      <c r="J361" s="166" t="s">
        <v>211</v>
      </c>
      <c r="K361" s="166" t="s">
        <v>211</v>
      </c>
      <c r="L361" s="166" t="s">
        <v>211</v>
      </c>
      <c r="M361" s="166" t="s">
        <v>211</v>
      </c>
      <c r="N361" s="166" t="s">
        <v>211</v>
      </c>
      <c r="O361" s="166" t="s">
        <v>211</v>
      </c>
    </row>
    <row r="362" spans="1:16" s="453" customFormat="1" ht="14" x14ac:dyDescent="0.2">
      <c r="B362" s="453">
        <v>2</v>
      </c>
      <c r="C362" s="571" t="s">
        <v>1736</v>
      </c>
      <c r="D362" s="571"/>
      <c r="E362" s="571"/>
      <c r="F362" s="571"/>
      <c r="G362" s="571"/>
      <c r="H362" s="571"/>
      <c r="I362" s="166" t="s">
        <v>211</v>
      </c>
      <c r="J362" s="166" t="s">
        <v>211</v>
      </c>
      <c r="K362" s="166" t="s">
        <v>211</v>
      </c>
      <c r="L362" s="166" t="s">
        <v>211</v>
      </c>
      <c r="M362" s="166" t="s">
        <v>211</v>
      </c>
      <c r="N362" s="166" t="s">
        <v>211</v>
      </c>
      <c r="O362" s="166" t="s">
        <v>211</v>
      </c>
    </row>
    <row r="363" spans="1:16" s="453" customFormat="1" ht="14" x14ac:dyDescent="0.2">
      <c r="B363" s="453">
        <v>3</v>
      </c>
      <c r="C363" s="571" t="s">
        <v>1737</v>
      </c>
      <c r="D363" s="571"/>
      <c r="E363" s="571"/>
      <c r="F363" s="571"/>
      <c r="G363" s="571"/>
      <c r="H363" s="571"/>
      <c r="I363" s="166" t="s">
        <v>211</v>
      </c>
      <c r="J363" s="166" t="s">
        <v>211</v>
      </c>
      <c r="K363" s="166" t="s">
        <v>211</v>
      </c>
      <c r="L363" s="166" t="s">
        <v>211</v>
      </c>
      <c r="M363" s="166" t="s">
        <v>211</v>
      </c>
      <c r="N363" s="166" t="s">
        <v>211</v>
      </c>
      <c r="O363" s="166" t="s">
        <v>211</v>
      </c>
    </row>
    <row r="364" spans="1:16" s="453" customFormat="1" ht="14" x14ac:dyDescent="0.2">
      <c r="B364" s="453">
        <v>4</v>
      </c>
      <c r="C364" s="609" t="s">
        <v>1595</v>
      </c>
      <c r="D364" s="609"/>
      <c r="E364" s="609"/>
      <c r="F364" s="609"/>
      <c r="G364" s="609"/>
      <c r="H364" s="609"/>
      <c r="I364" s="166" t="s">
        <v>211</v>
      </c>
      <c r="J364" s="166" t="s">
        <v>211</v>
      </c>
      <c r="K364" s="166" t="s">
        <v>211</v>
      </c>
      <c r="L364" s="166" t="s">
        <v>211</v>
      </c>
      <c r="M364" s="166" t="s">
        <v>211</v>
      </c>
      <c r="N364" s="166" t="s">
        <v>211</v>
      </c>
      <c r="O364" s="166" t="s">
        <v>211</v>
      </c>
    </row>
    <row r="365" spans="1:16" s="453" customFormat="1" ht="14" x14ac:dyDescent="0.2">
      <c r="B365" s="453">
        <v>5</v>
      </c>
      <c r="C365" s="571" t="s">
        <v>1684</v>
      </c>
      <c r="D365" s="571"/>
      <c r="E365" s="571"/>
      <c r="F365" s="571"/>
      <c r="G365" s="571"/>
      <c r="H365" s="571"/>
      <c r="I365" s="166" t="s">
        <v>211</v>
      </c>
      <c r="J365" s="166" t="s">
        <v>211</v>
      </c>
      <c r="K365" s="166" t="s">
        <v>211</v>
      </c>
      <c r="L365" s="166" t="s">
        <v>211</v>
      </c>
      <c r="M365" s="166" t="s">
        <v>211</v>
      </c>
      <c r="N365" s="166" t="s">
        <v>211</v>
      </c>
      <c r="O365" s="166" t="s">
        <v>211</v>
      </c>
    </row>
    <row r="366" spans="1:16" s="453" customFormat="1" ht="14" x14ac:dyDescent="0.2">
      <c r="B366" s="453">
        <v>6</v>
      </c>
      <c r="C366" s="571" t="s">
        <v>1738</v>
      </c>
      <c r="D366" s="571"/>
      <c r="E366" s="571"/>
      <c r="F366" s="571"/>
      <c r="G366" s="571"/>
      <c r="H366" s="571"/>
      <c r="I366" s="166" t="s">
        <v>211</v>
      </c>
      <c r="J366" s="166" t="s">
        <v>211</v>
      </c>
      <c r="K366" s="166" t="s">
        <v>211</v>
      </c>
      <c r="L366" s="166" t="s">
        <v>211</v>
      </c>
      <c r="M366" s="166" t="s">
        <v>211</v>
      </c>
      <c r="N366" s="166" t="s">
        <v>211</v>
      </c>
      <c r="O366" s="166" t="s">
        <v>211</v>
      </c>
    </row>
    <row r="367" spans="1:16" s="453" customFormat="1" ht="14" x14ac:dyDescent="0.2">
      <c r="B367" s="453">
        <v>7</v>
      </c>
      <c r="C367" s="571" t="s">
        <v>1615</v>
      </c>
      <c r="D367" s="571"/>
      <c r="E367" s="571"/>
      <c r="F367" s="571"/>
      <c r="G367" s="571"/>
      <c r="H367" s="571"/>
      <c r="I367" s="166" t="s">
        <v>211</v>
      </c>
      <c r="J367" s="166" t="s">
        <v>211</v>
      </c>
      <c r="K367" s="166" t="s">
        <v>211</v>
      </c>
      <c r="L367" s="166" t="s">
        <v>211</v>
      </c>
      <c r="M367" s="166" t="s">
        <v>211</v>
      </c>
      <c r="N367" s="166" t="s">
        <v>211</v>
      </c>
      <c r="O367" s="166" t="s">
        <v>211</v>
      </c>
    </row>
    <row r="368" spans="1:16" s="453" customFormat="1" ht="14" x14ac:dyDescent="0.2">
      <c r="B368" s="453">
        <v>8</v>
      </c>
      <c r="C368" s="573" t="s">
        <v>1600</v>
      </c>
      <c r="D368" s="573"/>
      <c r="E368" s="573"/>
      <c r="F368" s="573"/>
      <c r="G368" s="573"/>
      <c r="H368" s="573"/>
      <c r="I368" s="98" t="s">
        <v>211</v>
      </c>
      <c r="J368" s="106" t="s">
        <v>214</v>
      </c>
      <c r="K368" s="98" t="s">
        <v>211</v>
      </c>
      <c r="L368" s="106" t="s">
        <v>213</v>
      </c>
      <c r="M368" s="214">
        <f>COUNTIF(K368,Data!$A$1)</f>
        <v>0</v>
      </c>
      <c r="N368" s="106"/>
      <c r="P368" s="107">
        <f>SUM(K369*4)</f>
        <v>0</v>
      </c>
    </row>
    <row r="369" spans="1:17" s="453" customFormat="1" thickBot="1" x14ac:dyDescent="0.25">
      <c r="I369" s="107">
        <f>COUNTIF(I361:I368,Data!$A$1)</f>
        <v>0</v>
      </c>
      <c r="J369" s="107">
        <f>COUNTIF(J361:J367,Data!$A$1)</f>
        <v>0</v>
      </c>
      <c r="K369" s="107">
        <f>COUNTIF(K361:K367,Data!$A$1)</f>
        <v>0</v>
      </c>
      <c r="L369" s="107">
        <f>COUNTIF(L361:L367,Data!$A$1)</f>
        <v>0</v>
      </c>
      <c r="M369" s="107">
        <f>COUNTIF(M361:M367,Data!$A$1)</f>
        <v>0</v>
      </c>
      <c r="N369" s="107">
        <f>COUNTIF(N361:N367,Data!$A$1)</f>
        <v>0</v>
      </c>
      <c r="O369" s="107">
        <f>COUNTIF(O361:O367,Data!$A$1)</f>
        <v>0</v>
      </c>
      <c r="P369" s="107">
        <f>SUM(I369:K369,M368,M369:N369)</f>
        <v>0</v>
      </c>
      <c r="Q369" s="107"/>
    </row>
    <row r="370" spans="1:17" s="108" customFormat="1" ht="17" thickBot="1" x14ac:dyDescent="0.25">
      <c r="G370" s="578" t="s">
        <v>1584</v>
      </c>
      <c r="H370" s="578"/>
      <c r="I370" s="578"/>
      <c r="J370" s="579"/>
      <c r="K370" s="574">
        <f>SUM(O370,K369)</f>
        <v>0</v>
      </c>
      <c r="L370" s="575"/>
      <c r="M370" s="116"/>
      <c r="N370" s="109">
        <f>SUM(O370*5)</f>
        <v>0</v>
      </c>
      <c r="O370" s="114">
        <f>SUM(J369,M368)</f>
        <v>0</v>
      </c>
      <c r="P370" s="116">
        <f>SUM(P369*5)</f>
        <v>0</v>
      </c>
    </row>
    <row r="371" spans="1:17" s="453" customFormat="1" ht="14" x14ac:dyDescent="0.2">
      <c r="B371" s="463"/>
      <c r="C371" s="463"/>
      <c r="D371" s="443"/>
      <c r="F371" s="463"/>
      <c r="G371" s="112"/>
      <c r="H371" s="463"/>
    </row>
    <row r="372" spans="1:17" s="453" customFormat="1" ht="14" x14ac:dyDescent="0.2">
      <c r="A372" s="471">
        <v>28</v>
      </c>
      <c r="B372" s="112">
        <v>1</v>
      </c>
      <c r="C372" s="609" t="s">
        <v>1595</v>
      </c>
      <c r="D372" s="609"/>
      <c r="E372" s="609"/>
      <c r="F372" s="609"/>
      <c r="G372" s="609"/>
      <c r="H372" s="609"/>
      <c r="I372" s="166" t="s">
        <v>211</v>
      </c>
      <c r="J372" s="166" t="s">
        <v>211</v>
      </c>
      <c r="K372" s="166" t="s">
        <v>211</v>
      </c>
      <c r="L372" s="166" t="s">
        <v>211</v>
      </c>
      <c r="M372" s="166" t="s">
        <v>211</v>
      </c>
      <c r="N372" s="166" t="s">
        <v>211</v>
      </c>
      <c r="O372" s="166" t="s">
        <v>211</v>
      </c>
    </row>
    <row r="373" spans="1:17" s="453" customFormat="1" ht="14" x14ac:dyDescent="0.2">
      <c r="B373" s="112">
        <v>2</v>
      </c>
      <c r="C373" s="571" t="s">
        <v>1649</v>
      </c>
      <c r="D373" s="571"/>
      <c r="E373" s="571"/>
      <c r="F373" s="571"/>
      <c r="G373" s="571"/>
      <c r="H373" s="571"/>
      <c r="I373" s="166" t="s">
        <v>211</v>
      </c>
      <c r="J373" s="166" t="s">
        <v>211</v>
      </c>
      <c r="K373" s="166" t="s">
        <v>211</v>
      </c>
      <c r="L373" s="166" t="s">
        <v>211</v>
      </c>
      <c r="M373" s="166" t="s">
        <v>211</v>
      </c>
      <c r="N373" s="166" t="s">
        <v>211</v>
      </c>
      <c r="O373" s="166" t="s">
        <v>211</v>
      </c>
    </row>
    <row r="374" spans="1:17" s="453" customFormat="1" ht="12.75" customHeight="1" x14ac:dyDescent="0.2">
      <c r="B374" s="112">
        <v>3</v>
      </c>
      <c r="C374" s="657" t="s">
        <v>1873</v>
      </c>
      <c r="D374" s="657"/>
      <c r="E374" s="657"/>
      <c r="F374" s="657"/>
      <c r="G374" s="657"/>
      <c r="H374" s="657"/>
      <c r="I374" s="166" t="s">
        <v>211</v>
      </c>
      <c r="J374" s="166" t="s">
        <v>211</v>
      </c>
      <c r="K374" s="166" t="s">
        <v>211</v>
      </c>
      <c r="L374" s="166" t="s">
        <v>211</v>
      </c>
      <c r="M374" s="166" t="s">
        <v>211</v>
      </c>
      <c r="N374" s="166" t="s">
        <v>211</v>
      </c>
      <c r="O374" s="166" t="s">
        <v>211</v>
      </c>
    </row>
    <row r="375" spans="1:17" s="453" customFormat="1" ht="14" x14ac:dyDescent="0.2">
      <c r="B375" s="112" t="s">
        <v>17</v>
      </c>
      <c r="C375" s="571" t="s">
        <v>287</v>
      </c>
      <c r="D375" s="571"/>
      <c r="E375" s="571"/>
      <c r="F375" s="571"/>
      <c r="G375" s="571"/>
      <c r="H375" s="571"/>
      <c r="I375" s="166" t="s">
        <v>211</v>
      </c>
      <c r="J375" s="166" t="s">
        <v>211</v>
      </c>
      <c r="K375" s="166" t="s">
        <v>211</v>
      </c>
      <c r="L375" s="166" t="s">
        <v>211</v>
      </c>
      <c r="M375" s="166" t="s">
        <v>211</v>
      </c>
      <c r="N375" s="166" t="s">
        <v>211</v>
      </c>
      <c r="O375" s="166" t="s">
        <v>211</v>
      </c>
    </row>
    <row r="376" spans="1:17" s="453" customFormat="1" ht="14" x14ac:dyDescent="0.2">
      <c r="B376" s="112">
        <v>4</v>
      </c>
      <c r="C376" s="571" t="s">
        <v>1739</v>
      </c>
      <c r="D376" s="571"/>
      <c r="E376" s="571"/>
      <c r="F376" s="571"/>
      <c r="G376" s="571"/>
      <c r="H376" s="571"/>
      <c r="I376" s="166" t="s">
        <v>211</v>
      </c>
      <c r="J376" s="166" t="s">
        <v>211</v>
      </c>
      <c r="K376" s="166" t="s">
        <v>211</v>
      </c>
      <c r="L376" s="166" t="s">
        <v>211</v>
      </c>
      <c r="M376" s="166" t="s">
        <v>211</v>
      </c>
      <c r="N376" s="166" t="s">
        <v>211</v>
      </c>
      <c r="O376" s="166" t="s">
        <v>211</v>
      </c>
    </row>
    <row r="377" spans="1:17" s="453" customFormat="1" ht="14" x14ac:dyDescent="0.2">
      <c r="B377" s="112" t="s">
        <v>108</v>
      </c>
      <c r="C377" s="571" t="s">
        <v>1740</v>
      </c>
      <c r="D377" s="571"/>
      <c r="E377" s="571"/>
      <c r="F377" s="571"/>
      <c r="G377" s="571"/>
      <c r="H377" s="571"/>
      <c r="I377" s="166" t="s">
        <v>211</v>
      </c>
      <c r="J377" s="166" t="s">
        <v>211</v>
      </c>
      <c r="K377" s="166" t="s">
        <v>211</v>
      </c>
      <c r="L377" s="166" t="s">
        <v>211</v>
      </c>
      <c r="M377" s="166" t="s">
        <v>211</v>
      </c>
      <c r="N377" s="166" t="s">
        <v>211</v>
      </c>
      <c r="O377" s="166" t="s">
        <v>211</v>
      </c>
    </row>
    <row r="378" spans="1:17" s="453" customFormat="1" ht="14" x14ac:dyDescent="0.2">
      <c r="B378" s="112">
        <v>5</v>
      </c>
      <c r="C378" s="571" t="s">
        <v>1741</v>
      </c>
      <c r="D378" s="571"/>
      <c r="E378" s="571"/>
      <c r="F378" s="571"/>
      <c r="G378" s="571"/>
      <c r="H378" s="571"/>
      <c r="I378" s="166" t="s">
        <v>211</v>
      </c>
      <c r="J378" s="166" t="s">
        <v>211</v>
      </c>
      <c r="K378" s="166" t="s">
        <v>211</v>
      </c>
      <c r="L378" s="166" t="s">
        <v>211</v>
      </c>
      <c r="M378" s="166" t="s">
        <v>211</v>
      </c>
      <c r="N378" s="166" t="s">
        <v>211</v>
      </c>
      <c r="O378" s="166" t="s">
        <v>211</v>
      </c>
    </row>
    <row r="379" spans="1:17" s="453" customFormat="1" ht="14" x14ac:dyDescent="0.2">
      <c r="B379" s="112">
        <v>6</v>
      </c>
      <c r="C379" s="573" t="s">
        <v>1600</v>
      </c>
      <c r="D379" s="573"/>
      <c r="E379" s="573"/>
      <c r="F379" s="573"/>
      <c r="G379" s="573"/>
      <c r="H379" s="573"/>
      <c r="I379" s="98" t="s">
        <v>211</v>
      </c>
      <c r="J379" s="106" t="s">
        <v>214</v>
      </c>
      <c r="K379" s="98" t="s">
        <v>211</v>
      </c>
      <c r="L379" s="106" t="s">
        <v>213</v>
      </c>
      <c r="M379" s="213">
        <f>COUNTIF(K379,Data!$A$1)</f>
        <v>0</v>
      </c>
      <c r="N379" s="213"/>
      <c r="O379" s="107"/>
      <c r="P379" s="107">
        <f>SUM(K380*4)</f>
        <v>0</v>
      </c>
      <c r="Q379" s="107"/>
    </row>
    <row r="380" spans="1:17" s="453" customFormat="1" thickBot="1" x14ac:dyDescent="0.25">
      <c r="I380" s="107">
        <f>COUNTIF(I372:I379,Data!$A$1)</f>
        <v>0</v>
      </c>
      <c r="J380" s="107">
        <f>COUNTIF(J372:J378,Data!$A$1)</f>
        <v>0</v>
      </c>
      <c r="K380" s="107">
        <f>COUNTIF(K372:K378,Data!$A$1)</f>
        <v>0</v>
      </c>
      <c r="L380" s="107">
        <f>COUNTIF(L372:L378,Data!$A$1)</f>
        <v>0</v>
      </c>
      <c r="M380" s="107">
        <f>COUNTIF(M372:M378,Data!$A$1)</f>
        <v>0</v>
      </c>
      <c r="N380" s="107">
        <f>COUNTIF(N372:N378,Data!$A$1)</f>
        <v>0</v>
      </c>
      <c r="O380" s="107">
        <f>COUNTIF(O372:O378,Data!$A$1)</f>
        <v>0</v>
      </c>
      <c r="P380" s="107">
        <f>SUM(I380:K380,M379,M380:N380)</f>
        <v>0</v>
      </c>
      <c r="Q380" s="107"/>
    </row>
    <row r="381" spans="1:17" s="108" customFormat="1" ht="17" thickBot="1" x14ac:dyDescent="0.25">
      <c r="G381" s="578" t="s">
        <v>1584</v>
      </c>
      <c r="H381" s="578"/>
      <c r="I381" s="578"/>
      <c r="J381" s="579"/>
      <c r="K381" s="574">
        <f>SUM(O381,K380)</f>
        <v>0</v>
      </c>
      <c r="L381" s="575"/>
      <c r="M381" s="116"/>
      <c r="N381" s="109">
        <f>SUM(O381*5)</f>
        <v>0</v>
      </c>
      <c r="O381" s="114">
        <f>SUM(J380,M379)</f>
        <v>0</v>
      </c>
      <c r="P381" s="116">
        <f>SUM(P380*5)</f>
        <v>0</v>
      </c>
      <c r="Q381" s="116"/>
    </row>
    <row r="382" spans="1:17" s="453" customFormat="1" ht="14" x14ac:dyDescent="0.2">
      <c r="B382" s="463"/>
      <c r="C382" s="463"/>
      <c r="D382" s="443"/>
      <c r="F382" s="463"/>
      <c r="G382" s="112"/>
      <c r="H382" s="463"/>
    </row>
    <row r="383" spans="1:17" s="453" customFormat="1" ht="14" x14ac:dyDescent="0.2">
      <c r="A383" s="471">
        <v>29</v>
      </c>
      <c r="B383" s="112">
        <v>1</v>
      </c>
      <c r="C383" s="571" t="s">
        <v>1742</v>
      </c>
      <c r="D383" s="571"/>
      <c r="E383" s="571"/>
      <c r="F383" s="571"/>
      <c r="G383" s="571"/>
      <c r="H383" s="571"/>
      <c r="I383" s="166" t="s">
        <v>211</v>
      </c>
      <c r="J383" s="166" t="s">
        <v>211</v>
      </c>
      <c r="K383" s="166" t="s">
        <v>211</v>
      </c>
      <c r="L383" s="166" t="s">
        <v>211</v>
      </c>
      <c r="M383" s="166" t="s">
        <v>211</v>
      </c>
      <c r="N383" s="166" t="s">
        <v>211</v>
      </c>
      <c r="O383" s="166" t="s">
        <v>211</v>
      </c>
    </row>
    <row r="384" spans="1:17" s="453" customFormat="1" ht="14" x14ac:dyDescent="0.2">
      <c r="B384" s="112">
        <v>2</v>
      </c>
      <c r="C384" s="571" t="s">
        <v>1743</v>
      </c>
      <c r="D384" s="571"/>
      <c r="E384" s="571"/>
      <c r="F384" s="571"/>
      <c r="G384" s="571"/>
      <c r="H384" s="571"/>
      <c r="I384" s="166" t="s">
        <v>211</v>
      </c>
      <c r="J384" s="166" t="s">
        <v>211</v>
      </c>
      <c r="K384" s="166" t="s">
        <v>211</v>
      </c>
      <c r="L384" s="166" t="s">
        <v>211</v>
      </c>
      <c r="M384" s="166" t="s">
        <v>211</v>
      </c>
      <c r="N384" s="166" t="s">
        <v>211</v>
      </c>
      <c r="O384" s="166" t="s">
        <v>211</v>
      </c>
    </row>
    <row r="385" spans="1:16" s="453" customFormat="1" ht="14" x14ac:dyDescent="0.2">
      <c r="B385" s="112">
        <v>3</v>
      </c>
      <c r="C385" s="571" t="s">
        <v>1744</v>
      </c>
      <c r="D385" s="571"/>
      <c r="E385" s="571"/>
      <c r="F385" s="571"/>
      <c r="G385" s="571"/>
      <c r="H385" s="571"/>
      <c r="I385" s="166" t="s">
        <v>211</v>
      </c>
      <c r="J385" s="166" t="s">
        <v>211</v>
      </c>
      <c r="K385" s="166" t="s">
        <v>211</v>
      </c>
      <c r="L385" s="166" t="s">
        <v>211</v>
      </c>
      <c r="M385" s="166" t="s">
        <v>211</v>
      </c>
      <c r="N385" s="166" t="s">
        <v>211</v>
      </c>
      <c r="O385" s="166" t="s">
        <v>211</v>
      </c>
    </row>
    <row r="386" spans="1:16" s="453" customFormat="1" ht="14" x14ac:dyDescent="0.2">
      <c r="B386" s="112">
        <v>4</v>
      </c>
      <c r="C386" s="571" t="s">
        <v>1745</v>
      </c>
      <c r="D386" s="571"/>
      <c r="E386" s="571"/>
      <c r="F386" s="571"/>
      <c r="G386" s="571"/>
      <c r="H386" s="571"/>
      <c r="I386" s="166" t="s">
        <v>211</v>
      </c>
      <c r="J386" s="166" t="s">
        <v>211</v>
      </c>
      <c r="K386" s="166" t="s">
        <v>211</v>
      </c>
      <c r="L386" s="166" t="s">
        <v>211</v>
      </c>
      <c r="M386" s="166" t="s">
        <v>211</v>
      </c>
      <c r="N386" s="166" t="s">
        <v>211</v>
      </c>
      <c r="O386" s="166" t="s">
        <v>211</v>
      </c>
    </row>
    <row r="387" spans="1:16" s="453" customFormat="1" ht="14" x14ac:dyDescent="0.2">
      <c r="B387" s="112" t="s">
        <v>108</v>
      </c>
      <c r="C387" s="571" t="s">
        <v>1668</v>
      </c>
      <c r="D387" s="571"/>
      <c r="E387" s="571"/>
      <c r="F387" s="571"/>
      <c r="G387" s="571"/>
      <c r="H387" s="571"/>
      <c r="I387" s="166" t="s">
        <v>211</v>
      </c>
      <c r="J387" s="166" t="s">
        <v>211</v>
      </c>
      <c r="K387" s="166" t="s">
        <v>211</v>
      </c>
      <c r="L387" s="166" t="s">
        <v>211</v>
      </c>
      <c r="M387" s="166" t="s">
        <v>211</v>
      </c>
      <c r="N387" s="166" t="s">
        <v>211</v>
      </c>
      <c r="O387" s="166" t="s">
        <v>211</v>
      </c>
    </row>
    <row r="388" spans="1:16" s="453" customFormat="1" ht="14" x14ac:dyDescent="0.2">
      <c r="B388" s="112" t="s">
        <v>270</v>
      </c>
      <c r="C388" s="571" t="s">
        <v>1746</v>
      </c>
      <c r="D388" s="571"/>
      <c r="E388" s="571"/>
      <c r="F388" s="571"/>
      <c r="G388" s="571"/>
      <c r="H388" s="571"/>
      <c r="I388" s="166" t="s">
        <v>211</v>
      </c>
      <c r="J388" s="166" t="s">
        <v>211</v>
      </c>
      <c r="K388" s="166" t="s">
        <v>211</v>
      </c>
      <c r="L388" s="166" t="s">
        <v>211</v>
      </c>
      <c r="M388" s="166" t="s">
        <v>211</v>
      </c>
      <c r="N388" s="166" t="s">
        <v>211</v>
      </c>
      <c r="O388" s="166" t="s">
        <v>211</v>
      </c>
    </row>
    <row r="389" spans="1:16" s="453" customFormat="1" ht="14" x14ac:dyDescent="0.2">
      <c r="B389" s="112">
        <v>5</v>
      </c>
      <c r="C389" s="571" t="s">
        <v>1747</v>
      </c>
      <c r="D389" s="571"/>
      <c r="E389" s="571"/>
      <c r="F389" s="571"/>
      <c r="G389" s="571"/>
      <c r="H389" s="571"/>
      <c r="I389" s="166" t="s">
        <v>211</v>
      </c>
      <c r="J389" s="166" t="s">
        <v>211</v>
      </c>
      <c r="K389" s="166" t="s">
        <v>211</v>
      </c>
      <c r="L389" s="166" t="s">
        <v>211</v>
      </c>
      <c r="M389" s="166" t="s">
        <v>211</v>
      </c>
      <c r="N389" s="166" t="s">
        <v>211</v>
      </c>
      <c r="O389" s="166" t="s">
        <v>211</v>
      </c>
    </row>
    <row r="390" spans="1:16" s="453" customFormat="1" ht="14" x14ac:dyDescent="0.2">
      <c r="B390" s="112" t="s">
        <v>273</v>
      </c>
      <c r="C390" s="571" t="s">
        <v>1748</v>
      </c>
      <c r="D390" s="571"/>
      <c r="E390" s="571"/>
      <c r="F390" s="571"/>
      <c r="G390" s="571"/>
      <c r="H390" s="571"/>
      <c r="I390" s="166" t="s">
        <v>211</v>
      </c>
      <c r="J390" s="166" t="s">
        <v>211</v>
      </c>
      <c r="K390" s="166" t="s">
        <v>211</v>
      </c>
      <c r="L390" s="166" t="s">
        <v>211</v>
      </c>
      <c r="M390" s="166" t="s">
        <v>211</v>
      </c>
      <c r="N390" s="166" t="s">
        <v>211</v>
      </c>
      <c r="O390" s="166" t="s">
        <v>211</v>
      </c>
    </row>
    <row r="391" spans="1:16" s="453" customFormat="1" ht="14" x14ac:dyDescent="0.2">
      <c r="B391" s="112">
        <v>6</v>
      </c>
      <c r="C391" s="573" t="s">
        <v>1600</v>
      </c>
      <c r="D391" s="573"/>
      <c r="E391" s="573"/>
      <c r="F391" s="573"/>
      <c r="G391" s="573"/>
      <c r="H391" s="573"/>
      <c r="I391" s="98" t="s">
        <v>211</v>
      </c>
      <c r="J391" s="106" t="s">
        <v>214</v>
      </c>
      <c r="K391" s="98" t="s">
        <v>211</v>
      </c>
      <c r="L391" s="106" t="s">
        <v>213</v>
      </c>
      <c r="M391" s="213">
        <f>COUNTIF(K391,Data!$A$1)</f>
        <v>0</v>
      </c>
      <c r="N391" s="213"/>
      <c r="O391" s="107"/>
      <c r="P391" s="107">
        <f>SUM(K392*4)</f>
        <v>0</v>
      </c>
    </row>
    <row r="392" spans="1:16" s="453" customFormat="1" thickBot="1" x14ac:dyDescent="0.25">
      <c r="I392" s="107">
        <f>COUNTIF(I383:I391,Data!$A$1)</f>
        <v>0</v>
      </c>
      <c r="J392" s="107">
        <f>COUNTIF(J383:J390,Data!$A$1)</f>
        <v>0</v>
      </c>
      <c r="K392" s="107">
        <f>COUNTIF(K383:K390,Data!$A$1)</f>
        <v>0</v>
      </c>
      <c r="L392" s="107">
        <f>COUNTIF(L383:L390,Data!$A$1)</f>
        <v>0</v>
      </c>
      <c r="M392" s="107">
        <f>COUNTIF(M383:M390,Data!$A$1)</f>
        <v>0</v>
      </c>
      <c r="N392" s="107">
        <f>COUNTIF(N383:N390,Data!$A$1)</f>
        <v>0</v>
      </c>
      <c r="O392" s="107">
        <f>COUNTIF(O383:O390,Data!$A$1)</f>
        <v>0</v>
      </c>
      <c r="P392" s="107">
        <f>SUM(I392:K392,M391,M392:N392)</f>
        <v>0</v>
      </c>
    </row>
    <row r="393" spans="1:16" s="108" customFormat="1" ht="17" thickBot="1" x14ac:dyDescent="0.25">
      <c r="G393" s="578" t="s">
        <v>1584</v>
      </c>
      <c r="H393" s="578"/>
      <c r="I393" s="578"/>
      <c r="J393" s="579"/>
      <c r="K393" s="574">
        <f>SUM(K392,N393)</f>
        <v>0</v>
      </c>
      <c r="L393" s="575"/>
      <c r="M393" s="116"/>
      <c r="N393" s="109">
        <f>SUM(O393*5)</f>
        <v>0</v>
      </c>
      <c r="O393" s="114">
        <f>SUM(J392,M391)</f>
        <v>0</v>
      </c>
      <c r="P393" s="116">
        <f>SUM(P392*5)</f>
        <v>0</v>
      </c>
    </row>
    <row r="394" spans="1:16" s="453" customFormat="1" ht="14" x14ac:dyDescent="0.2">
      <c r="B394" s="463"/>
      <c r="C394" s="463"/>
      <c r="D394" s="443"/>
      <c r="F394" s="463"/>
      <c r="G394" s="112"/>
      <c r="H394" s="463"/>
    </row>
    <row r="395" spans="1:16" s="453" customFormat="1" ht="14" x14ac:dyDescent="0.2">
      <c r="A395" s="471">
        <v>30</v>
      </c>
      <c r="B395" s="112">
        <v>1</v>
      </c>
      <c r="C395" s="571" t="s">
        <v>1683</v>
      </c>
      <c r="D395" s="571"/>
      <c r="E395" s="571"/>
      <c r="F395" s="571"/>
      <c r="G395" s="571"/>
      <c r="H395" s="571"/>
      <c r="I395" s="166" t="s">
        <v>211</v>
      </c>
      <c r="J395" s="166" t="s">
        <v>211</v>
      </c>
      <c r="K395" s="166" t="s">
        <v>211</v>
      </c>
      <c r="L395" s="166" t="s">
        <v>211</v>
      </c>
      <c r="M395" s="166" t="s">
        <v>211</v>
      </c>
      <c r="N395" s="166" t="s">
        <v>211</v>
      </c>
      <c r="O395" s="166" t="s">
        <v>211</v>
      </c>
    </row>
    <row r="396" spans="1:16" s="453" customFormat="1" ht="14" x14ac:dyDescent="0.2">
      <c r="B396" s="112">
        <v>2</v>
      </c>
      <c r="C396" s="609" t="s">
        <v>1595</v>
      </c>
      <c r="D396" s="609"/>
      <c r="E396" s="609"/>
      <c r="F396" s="609"/>
      <c r="G396" s="609"/>
      <c r="H396" s="609"/>
      <c r="I396" s="166" t="s">
        <v>211</v>
      </c>
      <c r="J396" s="166" t="s">
        <v>211</v>
      </c>
      <c r="K396" s="166" t="s">
        <v>211</v>
      </c>
      <c r="L396" s="166" t="s">
        <v>211</v>
      </c>
      <c r="M396" s="166" t="s">
        <v>211</v>
      </c>
      <c r="N396" s="166" t="s">
        <v>211</v>
      </c>
      <c r="O396" s="166" t="s">
        <v>211</v>
      </c>
    </row>
    <row r="397" spans="1:16" s="453" customFormat="1" ht="14" x14ac:dyDescent="0.2">
      <c r="B397" s="112">
        <v>3</v>
      </c>
      <c r="C397" s="571" t="s">
        <v>1684</v>
      </c>
      <c r="D397" s="571"/>
      <c r="E397" s="571"/>
      <c r="F397" s="571"/>
      <c r="G397" s="571"/>
      <c r="H397" s="571"/>
      <c r="I397" s="166" t="s">
        <v>211</v>
      </c>
      <c r="J397" s="166" t="s">
        <v>211</v>
      </c>
      <c r="K397" s="166" t="s">
        <v>211</v>
      </c>
      <c r="L397" s="166" t="s">
        <v>211</v>
      </c>
      <c r="M397" s="166" t="s">
        <v>211</v>
      </c>
      <c r="N397" s="166" t="s">
        <v>211</v>
      </c>
      <c r="O397" s="166" t="s">
        <v>211</v>
      </c>
    </row>
    <row r="398" spans="1:16" s="453" customFormat="1" ht="14" x14ac:dyDescent="0.2">
      <c r="B398" s="112" t="s">
        <v>17</v>
      </c>
      <c r="C398" s="571" t="s">
        <v>1749</v>
      </c>
      <c r="D398" s="571"/>
      <c r="E398" s="571"/>
      <c r="F398" s="571"/>
      <c r="G398" s="571"/>
      <c r="H398" s="571"/>
      <c r="I398" s="166" t="s">
        <v>211</v>
      </c>
      <c r="J398" s="166" t="s">
        <v>211</v>
      </c>
      <c r="K398" s="166" t="s">
        <v>211</v>
      </c>
      <c r="L398" s="166" t="s">
        <v>211</v>
      </c>
      <c r="M398" s="166" t="s">
        <v>211</v>
      </c>
      <c r="N398" s="166" t="s">
        <v>211</v>
      </c>
      <c r="O398" s="166" t="s">
        <v>211</v>
      </c>
    </row>
    <row r="399" spans="1:16" s="453" customFormat="1" ht="12.75" customHeight="1" x14ac:dyDescent="0.2">
      <c r="B399" s="112" t="s">
        <v>18</v>
      </c>
      <c r="C399" s="610" t="s">
        <v>1750</v>
      </c>
      <c r="D399" s="610"/>
      <c r="E399" s="610"/>
      <c r="F399" s="610"/>
      <c r="G399" s="610"/>
      <c r="H399" s="610"/>
      <c r="I399" s="166" t="s">
        <v>211</v>
      </c>
      <c r="J399" s="166" t="s">
        <v>211</v>
      </c>
      <c r="K399" s="166" t="s">
        <v>211</v>
      </c>
      <c r="L399" s="166" t="s">
        <v>211</v>
      </c>
      <c r="M399" s="166" t="s">
        <v>211</v>
      </c>
      <c r="N399" s="166" t="s">
        <v>211</v>
      </c>
      <c r="O399" s="166" t="s">
        <v>211</v>
      </c>
    </row>
    <row r="400" spans="1:16" s="453" customFormat="1" ht="14" x14ac:dyDescent="0.2">
      <c r="B400" s="112">
        <v>4</v>
      </c>
      <c r="C400" s="571" t="s">
        <v>1751</v>
      </c>
      <c r="D400" s="571"/>
      <c r="E400" s="571"/>
      <c r="F400" s="571"/>
      <c r="G400" s="571"/>
      <c r="H400" s="571"/>
      <c r="I400" s="166" t="s">
        <v>211</v>
      </c>
      <c r="J400" s="166" t="s">
        <v>211</v>
      </c>
      <c r="K400" s="166" t="s">
        <v>211</v>
      </c>
      <c r="L400" s="166" t="s">
        <v>211</v>
      </c>
      <c r="M400" s="166" t="s">
        <v>211</v>
      </c>
      <c r="N400" s="166" t="s">
        <v>211</v>
      </c>
      <c r="O400" s="166" t="s">
        <v>211</v>
      </c>
    </row>
    <row r="401" spans="1:16" s="453" customFormat="1" ht="14" x14ac:dyDescent="0.2">
      <c r="B401" s="112">
        <v>5</v>
      </c>
      <c r="C401" s="571" t="s">
        <v>1615</v>
      </c>
      <c r="D401" s="571"/>
      <c r="E401" s="571"/>
      <c r="F401" s="571"/>
      <c r="G401" s="571"/>
      <c r="H401" s="571"/>
      <c r="I401" s="166" t="s">
        <v>211</v>
      </c>
      <c r="J401" s="166" t="s">
        <v>211</v>
      </c>
      <c r="K401" s="166" t="s">
        <v>211</v>
      </c>
      <c r="L401" s="166" t="s">
        <v>211</v>
      </c>
      <c r="M401" s="166" t="s">
        <v>211</v>
      </c>
      <c r="N401" s="166" t="s">
        <v>211</v>
      </c>
      <c r="O401" s="166" t="s">
        <v>211</v>
      </c>
    </row>
    <row r="402" spans="1:16" s="453" customFormat="1" ht="14" x14ac:dyDescent="0.2">
      <c r="B402" s="112">
        <v>6</v>
      </c>
      <c r="C402" s="573" t="s">
        <v>1600</v>
      </c>
      <c r="D402" s="573"/>
      <c r="E402" s="573"/>
      <c r="F402" s="573"/>
      <c r="G402" s="573"/>
      <c r="H402" s="573"/>
      <c r="I402" s="98" t="s">
        <v>211</v>
      </c>
      <c r="J402" s="106" t="s">
        <v>214</v>
      </c>
      <c r="K402" s="98" t="s">
        <v>211</v>
      </c>
      <c r="L402" s="106" t="s">
        <v>213</v>
      </c>
      <c r="M402" s="214">
        <f>COUNTIF(K402,Data!$A$1)</f>
        <v>0</v>
      </c>
      <c r="N402" s="106"/>
      <c r="P402" s="107">
        <f>SUM(K403*4)</f>
        <v>0</v>
      </c>
    </row>
    <row r="403" spans="1:16" s="453" customFormat="1" thickBot="1" x14ac:dyDescent="0.25">
      <c r="H403" s="107"/>
      <c r="I403" s="107">
        <f>COUNTIF(I395:I402,Data!$A$1)</f>
        <v>0</v>
      </c>
      <c r="J403" s="107">
        <f>COUNTIF(J395:J401,Data!$A$1)</f>
        <v>0</v>
      </c>
      <c r="K403" s="107">
        <f>COUNTIF(K395:K401,Data!$A$1)</f>
        <v>0</v>
      </c>
      <c r="L403" s="107">
        <f>COUNTIF(L395:L401,Data!$A$1)</f>
        <v>0</v>
      </c>
      <c r="M403" s="107">
        <f>COUNTIF(M395:M401,Data!$A$1)</f>
        <v>0</v>
      </c>
      <c r="N403" s="107">
        <f>COUNTIF(N395:N401,Data!$A$1)</f>
        <v>0</v>
      </c>
      <c r="O403" s="107">
        <f>COUNTIF(O395:O401,Data!$A$1)</f>
        <v>0</v>
      </c>
      <c r="P403" s="107">
        <f>SUM(I403:K403,M402,M403:N403)</f>
        <v>0</v>
      </c>
    </row>
    <row r="404" spans="1:16" s="108" customFormat="1" ht="17" thickBot="1" x14ac:dyDescent="0.25">
      <c r="G404" s="578" t="s">
        <v>1584</v>
      </c>
      <c r="H404" s="578"/>
      <c r="I404" s="578"/>
      <c r="J404" s="579"/>
      <c r="K404" s="574">
        <f>SUM(K403,N404)</f>
        <v>0</v>
      </c>
      <c r="L404" s="575"/>
      <c r="M404" s="116"/>
      <c r="N404" s="109">
        <f>SUM(O404*5)</f>
        <v>0</v>
      </c>
      <c r="O404" s="114">
        <f>SUM(J403,M402)</f>
        <v>0</v>
      </c>
      <c r="P404" s="116">
        <f>SUM(P403*5)</f>
        <v>0</v>
      </c>
    </row>
    <row r="405" spans="1:16" s="453" customFormat="1" ht="14" x14ac:dyDescent="0.2">
      <c r="B405" s="463"/>
      <c r="C405" s="463"/>
      <c r="D405" s="443"/>
      <c r="F405" s="463"/>
      <c r="G405" s="112"/>
      <c r="H405" s="463"/>
    </row>
    <row r="406" spans="1:16" s="453" customFormat="1" ht="14" x14ac:dyDescent="0.2">
      <c r="A406" s="471">
        <v>31</v>
      </c>
      <c r="B406" s="112">
        <v>1</v>
      </c>
      <c r="C406" s="571" t="s">
        <v>1752</v>
      </c>
      <c r="D406" s="571"/>
      <c r="E406" s="571"/>
      <c r="F406" s="571"/>
      <c r="G406" s="571"/>
      <c r="H406" s="571"/>
      <c r="I406" s="166" t="s">
        <v>211</v>
      </c>
      <c r="J406" s="166" t="s">
        <v>211</v>
      </c>
      <c r="K406" s="166" t="s">
        <v>211</v>
      </c>
      <c r="L406" s="166" t="s">
        <v>211</v>
      </c>
      <c r="M406" s="166" t="s">
        <v>211</v>
      </c>
      <c r="N406" s="166" t="s">
        <v>211</v>
      </c>
      <c r="O406" s="166" t="s">
        <v>211</v>
      </c>
    </row>
    <row r="407" spans="1:16" s="453" customFormat="1" ht="14" x14ac:dyDescent="0.2">
      <c r="B407" s="112" t="s">
        <v>10</v>
      </c>
      <c r="C407" s="571" t="s">
        <v>288</v>
      </c>
      <c r="D407" s="571"/>
      <c r="E407" s="571"/>
      <c r="F407" s="571"/>
      <c r="G407" s="571"/>
      <c r="H407" s="571"/>
      <c r="I407" s="166" t="s">
        <v>211</v>
      </c>
      <c r="J407" s="166" t="s">
        <v>211</v>
      </c>
      <c r="K407" s="166" t="s">
        <v>211</v>
      </c>
      <c r="L407" s="166" t="s">
        <v>211</v>
      </c>
      <c r="M407" s="166" t="s">
        <v>211</v>
      </c>
      <c r="N407" s="166" t="s">
        <v>211</v>
      </c>
      <c r="O407" s="166" t="s">
        <v>211</v>
      </c>
    </row>
    <row r="408" spans="1:16" s="453" customFormat="1" ht="14" x14ac:dyDescent="0.2">
      <c r="B408" s="112">
        <v>2</v>
      </c>
      <c r="C408" s="571" t="s">
        <v>1753</v>
      </c>
      <c r="D408" s="571"/>
      <c r="E408" s="571"/>
      <c r="F408" s="571"/>
      <c r="G408" s="571"/>
      <c r="H408" s="571"/>
      <c r="I408" s="166" t="s">
        <v>211</v>
      </c>
      <c r="J408" s="166" t="s">
        <v>211</v>
      </c>
      <c r="K408" s="166" t="s">
        <v>211</v>
      </c>
      <c r="L408" s="166" t="s">
        <v>211</v>
      </c>
      <c r="M408" s="166" t="s">
        <v>211</v>
      </c>
      <c r="N408" s="166" t="s">
        <v>211</v>
      </c>
      <c r="O408" s="166" t="s">
        <v>211</v>
      </c>
    </row>
    <row r="409" spans="1:16" s="453" customFormat="1" ht="14" x14ac:dyDescent="0.2">
      <c r="B409" s="112">
        <v>3</v>
      </c>
      <c r="C409" s="571" t="s">
        <v>1754</v>
      </c>
      <c r="D409" s="571"/>
      <c r="E409" s="571"/>
      <c r="F409" s="571"/>
      <c r="G409" s="571"/>
      <c r="H409" s="571"/>
      <c r="I409" s="166" t="s">
        <v>211</v>
      </c>
      <c r="J409" s="166" t="s">
        <v>211</v>
      </c>
      <c r="K409" s="166" t="s">
        <v>211</v>
      </c>
      <c r="L409" s="166" t="s">
        <v>211</v>
      </c>
      <c r="M409" s="166" t="s">
        <v>211</v>
      </c>
      <c r="N409" s="166" t="s">
        <v>211</v>
      </c>
      <c r="O409" s="166" t="s">
        <v>211</v>
      </c>
    </row>
    <row r="410" spans="1:16" s="453" customFormat="1" ht="14" x14ac:dyDescent="0.2">
      <c r="B410" s="112" t="s">
        <v>17</v>
      </c>
      <c r="C410" s="571" t="s">
        <v>1630</v>
      </c>
      <c r="D410" s="571"/>
      <c r="E410" s="571"/>
      <c r="F410" s="571"/>
      <c r="G410" s="571"/>
      <c r="H410" s="571"/>
      <c r="I410" s="166" t="s">
        <v>211</v>
      </c>
      <c r="J410" s="166" t="s">
        <v>211</v>
      </c>
      <c r="K410" s="166" t="s">
        <v>211</v>
      </c>
      <c r="L410" s="166" t="s">
        <v>211</v>
      </c>
      <c r="M410" s="166" t="s">
        <v>211</v>
      </c>
      <c r="N410" s="166" t="s">
        <v>211</v>
      </c>
      <c r="O410" s="166" t="s">
        <v>211</v>
      </c>
    </row>
    <row r="411" spans="1:16" s="453" customFormat="1" ht="14" x14ac:dyDescent="0.2">
      <c r="B411" s="112" t="s">
        <v>289</v>
      </c>
      <c r="C411" s="571" t="s">
        <v>1652</v>
      </c>
      <c r="D411" s="571"/>
      <c r="E411" s="571"/>
      <c r="F411" s="571"/>
      <c r="G411" s="571"/>
      <c r="H411" s="571"/>
      <c r="I411" s="166" t="s">
        <v>211</v>
      </c>
      <c r="J411" s="166" t="s">
        <v>211</v>
      </c>
      <c r="K411" s="166" t="s">
        <v>211</v>
      </c>
      <c r="L411" s="166" t="s">
        <v>211</v>
      </c>
      <c r="M411" s="166" t="s">
        <v>211</v>
      </c>
      <c r="N411" s="166" t="s">
        <v>211</v>
      </c>
      <c r="O411" s="166" t="s">
        <v>211</v>
      </c>
    </row>
    <row r="412" spans="1:16" s="453" customFormat="1" ht="14" x14ac:dyDescent="0.2">
      <c r="B412" s="112" t="s">
        <v>18</v>
      </c>
      <c r="C412" s="571" t="s">
        <v>1695</v>
      </c>
      <c r="D412" s="571"/>
      <c r="E412" s="571"/>
      <c r="F412" s="571"/>
      <c r="G412" s="571"/>
      <c r="H412" s="571"/>
      <c r="I412" s="166" t="s">
        <v>211</v>
      </c>
      <c r="J412" s="166" t="s">
        <v>211</v>
      </c>
      <c r="K412" s="166" t="s">
        <v>211</v>
      </c>
      <c r="L412" s="166" t="s">
        <v>211</v>
      </c>
      <c r="M412" s="166" t="s">
        <v>211</v>
      </c>
      <c r="N412" s="166" t="s">
        <v>211</v>
      </c>
      <c r="O412" s="166" t="s">
        <v>211</v>
      </c>
    </row>
    <row r="413" spans="1:16" s="453" customFormat="1" ht="14" x14ac:dyDescent="0.2">
      <c r="B413" s="112" t="s">
        <v>105</v>
      </c>
      <c r="C413" s="571" t="s">
        <v>1755</v>
      </c>
      <c r="D413" s="571"/>
      <c r="E413" s="571"/>
      <c r="F413" s="571"/>
      <c r="G413" s="571"/>
      <c r="H413" s="571"/>
      <c r="I413" s="166" t="s">
        <v>211</v>
      </c>
      <c r="J413" s="166" t="s">
        <v>211</v>
      </c>
      <c r="K413" s="166" t="s">
        <v>211</v>
      </c>
      <c r="L413" s="166" t="s">
        <v>211</v>
      </c>
      <c r="M413" s="166" t="s">
        <v>211</v>
      </c>
      <c r="N413" s="166" t="s">
        <v>211</v>
      </c>
      <c r="O413" s="166" t="s">
        <v>211</v>
      </c>
    </row>
    <row r="414" spans="1:16" s="453" customFormat="1" ht="14" x14ac:dyDescent="0.2">
      <c r="B414" s="112">
        <v>4</v>
      </c>
      <c r="C414" s="573" t="s">
        <v>1600</v>
      </c>
      <c r="D414" s="573"/>
      <c r="E414" s="573"/>
      <c r="F414" s="573"/>
      <c r="G414" s="573"/>
      <c r="H414" s="573"/>
      <c r="I414" s="98" t="s">
        <v>211</v>
      </c>
      <c r="J414" s="106" t="s">
        <v>214</v>
      </c>
      <c r="K414" s="98" t="s">
        <v>211</v>
      </c>
      <c r="L414" s="106" t="s">
        <v>213</v>
      </c>
      <c r="M414" s="214">
        <f>COUNTIF(K414,Data!$A$1)</f>
        <v>0</v>
      </c>
      <c r="N414" s="106"/>
      <c r="P414" s="107">
        <f>SUM(K415*4)</f>
        <v>0</v>
      </c>
    </row>
    <row r="415" spans="1:16" s="453" customFormat="1" thickBot="1" x14ac:dyDescent="0.25">
      <c r="D415" s="453" t="s">
        <v>293</v>
      </c>
      <c r="F415" s="131" t="s">
        <v>292</v>
      </c>
      <c r="I415" s="107">
        <f>COUNTIF(I406:I414,Data!$A$1)</f>
        <v>0</v>
      </c>
      <c r="J415" s="107">
        <f>COUNTIF(J406:J413,Data!$A$1)</f>
        <v>0</v>
      </c>
      <c r="K415" s="107">
        <f>COUNTIF(K406:K413,Data!$A$1)</f>
        <v>0</v>
      </c>
      <c r="L415" s="107">
        <f>COUNTIF(L406:L413,Data!$A$1)</f>
        <v>0</v>
      </c>
      <c r="M415" s="107">
        <f>COUNTIF(M406:M413,Data!$A$1)</f>
        <v>0</v>
      </c>
      <c r="N415" s="107">
        <f>COUNTIF(N406:N413,Data!$A$1)</f>
        <v>0</v>
      </c>
      <c r="O415" s="107">
        <f>COUNTIF(O406:O413,Data!$A$1)</f>
        <v>0</v>
      </c>
      <c r="P415" s="107">
        <f>SUM(I415:K415,M414,M415:N415)</f>
        <v>0</v>
      </c>
    </row>
    <row r="416" spans="1:16" s="108" customFormat="1" ht="17" thickBot="1" x14ac:dyDescent="0.25">
      <c r="G416" s="578" t="s">
        <v>1584</v>
      </c>
      <c r="H416" s="578"/>
      <c r="I416" s="578"/>
      <c r="J416" s="579"/>
      <c r="K416" s="574">
        <f>SUM(O416,K415)</f>
        <v>0</v>
      </c>
      <c r="L416" s="575"/>
      <c r="M416" s="116"/>
      <c r="N416" s="109">
        <f>SUM(O416*5)</f>
        <v>0</v>
      </c>
      <c r="O416" s="114">
        <f>SUM(J415,M414)</f>
        <v>0</v>
      </c>
      <c r="P416" s="116">
        <f>SUM(P415*5)</f>
        <v>0</v>
      </c>
    </row>
    <row r="417" spans="1:16" s="453" customFormat="1" ht="14" x14ac:dyDescent="0.2">
      <c r="B417" s="463"/>
      <c r="C417" s="463"/>
      <c r="D417" s="443"/>
      <c r="F417" s="463"/>
      <c r="G417" s="112"/>
      <c r="H417" s="463"/>
    </row>
    <row r="418" spans="1:16" s="453" customFormat="1" ht="14" x14ac:dyDescent="0.2">
      <c r="A418" s="471">
        <v>32</v>
      </c>
      <c r="B418" s="112">
        <v>1</v>
      </c>
      <c r="C418" s="571" t="s">
        <v>1756</v>
      </c>
      <c r="D418" s="571"/>
      <c r="E418" s="571"/>
      <c r="F418" s="571"/>
      <c r="G418" s="571"/>
      <c r="H418" s="571"/>
      <c r="I418" s="166" t="s">
        <v>211</v>
      </c>
      <c r="J418" s="166" t="s">
        <v>211</v>
      </c>
      <c r="K418" s="166" t="s">
        <v>211</v>
      </c>
      <c r="L418" s="166" t="s">
        <v>211</v>
      </c>
      <c r="M418" s="166" t="s">
        <v>211</v>
      </c>
      <c r="N418" s="166" t="s">
        <v>211</v>
      </c>
      <c r="O418" s="166" t="s">
        <v>211</v>
      </c>
    </row>
    <row r="419" spans="1:16" s="453" customFormat="1" ht="14" x14ac:dyDescent="0.2">
      <c r="B419" s="112">
        <v>2</v>
      </c>
      <c r="C419" s="571" t="s">
        <v>1757</v>
      </c>
      <c r="D419" s="571"/>
      <c r="E419" s="571"/>
      <c r="F419" s="571"/>
      <c r="G419" s="571"/>
      <c r="H419" s="571"/>
      <c r="I419" s="166" t="s">
        <v>211</v>
      </c>
      <c r="J419" s="166" t="s">
        <v>211</v>
      </c>
      <c r="K419" s="166" t="s">
        <v>211</v>
      </c>
      <c r="L419" s="166" t="s">
        <v>211</v>
      </c>
      <c r="M419" s="166" t="s">
        <v>211</v>
      </c>
      <c r="N419" s="166" t="s">
        <v>211</v>
      </c>
      <c r="O419" s="166" t="s">
        <v>211</v>
      </c>
    </row>
    <row r="420" spans="1:16" s="453" customFormat="1" ht="14" x14ac:dyDescent="0.2">
      <c r="B420" s="112">
        <v>3</v>
      </c>
      <c r="C420" s="571" t="s">
        <v>1758</v>
      </c>
      <c r="D420" s="571"/>
      <c r="E420" s="571"/>
      <c r="F420" s="571"/>
      <c r="G420" s="571"/>
      <c r="H420" s="571"/>
      <c r="I420" s="166" t="s">
        <v>211</v>
      </c>
      <c r="J420" s="166" t="s">
        <v>211</v>
      </c>
      <c r="K420" s="166" t="s">
        <v>211</v>
      </c>
      <c r="L420" s="166" t="s">
        <v>211</v>
      </c>
      <c r="M420" s="166" t="s">
        <v>211</v>
      </c>
      <c r="N420" s="166" t="s">
        <v>211</v>
      </c>
      <c r="O420" s="166" t="s">
        <v>211</v>
      </c>
    </row>
    <row r="421" spans="1:16" s="453" customFormat="1" ht="14" x14ac:dyDescent="0.2">
      <c r="B421" s="112" t="s">
        <v>17</v>
      </c>
      <c r="C421" s="571" t="s">
        <v>1759</v>
      </c>
      <c r="D421" s="571"/>
      <c r="E421" s="571"/>
      <c r="F421" s="571"/>
      <c r="G421" s="571"/>
      <c r="H421" s="571"/>
      <c r="I421" s="166" t="s">
        <v>211</v>
      </c>
      <c r="J421" s="166" t="s">
        <v>211</v>
      </c>
      <c r="K421" s="166" t="s">
        <v>211</v>
      </c>
      <c r="L421" s="166" t="s">
        <v>211</v>
      </c>
      <c r="M421" s="166" t="s">
        <v>211</v>
      </c>
      <c r="N421" s="166" t="s">
        <v>211</v>
      </c>
      <c r="O421" s="166" t="s">
        <v>211</v>
      </c>
    </row>
    <row r="422" spans="1:16" s="453" customFormat="1" ht="14" x14ac:dyDescent="0.2">
      <c r="B422" s="112">
        <v>4</v>
      </c>
      <c r="C422" s="571" t="s">
        <v>1760</v>
      </c>
      <c r="D422" s="571"/>
      <c r="E422" s="571"/>
      <c r="F422" s="571"/>
      <c r="G422" s="571"/>
      <c r="H422" s="571"/>
      <c r="I422" s="166" t="s">
        <v>211</v>
      </c>
      <c r="J422" s="166" t="s">
        <v>211</v>
      </c>
      <c r="K422" s="166" t="s">
        <v>211</v>
      </c>
      <c r="L422" s="166" t="s">
        <v>211</v>
      </c>
      <c r="M422" s="166" t="s">
        <v>211</v>
      </c>
      <c r="N422" s="166" t="s">
        <v>211</v>
      </c>
      <c r="O422" s="166" t="s">
        <v>211</v>
      </c>
    </row>
    <row r="423" spans="1:16" s="453" customFormat="1" ht="14" x14ac:dyDescent="0.2">
      <c r="B423" s="112">
        <v>5</v>
      </c>
      <c r="C423" s="573" t="s">
        <v>1600</v>
      </c>
      <c r="D423" s="573"/>
      <c r="E423" s="573"/>
      <c r="F423" s="573"/>
      <c r="G423" s="573"/>
      <c r="H423" s="573"/>
      <c r="I423" s="98" t="s">
        <v>211</v>
      </c>
      <c r="J423" s="106" t="s">
        <v>214</v>
      </c>
      <c r="K423" s="98" t="s">
        <v>211</v>
      </c>
      <c r="L423" s="106" t="s">
        <v>213</v>
      </c>
      <c r="M423" s="213">
        <f>COUNTIF(K423,Data!$A$1)</f>
        <v>0</v>
      </c>
      <c r="N423" s="213"/>
      <c r="O423" s="107"/>
      <c r="P423" s="107">
        <f>SUM(K424*4)</f>
        <v>0</v>
      </c>
    </row>
    <row r="424" spans="1:16" s="453" customFormat="1" thickBot="1" x14ac:dyDescent="0.25">
      <c r="I424" s="107">
        <f>COUNTIF(I418:I423,Data!$A$1)</f>
        <v>0</v>
      </c>
      <c r="J424" s="107">
        <f>COUNTIF(J418:J422,Data!$A$1)</f>
        <v>0</v>
      </c>
      <c r="K424" s="107">
        <f>COUNTIF(K418:K422,Data!$A$1)</f>
        <v>0</v>
      </c>
      <c r="L424" s="107">
        <f>COUNTIF(L418:L422,Data!$A$1)</f>
        <v>0</v>
      </c>
      <c r="M424" s="107">
        <f>COUNTIF(M418:M422,Data!$A$1)</f>
        <v>0</v>
      </c>
      <c r="N424" s="107">
        <f>COUNTIF(N418:N422,Data!$A$1)</f>
        <v>0</v>
      </c>
      <c r="O424" s="107">
        <f>COUNTIF(O418:O422,Data!$A$1)</f>
        <v>0</v>
      </c>
      <c r="P424" s="107">
        <f>SUM(I424:K424,M423,M424:N424)</f>
        <v>0</v>
      </c>
    </row>
    <row r="425" spans="1:16" s="108" customFormat="1" ht="17" thickBot="1" x14ac:dyDescent="0.25">
      <c r="G425" s="578" t="s">
        <v>1584</v>
      </c>
      <c r="H425" s="578"/>
      <c r="I425" s="578"/>
      <c r="J425" s="579"/>
      <c r="K425" s="574">
        <f>SUM(O425,K424)</f>
        <v>0</v>
      </c>
      <c r="L425" s="575"/>
      <c r="M425" s="116"/>
      <c r="N425" s="109">
        <f>SUM(O425*5)</f>
        <v>0</v>
      </c>
      <c r="O425" s="114">
        <f>SUM(J424,M423)</f>
        <v>0</v>
      </c>
      <c r="P425" s="116">
        <f>SUM(P424*5)</f>
        <v>0</v>
      </c>
    </row>
    <row r="426" spans="1:16" s="453" customFormat="1" ht="14" x14ac:dyDescent="0.2">
      <c r="B426" s="463"/>
      <c r="C426" s="463"/>
      <c r="D426" s="443"/>
      <c r="F426" s="463"/>
      <c r="G426" s="112"/>
      <c r="H426" s="463"/>
    </row>
    <row r="427" spans="1:16" s="453" customFormat="1" ht="14" x14ac:dyDescent="0.2">
      <c r="A427" s="471">
        <v>33</v>
      </c>
      <c r="B427" s="112">
        <v>1</v>
      </c>
      <c r="C427" s="571" t="s">
        <v>290</v>
      </c>
      <c r="D427" s="571"/>
      <c r="E427" s="571"/>
      <c r="F427" s="571"/>
      <c r="G427" s="571"/>
      <c r="H427" s="571"/>
      <c r="I427" s="166" t="s">
        <v>211</v>
      </c>
      <c r="J427" s="166" t="s">
        <v>211</v>
      </c>
      <c r="K427" s="166" t="s">
        <v>211</v>
      </c>
      <c r="L427" s="166" t="s">
        <v>211</v>
      </c>
      <c r="M427" s="166" t="s">
        <v>211</v>
      </c>
      <c r="N427" s="166" t="s">
        <v>211</v>
      </c>
      <c r="O427" s="166" t="s">
        <v>211</v>
      </c>
    </row>
    <row r="428" spans="1:16" s="453" customFormat="1" ht="14" x14ac:dyDescent="0.2">
      <c r="B428" s="112">
        <v>2</v>
      </c>
      <c r="C428" s="609" t="s">
        <v>1595</v>
      </c>
      <c r="D428" s="609"/>
      <c r="E428" s="609"/>
      <c r="F428" s="609"/>
      <c r="G428" s="609"/>
      <c r="H428" s="609"/>
      <c r="I428" s="166" t="s">
        <v>211</v>
      </c>
      <c r="J428" s="166" t="s">
        <v>211</v>
      </c>
      <c r="K428" s="166" t="s">
        <v>211</v>
      </c>
      <c r="L428" s="166" t="s">
        <v>211</v>
      </c>
      <c r="M428" s="166" t="s">
        <v>211</v>
      </c>
      <c r="N428" s="166" t="s">
        <v>211</v>
      </c>
      <c r="O428" s="166" t="s">
        <v>211</v>
      </c>
    </row>
    <row r="429" spans="1:16" s="453" customFormat="1" ht="12.75" customHeight="1" x14ac:dyDescent="0.2">
      <c r="B429" s="112" t="s">
        <v>11</v>
      </c>
      <c r="C429" s="610" t="s">
        <v>1907</v>
      </c>
      <c r="D429" s="610"/>
      <c r="E429" s="610"/>
      <c r="F429" s="610"/>
      <c r="G429" s="610"/>
      <c r="H429" s="610"/>
      <c r="I429" s="166" t="s">
        <v>211</v>
      </c>
      <c r="J429" s="166" t="s">
        <v>211</v>
      </c>
      <c r="K429" s="166" t="s">
        <v>211</v>
      </c>
      <c r="L429" s="166" t="s">
        <v>211</v>
      </c>
      <c r="M429" s="166" t="s">
        <v>211</v>
      </c>
      <c r="N429" s="166" t="s">
        <v>211</v>
      </c>
      <c r="O429" s="166" t="s">
        <v>211</v>
      </c>
    </row>
    <row r="430" spans="1:16" s="453" customFormat="1" ht="14" x14ac:dyDescent="0.2">
      <c r="B430" s="112">
        <v>3</v>
      </c>
      <c r="C430" s="571" t="s">
        <v>1656</v>
      </c>
      <c r="D430" s="571"/>
      <c r="E430" s="571"/>
      <c r="F430" s="571"/>
      <c r="G430" s="571"/>
      <c r="H430" s="571"/>
      <c r="I430" s="166" t="s">
        <v>211</v>
      </c>
      <c r="J430" s="166" t="s">
        <v>211</v>
      </c>
      <c r="K430" s="166" t="s">
        <v>211</v>
      </c>
      <c r="L430" s="166" t="s">
        <v>211</v>
      </c>
      <c r="M430" s="166" t="s">
        <v>211</v>
      </c>
      <c r="N430" s="166" t="s">
        <v>211</v>
      </c>
      <c r="O430" s="166" t="s">
        <v>211</v>
      </c>
    </row>
    <row r="431" spans="1:16" s="453" customFormat="1" ht="12.75" customHeight="1" x14ac:dyDescent="0.2">
      <c r="B431" s="112" t="s">
        <v>17</v>
      </c>
      <c r="C431" s="610" t="s">
        <v>1907</v>
      </c>
      <c r="D431" s="610"/>
      <c r="E431" s="610"/>
      <c r="F431" s="610"/>
      <c r="G431" s="610"/>
      <c r="H431" s="654"/>
      <c r="I431" s="166" t="s">
        <v>211</v>
      </c>
      <c r="J431" s="166" t="s">
        <v>211</v>
      </c>
      <c r="K431" s="166" t="s">
        <v>211</v>
      </c>
      <c r="L431" s="166" t="s">
        <v>211</v>
      </c>
      <c r="M431" s="166" t="s">
        <v>211</v>
      </c>
      <c r="N431" s="166" t="s">
        <v>211</v>
      </c>
      <c r="O431" s="166" t="s">
        <v>211</v>
      </c>
    </row>
    <row r="432" spans="1:16" s="453" customFormat="1" ht="14" x14ac:dyDescent="0.2">
      <c r="B432" s="112">
        <v>4</v>
      </c>
      <c r="C432" s="571" t="s">
        <v>1908</v>
      </c>
      <c r="D432" s="571"/>
      <c r="E432" s="571"/>
      <c r="F432" s="571"/>
      <c r="G432" s="571"/>
      <c r="H432" s="656"/>
      <c r="I432" s="166" t="s">
        <v>211</v>
      </c>
      <c r="J432" s="166" t="s">
        <v>211</v>
      </c>
      <c r="K432" s="166" t="s">
        <v>211</v>
      </c>
      <c r="L432" s="166" t="s">
        <v>211</v>
      </c>
      <c r="M432" s="166" t="s">
        <v>211</v>
      </c>
      <c r="N432" s="166" t="s">
        <v>211</v>
      </c>
      <c r="O432" s="166" t="s">
        <v>211</v>
      </c>
    </row>
    <row r="433" spans="1:16" s="453" customFormat="1" ht="14" x14ac:dyDescent="0.2">
      <c r="B433" s="112">
        <v>5</v>
      </c>
      <c r="C433" s="571" t="s">
        <v>1909</v>
      </c>
      <c r="D433" s="571"/>
      <c r="E433" s="571"/>
      <c r="F433" s="571"/>
      <c r="G433" s="571"/>
      <c r="H433" s="571"/>
      <c r="I433" s="166" t="s">
        <v>211</v>
      </c>
      <c r="J433" s="166" t="s">
        <v>211</v>
      </c>
      <c r="K433" s="166" t="s">
        <v>211</v>
      </c>
      <c r="L433" s="166" t="s">
        <v>211</v>
      </c>
      <c r="M433" s="166" t="s">
        <v>211</v>
      </c>
      <c r="N433" s="166" t="s">
        <v>211</v>
      </c>
      <c r="O433" s="166" t="s">
        <v>211</v>
      </c>
    </row>
    <row r="434" spans="1:16" s="453" customFormat="1" ht="14" x14ac:dyDescent="0.2">
      <c r="B434" s="112">
        <v>6</v>
      </c>
      <c r="C434" s="571" t="s">
        <v>1910</v>
      </c>
      <c r="D434" s="571"/>
      <c r="E434" s="571"/>
      <c r="F434" s="571"/>
      <c r="G434" s="571"/>
      <c r="H434" s="571"/>
      <c r="I434" s="166" t="s">
        <v>211</v>
      </c>
      <c r="J434" s="166" t="s">
        <v>211</v>
      </c>
      <c r="K434" s="166" t="s">
        <v>211</v>
      </c>
      <c r="L434" s="166" t="s">
        <v>211</v>
      </c>
      <c r="M434" s="166" t="s">
        <v>211</v>
      </c>
      <c r="N434" s="166" t="s">
        <v>211</v>
      </c>
      <c r="O434" s="166" t="s">
        <v>211</v>
      </c>
    </row>
    <row r="435" spans="1:16" s="453" customFormat="1" ht="14" x14ac:dyDescent="0.2">
      <c r="B435" s="112" t="s">
        <v>19</v>
      </c>
      <c r="C435" s="571" t="s">
        <v>1911</v>
      </c>
      <c r="D435" s="571"/>
      <c r="E435" s="571"/>
      <c r="F435" s="571"/>
      <c r="G435" s="571"/>
      <c r="H435" s="571"/>
      <c r="I435" s="166" t="s">
        <v>211</v>
      </c>
      <c r="J435" s="166" t="s">
        <v>211</v>
      </c>
      <c r="K435" s="166" t="s">
        <v>211</v>
      </c>
      <c r="L435" s="166" t="s">
        <v>211</v>
      </c>
      <c r="M435" s="166" t="s">
        <v>211</v>
      </c>
      <c r="N435" s="166" t="s">
        <v>211</v>
      </c>
      <c r="O435" s="166" t="s">
        <v>211</v>
      </c>
    </row>
    <row r="436" spans="1:16" s="453" customFormat="1" ht="14" x14ac:dyDescent="0.2">
      <c r="B436" s="112">
        <v>7</v>
      </c>
      <c r="C436" s="571" t="s">
        <v>1912</v>
      </c>
      <c r="D436" s="571"/>
      <c r="E436" s="571"/>
      <c r="F436" s="571"/>
      <c r="G436" s="571"/>
      <c r="H436" s="571"/>
      <c r="I436" s="166" t="s">
        <v>211</v>
      </c>
      <c r="J436" s="166" t="s">
        <v>211</v>
      </c>
      <c r="K436" s="166" t="s">
        <v>211</v>
      </c>
      <c r="L436" s="166" t="s">
        <v>211</v>
      </c>
      <c r="M436" s="166" t="s">
        <v>211</v>
      </c>
      <c r="N436" s="166" t="s">
        <v>211</v>
      </c>
      <c r="O436" s="166" t="s">
        <v>211</v>
      </c>
    </row>
    <row r="437" spans="1:16" s="453" customFormat="1" ht="14" x14ac:dyDescent="0.2">
      <c r="B437" s="112">
        <v>8</v>
      </c>
      <c r="C437" s="571" t="s">
        <v>1913</v>
      </c>
      <c r="D437" s="571"/>
      <c r="E437" s="571"/>
      <c r="F437" s="571"/>
      <c r="G437" s="571"/>
      <c r="H437" s="571"/>
      <c r="I437" s="166" t="s">
        <v>211</v>
      </c>
      <c r="J437" s="166" t="s">
        <v>211</v>
      </c>
      <c r="K437" s="166" t="s">
        <v>211</v>
      </c>
      <c r="L437" s="166" t="s">
        <v>211</v>
      </c>
      <c r="M437" s="166" t="s">
        <v>211</v>
      </c>
      <c r="N437" s="166" t="s">
        <v>211</v>
      </c>
      <c r="O437" s="166" t="s">
        <v>211</v>
      </c>
    </row>
    <row r="438" spans="1:16" s="453" customFormat="1" ht="14" x14ac:dyDescent="0.2">
      <c r="B438" s="112" t="s">
        <v>1906</v>
      </c>
      <c r="C438" s="571" t="s">
        <v>1914</v>
      </c>
      <c r="D438" s="571"/>
      <c r="E438" s="571"/>
      <c r="F438" s="571"/>
      <c r="G438" s="571"/>
      <c r="H438" s="571"/>
      <c r="I438" s="166" t="s">
        <v>211</v>
      </c>
      <c r="J438" s="166" t="s">
        <v>211</v>
      </c>
      <c r="K438" s="166" t="s">
        <v>211</v>
      </c>
      <c r="L438" s="166" t="s">
        <v>211</v>
      </c>
      <c r="M438" s="166" t="s">
        <v>211</v>
      </c>
      <c r="N438" s="166" t="s">
        <v>211</v>
      </c>
      <c r="O438" s="166" t="s">
        <v>211</v>
      </c>
    </row>
    <row r="439" spans="1:16" s="453" customFormat="1" ht="14" x14ac:dyDescent="0.2">
      <c r="B439" s="112">
        <v>9</v>
      </c>
      <c r="C439" s="571" t="s">
        <v>1915</v>
      </c>
      <c r="D439" s="571"/>
      <c r="E439" s="571"/>
      <c r="F439" s="571"/>
      <c r="G439" s="571"/>
      <c r="H439" s="571"/>
      <c r="I439" s="166" t="s">
        <v>211</v>
      </c>
      <c r="J439" s="166" t="s">
        <v>211</v>
      </c>
      <c r="K439" s="166" t="s">
        <v>211</v>
      </c>
      <c r="L439" s="166" t="s">
        <v>211</v>
      </c>
      <c r="M439" s="166" t="s">
        <v>211</v>
      </c>
      <c r="N439" s="166" t="s">
        <v>211</v>
      </c>
      <c r="O439" s="166" t="s">
        <v>211</v>
      </c>
    </row>
    <row r="440" spans="1:16" s="453" customFormat="1" ht="14" x14ac:dyDescent="0.2">
      <c r="B440" s="112">
        <v>10</v>
      </c>
      <c r="C440" s="571" t="s">
        <v>1916</v>
      </c>
      <c r="D440" s="571"/>
      <c r="E440" s="571"/>
      <c r="F440" s="571"/>
      <c r="G440" s="571"/>
      <c r="H440" s="571"/>
      <c r="I440" s="166" t="s">
        <v>211</v>
      </c>
      <c r="J440" s="166" t="s">
        <v>211</v>
      </c>
      <c r="K440" s="166" t="s">
        <v>211</v>
      </c>
      <c r="L440" s="166" t="s">
        <v>211</v>
      </c>
      <c r="M440" s="166" t="s">
        <v>211</v>
      </c>
      <c r="N440" s="166" t="s">
        <v>211</v>
      </c>
      <c r="O440" s="166" t="s">
        <v>211</v>
      </c>
    </row>
    <row r="441" spans="1:16" s="453" customFormat="1" ht="14" x14ac:dyDescent="0.2">
      <c r="B441" s="112">
        <v>11</v>
      </c>
      <c r="C441" s="571" t="s">
        <v>1917</v>
      </c>
      <c r="D441" s="571"/>
      <c r="E441" s="571"/>
      <c r="F441" s="571"/>
      <c r="G441" s="571"/>
      <c r="H441" s="571"/>
      <c r="I441" s="166" t="s">
        <v>211</v>
      </c>
      <c r="J441" s="166" t="s">
        <v>211</v>
      </c>
      <c r="K441" s="166" t="s">
        <v>211</v>
      </c>
      <c r="L441" s="166" t="s">
        <v>211</v>
      </c>
      <c r="M441" s="166" t="s">
        <v>211</v>
      </c>
      <c r="N441" s="166" t="s">
        <v>211</v>
      </c>
      <c r="O441" s="166" t="s">
        <v>211</v>
      </c>
    </row>
    <row r="442" spans="1:16" s="453" customFormat="1" ht="14" x14ac:dyDescent="0.2">
      <c r="B442" s="112">
        <v>12</v>
      </c>
      <c r="C442" s="571" t="s">
        <v>1918</v>
      </c>
      <c r="D442" s="571"/>
      <c r="E442" s="571"/>
      <c r="F442" s="571"/>
      <c r="G442" s="571"/>
      <c r="H442" s="571"/>
      <c r="I442" s="166" t="s">
        <v>211</v>
      </c>
      <c r="J442" s="166" t="s">
        <v>211</v>
      </c>
      <c r="K442" s="166" t="s">
        <v>211</v>
      </c>
      <c r="L442" s="166" t="s">
        <v>211</v>
      </c>
      <c r="M442" s="166" t="s">
        <v>211</v>
      </c>
      <c r="N442" s="166" t="s">
        <v>211</v>
      </c>
      <c r="O442" s="166" t="s">
        <v>211</v>
      </c>
    </row>
    <row r="443" spans="1:16" s="453" customFormat="1" ht="14" x14ac:dyDescent="0.2">
      <c r="B443" s="112">
        <v>13</v>
      </c>
      <c r="C443" s="573" t="s">
        <v>1600</v>
      </c>
      <c r="D443" s="573"/>
      <c r="E443" s="573"/>
      <c r="F443" s="573"/>
      <c r="G443" s="573"/>
      <c r="H443" s="573"/>
      <c r="I443" s="98" t="s">
        <v>211</v>
      </c>
      <c r="J443" s="106" t="s">
        <v>214</v>
      </c>
      <c r="K443" s="98" t="s">
        <v>211</v>
      </c>
      <c r="L443" s="106" t="s">
        <v>213</v>
      </c>
      <c r="M443" s="213">
        <f>COUNTIF(K443,Data!$A$1)</f>
        <v>0</v>
      </c>
      <c r="N443" s="213"/>
      <c r="O443" s="107"/>
      <c r="P443" s="107">
        <f>SUM(K444*4)</f>
        <v>0</v>
      </c>
    </row>
    <row r="444" spans="1:16" s="453" customFormat="1" thickBot="1" x14ac:dyDescent="0.25">
      <c r="I444" s="107">
        <f>COUNTIF(I427:I443,Data!$A$1)</f>
        <v>0</v>
      </c>
      <c r="J444" s="107">
        <f>COUNTIF(J427:J442,Data!$A$1)</f>
        <v>0</v>
      </c>
      <c r="K444" s="107">
        <f>COUNTIF(K427:K442,Data!$A$1)</f>
        <v>0</v>
      </c>
      <c r="L444" s="107">
        <f>COUNTIF(L427:L442,Data!$A$1)</f>
        <v>0</v>
      </c>
      <c r="M444" s="107">
        <f>COUNTIF(M427:M442,Data!$A$1)</f>
        <v>0</v>
      </c>
      <c r="N444" s="107">
        <f>COUNTIF(N427:N442,Data!$A$1)</f>
        <v>0</v>
      </c>
      <c r="O444" s="107">
        <f>COUNTIF(O427:O442,Data!$A$1)</f>
        <v>0</v>
      </c>
      <c r="P444" s="107">
        <f>SUM(I444:K444,M443,M444:N444)</f>
        <v>0</v>
      </c>
    </row>
    <row r="445" spans="1:16" s="108" customFormat="1" ht="17" thickBot="1" x14ac:dyDescent="0.25">
      <c r="G445" s="459" t="s">
        <v>1584</v>
      </c>
      <c r="H445" s="459"/>
      <c r="I445" s="459"/>
      <c r="J445" s="460"/>
      <c r="K445" s="574">
        <f>SUM(O445,K444)</f>
        <v>0</v>
      </c>
      <c r="L445" s="575"/>
      <c r="M445" s="116"/>
      <c r="N445" s="109">
        <f>SUM(O445*5)</f>
        <v>0</v>
      </c>
      <c r="O445" s="114">
        <f>SUM(J444,M443)</f>
        <v>0</v>
      </c>
      <c r="P445" s="116">
        <f>SUM(P444*5)</f>
        <v>0</v>
      </c>
    </row>
    <row r="446" spans="1:16" s="453" customFormat="1" ht="14" x14ac:dyDescent="0.2">
      <c r="B446" s="463"/>
      <c r="C446" s="463"/>
      <c r="D446" s="443"/>
      <c r="F446" s="463"/>
      <c r="G446" s="112"/>
      <c r="H446" s="463"/>
    </row>
    <row r="447" spans="1:16" s="453" customFormat="1" ht="14" x14ac:dyDescent="0.2">
      <c r="A447" s="471">
        <v>8</v>
      </c>
      <c r="B447" s="112">
        <v>1</v>
      </c>
      <c r="C447" s="571" t="s">
        <v>1638</v>
      </c>
      <c r="D447" s="571"/>
      <c r="E447" s="571"/>
      <c r="F447" s="571"/>
      <c r="G447" s="571"/>
      <c r="H447" s="571"/>
      <c r="I447" s="166" t="s">
        <v>211</v>
      </c>
      <c r="J447" s="166" t="s">
        <v>211</v>
      </c>
      <c r="K447" s="166" t="s">
        <v>211</v>
      </c>
      <c r="L447" s="166" t="s">
        <v>211</v>
      </c>
      <c r="M447" s="166" t="s">
        <v>211</v>
      </c>
      <c r="N447" s="166" t="s">
        <v>211</v>
      </c>
      <c r="O447" s="166" t="s">
        <v>211</v>
      </c>
    </row>
    <row r="448" spans="1:16" s="453" customFormat="1" ht="14" x14ac:dyDescent="0.2">
      <c r="B448" s="112">
        <v>2</v>
      </c>
      <c r="C448" s="571" t="s">
        <v>1643</v>
      </c>
      <c r="D448" s="571"/>
      <c r="E448" s="571"/>
      <c r="F448" s="571"/>
      <c r="G448" s="571"/>
      <c r="H448" s="571"/>
      <c r="I448" s="166" t="s">
        <v>211</v>
      </c>
      <c r="J448" s="166" t="s">
        <v>211</v>
      </c>
      <c r="K448" s="166" t="s">
        <v>211</v>
      </c>
      <c r="L448" s="166" t="s">
        <v>211</v>
      </c>
      <c r="M448" s="166" t="s">
        <v>211</v>
      </c>
      <c r="N448" s="166" t="s">
        <v>211</v>
      </c>
      <c r="O448" s="166" t="s">
        <v>211</v>
      </c>
    </row>
    <row r="449" spans="1:16" s="453" customFormat="1" ht="14" x14ac:dyDescent="0.2">
      <c r="B449" s="112">
        <v>3</v>
      </c>
      <c r="C449" s="571" t="s">
        <v>1644</v>
      </c>
      <c r="D449" s="571"/>
      <c r="E449" s="571"/>
      <c r="F449" s="571"/>
      <c r="G449" s="571"/>
      <c r="H449" s="571"/>
      <c r="I449" s="166" t="s">
        <v>211</v>
      </c>
      <c r="J449" s="166" t="s">
        <v>211</v>
      </c>
      <c r="K449" s="166" t="s">
        <v>211</v>
      </c>
      <c r="L449" s="166" t="s">
        <v>211</v>
      </c>
      <c r="M449" s="166" t="s">
        <v>211</v>
      </c>
      <c r="N449" s="166" t="s">
        <v>211</v>
      </c>
      <c r="O449" s="166" t="s">
        <v>211</v>
      </c>
    </row>
    <row r="450" spans="1:16" s="453" customFormat="1" ht="14" x14ac:dyDescent="0.2">
      <c r="B450" s="112">
        <v>4</v>
      </c>
      <c r="C450" s="571" t="s">
        <v>1645</v>
      </c>
      <c r="D450" s="571"/>
      <c r="E450" s="571"/>
      <c r="F450" s="571"/>
      <c r="G450" s="571"/>
      <c r="H450" s="571"/>
      <c r="I450" s="166" t="s">
        <v>211</v>
      </c>
      <c r="J450" s="166" t="s">
        <v>211</v>
      </c>
      <c r="K450" s="166" t="s">
        <v>211</v>
      </c>
      <c r="L450" s="166" t="s">
        <v>211</v>
      </c>
      <c r="M450" s="166" t="s">
        <v>211</v>
      </c>
      <c r="N450" s="166" t="s">
        <v>211</v>
      </c>
      <c r="O450" s="166" t="s">
        <v>211</v>
      </c>
    </row>
    <row r="451" spans="1:16" s="453" customFormat="1" ht="14" x14ac:dyDescent="0.2">
      <c r="B451" s="112">
        <v>5</v>
      </c>
      <c r="C451" s="571" t="s">
        <v>1595</v>
      </c>
      <c r="D451" s="571"/>
      <c r="E451" s="571"/>
      <c r="F451" s="571"/>
      <c r="G451" s="571"/>
      <c r="H451" s="571"/>
      <c r="I451" s="166" t="s">
        <v>211</v>
      </c>
      <c r="J451" s="166" t="s">
        <v>211</v>
      </c>
      <c r="K451" s="166" t="s">
        <v>211</v>
      </c>
      <c r="L451" s="166" t="s">
        <v>211</v>
      </c>
      <c r="M451" s="166" t="s">
        <v>211</v>
      </c>
      <c r="N451" s="166" t="s">
        <v>211</v>
      </c>
      <c r="O451" s="166" t="s">
        <v>211</v>
      </c>
    </row>
    <row r="452" spans="1:16" s="453" customFormat="1" ht="14" x14ac:dyDescent="0.2">
      <c r="B452" s="112">
        <v>6</v>
      </c>
      <c r="C452" s="571" t="s">
        <v>1646</v>
      </c>
      <c r="D452" s="571"/>
      <c r="E452" s="571"/>
      <c r="F452" s="571"/>
      <c r="G452" s="571"/>
      <c r="H452" s="571"/>
      <c r="I452" s="166" t="s">
        <v>211</v>
      </c>
      <c r="J452" s="166" t="s">
        <v>211</v>
      </c>
      <c r="K452" s="166" t="s">
        <v>211</v>
      </c>
      <c r="L452" s="166" t="s">
        <v>211</v>
      </c>
      <c r="M452" s="166" t="s">
        <v>211</v>
      </c>
      <c r="N452" s="166" t="s">
        <v>211</v>
      </c>
      <c r="O452" s="166" t="s">
        <v>211</v>
      </c>
    </row>
    <row r="453" spans="1:16" s="453" customFormat="1" ht="12.75" customHeight="1" x14ac:dyDescent="0.2">
      <c r="B453" s="112" t="s">
        <v>19</v>
      </c>
      <c r="C453" s="655" t="s">
        <v>1641</v>
      </c>
      <c r="D453" s="655"/>
      <c r="E453" s="655"/>
      <c r="F453" s="655"/>
      <c r="G453" s="655"/>
      <c r="H453" s="655"/>
      <c r="I453" s="166" t="s">
        <v>211</v>
      </c>
      <c r="J453" s="166" t="s">
        <v>211</v>
      </c>
      <c r="K453" s="166" t="s">
        <v>211</v>
      </c>
      <c r="L453" s="166" t="s">
        <v>211</v>
      </c>
      <c r="M453" s="166" t="s">
        <v>211</v>
      </c>
      <c r="N453" s="166" t="s">
        <v>211</v>
      </c>
      <c r="O453" s="166" t="s">
        <v>211</v>
      </c>
    </row>
    <row r="454" spans="1:16" s="453" customFormat="1" ht="14" x14ac:dyDescent="0.2">
      <c r="B454" s="112">
        <v>7</v>
      </c>
      <c r="C454" s="573" t="s">
        <v>1600</v>
      </c>
      <c r="D454" s="573"/>
      <c r="E454" s="573"/>
      <c r="F454" s="573"/>
      <c r="G454" s="573"/>
      <c r="H454" s="573"/>
      <c r="I454" s="98" t="s">
        <v>211</v>
      </c>
      <c r="J454" s="106" t="s">
        <v>214</v>
      </c>
      <c r="K454" s="98" t="s">
        <v>211</v>
      </c>
      <c r="L454" s="106" t="s">
        <v>213</v>
      </c>
      <c r="M454" s="214">
        <f>COUNTIF(K454,Data!$A$1)</f>
        <v>0</v>
      </c>
      <c r="N454" s="106"/>
      <c r="P454" s="107">
        <f>SUM(K455*4)</f>
        <v>0</v>
      </c>
    </row>
    <row r="455" spans="1:16" s="453" customFormat="1" thickBot="1" x14ac:dyDescent="0.25">
      <c r="I455" s="107">
        <f>COUNTIF(I447:I454,Data!$A$1)</f>
        <v>0</v>
      </c>
      <c r="J455" s="107">
        <f>COUNTIF(J447:J453,Data!$A$1)</f>
        <v>0</v>
      </c>
      <c r="K455" s="107">
        <f>COUNTIF(K447:K453,Data!$A$1)</f>
        <v>0</v>
      </c>
      <c r="L455" s="107">
        <f>COUNTIF(L447:L453,Data!$A$1)</f>
        <v>0</v>
      </c>
      <c r="M455" s="107">
        <f>COUNTIF(M447:M453,Data!$A$1)</f>
        <v>0</v>
      </c>
      <c r="N455" s="107">
        <f>COUNTIF(N447:N453,Data!$A$1)</f>
        <v>0</v>
      </c>
      <c r="O455" s="107">
        <f>COUNTIF(O447:O453,Data!$A$1)</f>
        <v>0</v>
      </c>
      <c r="P455" s="107">
        <f>SUM(I455:K455,M454,M455:N455)</f>
        <v>0</v>
      </c>
    </row>
    <row r="456" spans="1:16" s="108" customFormat="1" ht="17" thickBot="1" x14ac:dyDescent="0.25">
      <c r="G456" s="459" t="s">
        <v>1584</v>
      </c>
      <c r="H456" s="459"/>
      <c r="I456" s="459"/>
      <c r="J456" s="460"/>
      <c r="K456" s="574">
        <f>SUM(O456,K455)</f>
        <v>0</v>
      </c>
      <c r="L456" s="575"/>
      <c r="M456" s="116"/>
      <c r="N456" s="109">
        <f>SUM(O456*5)</f>
        <v>0</v>
      </c>
      <c r="O456" s="114">
        <f>SUM(J455,M454)</f>
        <v>0</v>
      </c>
      <c r="P456" s="116">
        <f>SUM(P455*5)</f>
        <v>0</v>
      </c>
    </row>
    <row r="457" spans="1:16" s="453" customFormat="1" ht="14" x14ac:dyDescent="0.2">
      <c r="B457" s="463"/>
      <c r="C457" s="463"/>
      <c r="D457" s="443"/>
      <c r="F457" s="463"/>
      <c r="G457" s="112"/>
      <c r="H457" s="463"/>
    </row>
    <row r="458" spans="1:16" s="453" customFormat="1" ht="14" x14ac:dyDescent="0.2">
      <c r="A458" s="471">
        <v>10</v>
      </c>
      <c r="B458" s="112">
        <v>1</v>
      </c>
      <c r="C458" s="571" t="s">
        <v>1648</v>
      </c>
      <c r="D458" s="571"/>
      <c r="E458" s="571"/>
      <c r="F458" s="571"/>
      <c r="G458" s="571"/>
      <c r="H458" s="571"/>
      <c r="I458" s="166" t="s">
        <v>211</v>
      </c>
      <c r="J458" s="166" t="s">
        <v>211</v>
      </c>
      <c r="K458" s="166" t="s">
        <v>211</v>
      </c>
      <c r="L458" s="166" t="s">
        <v>211</v>
      </c>
      <c r="M458" s="166" t="s">
        <v>211</v>
      </c>
      <c r="N458" s="166" t="s">
        <v>211</v>
      </c>
      <c r="O458" s="166" t="s">
        <v>211</v>
      </c>
    </row>
    <row r="459" spans="1:16" s="453" customFormat="1" ht="14" x14ac:dyDescent="0.2">
      <c r="B459" s="112">
        <v>2</v>
      </c>
      <c r="C459" s="571" t="s">
        <v>1649</v>
      </c>
      <c r="D459" s="571"/>
      <c r="E459" s="571"/>
      <c r="F459" s="571"/>
      <c r="G459" s="571"/>
      <c r="H459" s="571"/>
      <c r="I459" s="166" t="s">
        <v>211</v>
      </c>
      <c r="J459" s="166" t="s">
        <v>211</v>
      </c>
      <c r="K459" s="166" t="s">
        <v>211</v>
      </c>
      <c r="L459" s="166" t="s">
        <v>211</v>
      </c>
      <c r="M459" s="166" t="s">
        <v>211</v>
      </c>
      <c r="N459" s="166" t="s">
        <v>211</v>
      </c>
      <c r="O459" s="166" t="s">
        <v>211</v>
      </c>
    </row>
    <row r="460" spans="1:16" s="453" customFormat="1" ht="14" x14ac:dyDescent="0.2">
      <c r="B460" s="112" t="s">
        <v>11</v>
      </c>
      <c r="C460" s="571" t="s">
        <v>1650</v>
      </c>
      <c r="D460" s="571"/>
      <c r="E460" s="571"/>
      <c r="F460" s="571"/>
      <c r="G460" s="571"/>
      <c r="H460" s="571"/>
      <c r="I460" s="166" t="s">
        <v>211</v>
      </c>
      <c r="J460" s="166" t="s">
        <v>211</v>
      </c>
      <c r="K460" s="166" t="s">
        <v>211</v>
      </c>
      <c r="L460" s="166" t="s">
        <v>211</v>
      </c>
      <c r="M460" s="166" t="s">
        <v>211</v>
      </c>
      <c r="N460" s="166" t="s">
        <v>211</v>
      </c>
      <c r="O460" s="166" t="s">
        <v>211</v>
      </c>
    </row>
    <row r="461" spans="1:16" s="453" customFormat="1" ht="14" x14ac:dyDescent="0.2">
      <c r="B461" s="112">
        <v>3</v>
      </c>
      <c r="C461" s="571" t="s">
        <v>1651</v>
      </c>
      <c r="D461" s="571"/>
      <c r="E461" s="571"/>
      <c r="F461" s="571"/>
      <c r="G461" s="571"/>
      <c r="H461" s="571"/>
      <c r="I461" s="166" t="s">
        <v>211</v>
      </c>
      <c r="J461" s="166" t="s">
        <v>211</v>
      </c>
      <c r="K461" s="166" t="s">
        <v>211</v>
      </c>
      <c r="L461" s="166" t="s">
        <v>211</v>
      </c>
      <c r="M461" s="166" t="s">
        <v>211</v>
      </c>
      <c r="N461" s="166" t="s">
        <v>211</v>
      </c>
      <c r="O461" s="166" t="s">
        <v>211</v>
      </c>
    </row>
    <row r="462" spans="1:16" s="453" customFormat="1" ht="14" x14ac:dyDescent="0.2">
      <c r="B462" s="112" t="s">
        <v>17</v>
      </c>
      <c r="C462" s="571" t="s">
        <v>1652</v>
      </c>
      <c r="D462" s="571"/>
      <c r="E462" s="571"/>
      <c r="F462" s="571"/>
      <c r="G462" s="571"/>
      <c r="H462" s="571"/>
      <c r="I462" s="166" t="s">
        <v>211</v>
      </c>
      <c r="J462" s="166" t="s">
        <v>211</v>
      </c>
      <c r="K462" s="166" t="s">
        <v>211</v>
      </c>
      <c r="L462" s="166" t="s">
        <v>211</v>
      </c>
      <c r="M462" s="166" t="s">
        <v>211</v>
      </c>
      <c r="N462" s="166" t="s">
        <v>211</v>
      </c>
      <c r="O462" s="166" t="s">
        <v>211</v>
      </c>
    </row>
    <row r="463" spans="1:16" s="453" customFormat="1" ht="14" x14ac:dyDescent="0.2">
      <c r="B463" s="112">
        <v>4</v>
      </c>
      <c r="C463" s="571" t="s">
        <v>1653</v>
      </c>
      <c r="D463" s="571"/>
      <c r="E463" s="571"/>
      <c r="F463" s="571"/>
      <c r="G463" s="571"/>
      <c r="H463" s="571"/>
      <c r="I463" s="166" t="s">
        <v>211</v>
      </c>
      <c r="J463" s="166" t="s">
        <v>211</v>
      </c>
      <c r="K463" s="166" t="s">
        <v>211</v>
      </c>
      <c r="L463" s="166" t="s">
        <v>211</v>
      </c>
      <c r="M463" s="166" t="s">
        <v>211</v>
      </c>
      <c r="N463" s="166" t="s">
        <v>211</v>
      </c>
      <c r="O463" s="166" t="s">
        <v>211</v>
      </c>
    </row>
    <row r="464" spans="1:16" s="453" customFormat="1" ht="14" x14ac:dyDescent="0.2">
      <c r="B464" s="112">
        <v>5</v>
      </c>
      <c r="C464" s="571" t="s">
        <v>1654</v>
      </c>
      <c r="D464" s="571"/>
      <c r="E464" s="571"/>
      <c r="F464" s="571"/>
      <c r="G464" s="571"/>
      <c r="H464" s="571"/>
      <c r="I464" s="166" t="s">
        <v>211</v>
      </c>
      <c r="J464" s="166" t="s">
        <v>211</v>
      </c>
      <c r="K464" s="166" t="s">
        <v>211</v>
      </c>
      <c r="L464" s="166" t="s">
        <v>211</v>
      </c>
      <c r="M464" s="166" t="s">
        <v>211</v>
      </c>
      <c r="N464" s="166" t="s">
        <v>211</v>
      </c>
      <c r="O464" s="166" t="s">
        <v>211</v>
      </c>
    </row>
    <row r="465" spans="1:17" s="453" customFormat="1" ht="14" x14ac:dyDescent="0.2">
      <c r="B465" s="112">
        <v>6</v>
      </c>
      <c r="C465" s="571" t="s">
        <v>1655</v>
      </c>
      <c r="D465" s="571"/>
      <c r="E465" s="571"/>
      <c r="F465" s="571"/>
      <c r="G465" s="571"/>
      <c r="H465" s="571"/>
      <c r="I465" s="166" t="s">
        <v>211</v>
      </c>
      <c r="J465" s="166" t="s">
        <v>211</v>
      </c>
      <c r="K465" s="166" t="s">
        <v>211</v>
      </c>
      <c r="L465" s="166" t="s">
        <v>211</v>
      </c>
      <c r="M465" s="166" t="s">
        <v>211</v>
      </c>
      <c r="N465" s="166" t="s">
        <v>211</v>
      </c>
      <c r="O465" s="166" t="s">
        <v>211</v>
      </c>
      <c r="P465" s="107"/>
    </row>
    <row r="466" spans="1:17" s="453" customFormat="1" ht="14" x14ac:dyDescent="0.2">
      <c r="B466" s="112">
        <v>7</v>
      </c>
      <c r="C466" s="571" t="s">
        <v>1600</v>
      </c>
      <c r="D466" s="571"/>
      <c r="E466" s="571"/>
      <c r="F466" s="571"/>
      <c r="G466" s="571"/>
      <c r="H466" s="571"/>
      <c r="I466" s="98" t="s">
        <v>211</v>
      </c>
      <c r="J466" s="106" t="s">
        <v>214</v>
      </c>
      <c r="K466" s="98" t="s">
        <v>211</v>
      </c>
      <c r="L466" s="106" t="s">
        <v>213</v>
      </c>
      <c r="M466" s="214">
        <f>COUNTIF(K466,Data!$A$1)</f>
        <v>0</v>
      </c>
      <c r="N466" s="106"/>
      <c r="P466" s="107">
        <f>SUM(N468*4)</f>
        <v>0</v>
      </c>
    </row>
    <row r="467" spans="1:17" s="453" customFormat="1" thickBot="1" x14ac:dyDescent="0.25">
      <c r="B467" s="453">
        <f>COUNTIF(I458:I466,Data!$A$1)</f>
        <v>0</v>
      </c>
      <c r="D467" s="453" t="s">
        <v>291</v>
      </c>
      <c r="F467" s="132" t="s">
        <v>1588</v>
      </c>
      <c r="G467" s="728" t="s">
        <v>311</v>
      </c>
      <c r="H467" s="729"/>
      <c r="I467" s="730" t="s">
        <v>306</v>
      </c>
      <c r="J467" s="731"/>
      <c r="K467" s="732"/>
      <c r="L467" s="107">
        <f>COUNTIF(L458:L465,Data!$A$1)</f>
        <v>0</v>
      </c>
      <c r="M467" s="107">
        <f>COUNTIF(M458:M465,Data!$A$1)</f>
        <v>0</v>
      </c>
      <c r="N467" s="107">
        <f>COUNTIF(N458:N465,Data!$A$1)</f>
        <v>0</v>
      </c>
      <c r="O467" s="107">
        <f>COUNTIF(O458:O465,Data!$A$1)</f>
        <v>0</v>
      </c>
      <c r="P467" s="123">
        <f>SUM(B467,M467,M466,M468,N467,N468)</f>
        <v>0</v>
      </c>
      <c r="Q467" s="107">
        <f>SUM(P467*5)</f>
        <v>0</v>
      </c>
    </row>
    <row r="468" spans="1:17" s="108" customFormat="1" ht="17" thickBot="1" x14ac:dyDescent="0.25">
      <c r="G468" s="459" t="s">
        <v>1584</v>
      </c>
      <c r="H468" s="459"/>
      <c r="I468" s="459"/>
      <c r="J468" s="460"/>
      <c r="K468" s="574">
        <f>SUM(O468,N468)</f>
        <v>0</v>
      </c>
      <c r="L468" s="575"/>
      <c r="M468" s="114">
        <f>COUNTIF(J458:J466,Data!$A$1)</f>
        <v>0</v>
      </c>
      <c r="N468" s="114">
        <f>COUNTIF(K458:K465,Data!$A$1)</f>
        <v>0</v>
      </c>
      <c r="O468" s="114">
        <f>SUM(P468*5)</f>
        <v>0</v>
      </c>
      <c r="P468" s="114">
        <f>SUM(M468,M466)</f>
        <v>0</v>
      </c>
    </row>
    <row r="469" spans="1:17" s="453" customFormat="1" ht="14" x14ac:dyDescent="0.2">
      <c r="B469" s="463"/>
      <c r="C469" s="463"/>
      <c r="D469" s="443"/>
      <c r="F469" s="463"/>
      <c r="G469" s="112"/>
      <c r="H469" s="463"/>
    </row>
    <row r="470" spans="1:17" s="453" customFormat="1" ht="14" x14ac:dyDescent="0.2">
      <c r="A470" s="471">
        <v>15</v>
      </c>
      <c r="B470" s="112">
        <v>1</v>
      </c>
      <c r="C470" s="571" t="s">
        <v>1673</v>
      </c>
      <c r="D470" s="571"/>
      <c r="E470" s="571"/>
      <c r="F470" s="571"/>
      <c r="G470" s="571"/>
      <c r="H470" s="571"/>
      <c r="I470" s="166" t="s">
        <v>211</v>
      </c>
      <c r="J470" s="166" t="s">
        <v>211</v>
      </c>
      <c r="K470" s="166" t="s">
        <v>211</v>
      </c>
      <c r="L470" s="166" t="s">
        <v>211</v>
      </c>
      <c r="M470" s="166" t="s">
        <v>211</v>
      </c>
      <c r="N470" s="166" t="s">
        <v>211</v>
      </c>
      <c r="O470" s="166" t="s">
        <v>211</v>
      </c>
    </row>
    <row r="471" spans="1:17" s="453" customFormat="1" ht="14" x14ac:dyDescent="0.2">
      <c r="B471" s="112" t="s">
        <v>10</v>
      </c>
      <c r="C471" s="571" t="s">
        <v>1674</v>
      </c>
      <c r="D471" s="571"/>
      <c r="E471" s="571"/>
      <c r="F471" s="571"/>
      <c r="G471" s="571"/>
      <c r="H471" s="571"/>
      <c r="I471" s="166" t="s">
        <v>211</v>
      </c>
      <c r="J471" s="166" t="s">
        <v>211</v>
      </c>
      <c r="K471" s="166" t="s">
        <v>211</v>
      </c>
      <c r="L471" s="166" t="s">
        <v>211</v>
      </c>
      <c r="M471" s="166" t="s">
        <v>211</v>
      </c>
      <c r="N471" s="166" t="s">
        <v>211</v>
      </c>
      <c r="O471" s="166" t="s">
        <v>211</v>
      </c>
    </row>
    <row r="472" spans="1:17" s="453" customFormat="1" ht="14" x14ac:dyDescent="0.2">
      <c r="B472" s="112">
        <v>2</v>
      </c>
      <c r="C472" s="571" t="s">
        <v>1675</v>
      </c>
      <c r="D472" s="571"/>
      <c r="E472" s="571"/>
      <c r="F472" s="571"/>
      <c r="G472" s="571"/>
      <c r="H472" s="571"/>
      <c r="I472" s="166" t="s">
        <v>211</v>
      </c>
      <c r="J472" s="166" t="s">
        <v>211</v>
      </c>
      <c r="K472" s="166" t="s">
        <v>211</v>
      </c>
      <c r="L472" s="166" t="s">
        <v>211</v>
      </c>
      <c r="M472" s="166" t="s">
        <v>211</v>
      </c>
      <c r="N472" s="166" t="s">
        <v>211</v>
      </c>
      <c r="O472" s="166" t="s">
        <v>211</v>
      </c>
    </row>
    <row r="473" spans="1:17" s="453" customFormat="1" ht="14" x14ac:dyDescent="0.2">
      <c r="B473" s="112">
        <v>3</v>
      </c>
      <c r="C473" s="571" t="s">
        <v>1676</v>
      </c>
      <c r="D473" s="571"/>
      <c r="E473" s="571"/>
      <c r="F473" s="571"/>
      <c r="G473" s="571"/>
      <c r="H473" s="571"/>
      <c r="I473" s="166" t="s">
        <v>211</v>
      </c>
      <c r="J473" s="166" t="s">
        <v>211</v>
      </c>
      <c r="K473" s="166" t="s">
        <v>211</v>
      </c>
      <c r="L473" s="166" t="s">
        <v>211</v>
      </c>
      <c r="M473" s="166" t="s">
        <v>211</v>
      </c>
      <c r="N473" s="166" t="s">
        <v>211</v>
      </c>
      <c r="O473" s="166" t="s">
        <v>211</v>
      </c>
    </row>
    <row r="474" spans="1:17" s="453" customFormat="1" ht="14" x14ac:dyDescent="0.2">
      <c r="B474" s="112">
        <v>4</v>
      </c>
      <c r="C474" s="571" t="s">
        <v>1677</v>
      </c>
      <c r="D474" s="571"/>
      <c r="E474" s="571"/>
      <c r="F474" s="571"/>
      <c r="G474" s="571"/>
      <c r="H474" s="571"/>
      <c r="I474" s="166" t="s">
        <v>211</v>
      </c>
      <c r="J474" s="166" t="s">
        <v>211</v>
      </c>
      <c r="K474" s="166" t="s">
        <v>211</v>
      </c>
      <c r="L474" s="166" t="s">
        <v>211</v>
      </c>
      <c r="M474" s="166" t="s">
        <v>211</v>
      </c>
      <c r="N474" s="166" t="s">
        <v>211</v>
      </c>
      <c r="O474" s="166" t="s">
        <v>211</v>
      </c>
    </row>
    <row r="475" spans="1:17" s="453" customFormat="1" ht="14" x14ac:dyDescent="0.2">
      <c r="B475" s="112" t="s">
        <v>108</v>
      </c>
      <c r="C475" s="571" t="s">
        <v>1678</v>
      </c>
      <c r="D475" s="571"/>
      <c r="E475" s="571"/>
      <c r="F475" s="571"/>
      <c r="G475" s="571"/>
      <c r="H475" s="571"/>
      <c r="I475" s="166" t="s">
        <v>211</v>
      </c>
      <c r="J475" s="166" t="s">
        <v>211</v>
      </c>
      <c r="K475" s="166" t="s">
        <v>211</v>
      </c>
      <c r="L475" s="166" t="s">
        <v>211</v>
      </c>
      <c r="M475" s="166" t="s">
        <v>211</v>
      </c>
      <c r="N475" s="166" t="s">
        <v>211</v>
      </c>
      <c r="O475" s="166" t="s">
        <v>211</v>
      </c>
    </row>
    <row r="476" spans="1:17" s="453" customFormat="1" ht="14" x14ac:dyDescent="0.2">
      <c r="B476" s="112">
        <v>5</v>
      </c>
      <c r="C476" s="571" t="s">
        <v>1648</v>
      </c>
      <c r="D476" s="571"/>
      <c r="E476" s="571"/>
      <c r="F476" s="571"/>
      <c r="G476" s="571"/>
      <c r="H476" s="571"/>
      <c r="I476" s="166" t="s">
        <v>211</v>
      </c>
      <c r="J476" s="166" t="s">
        <v>211</v>
      </c>
      <c r="K476" s="166" t="s">
        <v>211</v>
      </c>
      <c r="L476" s="166" t="s">
        <v>211</v>
      </c>
      <c r="M476" s="166" t="s">
        <v>211</v>
      </c>
      <c r="N476" s="166" t="s">
        <v>211</v>
      </c>
      <c r="O476" s="166" t="s">
        <v>211</v>
      </c>
    </row>
    <row r="477" spans="1:17" s="453" customFormat="1" ht="14" x14ac:dyDescent="0.2">
      <c r="B477" s="112">
        <v>6</v>
      </c>
      <c r="C477" s="571" t="s">
        <v>1670</v>
      </c>
      <c r="D477" s="571"/>
      <c r="E477" s="571"/>
      <c r="F477" s="571"/>
      <c r="G477" s="571"/>
      <c r="H477" s="571"/>
      <c r="I477" s="166" t="s">
        <v>211</v>
      </c>
      <c r="J477" s="166" t="s">
        <v>211</v>
      </c>
      <c r="K477" s="166" t="s">
        <v>211</v>
      </c>
      <c r="L477" s="166" t="s">
        <v>211</v>
      </c>
      <c r="M477" s="166" t="s">
        <v>211</v>
      </c>
      <c r="N477" s="166" t="s">
        <v>211</v>
      </c>
      <c r="O477" s="166" t="s">
        <v>211</v>
      </c>
      <c r="P477" s="107"/>
    </row>
    <row r="478" spans="1:17" s="453" customFormat="1" ht="14" x14ac:dyDescent="0.2">
      <c r="B478" s="112">
        <v>7</v>
      </c>
      <c r="C478" s="573" t="s">
        <v>1600</v>
      </c>
      <c r="D478" s="573"/>
      <c r="E478" s="573"/>
      <c r="F478" s="573"/>
      <c r="G478" s="573"/>
      <c r="H478" s="573"/>
      <c r="I478" s="98" t="s">
        <v>211</v>
      </c>
      <c r="J478" s="106" t="s">
        <v>214</v>
      </c>
      <c r="K478" s="98" t="s">
        <v>211</v>
      </c>
      <c r="L478" s="106" t="s">
        <v>213</v>
      </c>
      <c r="M478" s="214">
        <f>COUNTIF(K478,Data!$A$1)</f>
        <v>0</v>
      </c>
      <c r="N478" s="106"/>
      <c r="P478" s="107">
        <f>SUM(K479*4)</f>
        <v>0</v>
      </c>
    </row>
    <row r="479" spans="1:17" s="453" customFormat="1" thickBot="1" x14ac:dyDescent="0.25">
      <c r="H479" s="107"/>
      <c r="I479" s="107">
        <f>COUNTIF(I470:I478,Data!$A$1)</f>
        <v>0</v>
      </c>
      <c r="J479" s="107">
        <f>COUNTIF(J470:J477,Data!$A$1)</f>
        <v>0</v>
      </c>
      <c r="K479" s="107">
        <f>COUNTIF(K470:K477,Data!$A$1)</f>
        <v>0</v>
      </c>
      <c r="L479" s="107">
        <f>COUNTIF(L470:L477,Data!$A$1)</f>
        <v>0</v>
      </c>
      <c r="M479" s="107">
        <f>COUNTIF(M470:M477,Data!$A$1)</f>
        <v>0</v>
      </c>
      <c r="N479" s="107">
        <f>COUNTIF(N470:N477,Data!$A$1)</f>
        <v>0</v>
      </c>
      <c r="O479" s="107">
        <f>COUNTIF(O470:O477,Data!$A$1)</f>
        <v>0</v>
      </c>
      <c r="P479" s="107">
        <f>SUM(I479:K479,M478,M479:N479)</f>
        <v>0</v>
      </c>
    </row>
    <row r="480" spans="1:17" s="108" customFormat="1" ht="17" thickBot="1" x14ac:dyDescent="0.25">
      <c r="G480" s="459" t="s">
        <v>1584</v>
      </c>
      <c r="H480" s="459"/>
      <c r="I480" s="459"/>
      <c r="J480" s="460"/>
      <c r="K480" s="574">
        <f>SUM(O480,K479)</f>
        <v>0</v>
      </c>
      <c r="L480" s="575"/>
      <c r="M480" s="116"/>
      <c r="N480" s="109">
        <f>SUM(O480*5)</f>
        <v>0</v>
      </c>
      <c r="O480" s="114">
        <f>SUM(J479,M478)</f>
        <v>0</v>
      </c>
      <c r="P480" s="116">
        <f>SUM(P479*5)</f>
        <v>0</v>
      </c>
    </row>
    <row r="481" spans="1:17" s="453" customFormat="1" ht="14" x14ac:dyDescent="0.2">
      <c r="B481" s="463"/>
      <c r="C481" s="463"/>
      <c r="D481" s="443"/>
      <c r="F481" s="463"/>
      <c r="G481" s="112"/>
      <c r="H481" s="463"/>
    </row>
    <row r="482" spans="1:17" s="453" customFormat="1" ht="14" x14ac:dyDescent="0.2">
      <c r="A482" s="471">
        <v>17</v>
      </c>
      <c r="B482" s="112">
        <v>1</v>
      </c>
      <c r="C482" s="571" t="s">
        <v>1681</v>
      </c>
      <c r="D482" s="571"/>
      <c r="E482" s="571"/>
      <c r="F482" s="571"/>
      <c r="G482" s="571"/>
      <c r="H482" s="571"/>
      <c r="I482" s="166" t="s">
        <v>211</v>
      </c>
      <c r="J482" s="166" t="s">
        <v>211</v>
      </c>
      <c r="K482" s="166" t="s">
        <v>211</v>
      </c>
      <c r="L482" s="166" t="s">
        <v>211</v>
      </c>
      <c r="M482" s="166" t="s">
        <v>211</v>
      </c>
      <c r="N482" s="166" t="s">
        <v>211</v>
      </c>
      <c r="O482" s="166" t="s">
        <v>211</v>
      </c>
    </row>
    <row r="483" spans="1:17" s="453" customFormat="1" ht="14" x14ac:dyDescent="0.2">
      <c r="B483" s="112">
        <v>2</v>
      </c>
      <c r="C483" s="571" t="s">
        <v>1682</v>
      </c>
      <c r="D483" s="571"/>
      <c r="E483" s="571"/>
      <c r="F483" s="571"/>
      <c r="G483" s="571"/>
      <c r="H483" s="571"/>
      <c r="I483" s="166" t="s">
        <v>211</v>
      </c>
      <c r="J483" s="166" t="s">
        <v>211</v>
      </c>
      <c r="K483" s="166" t="s">
        <v>211</v>
      </c>
      <c r="L483" s="166" t="s">
        <v>211</v>
      </c>
      <c r="M483" s="166" t="s">
        <v>211</v>
      </c>
      <c r="N483" s="166" t="s">
        <v>211</v>
      </c>
      <c r="O483" s="166" t="s">
        <v>211</v>
      </c>
    </row>
    <row r="484" spans="1:17" s="453" customFormat="1" ht="14" x14ac:dyDescent="0.2">
      <c r="B484" s="112">
        <v>3</v>
      </c>
      <c r="C484" s="571" t="s">
        <v>1683</v>
      </c>
      <c r="D484" s="571"/>
      <c r="E484" s="571"/>
      <c r="F484" s="571"/>
      <c r="G484" s="571"/>
      <c r="H484" s="571"/>
      <c r="I484" s="166" t="s">
        <v>211</v>
      </c>
      <c r="J484" s="166" t="s">
        <v>211</v>
      </c>
      <c r="K484" s="166" t="s">
        <v>211</v>
      </c>
      <c r="L484" s="166" t="s">
        <v>211</v>
      </c>
      <c r="M484" s="166" t="s">
        <v>211</v>
      </c>
      <c r="N484" s="166" t="s">
        <v>211</v>
      </c>
      <c r="O484" s="166" t="s">
        <v>211</v>
      </c>
    </row>
    <row r="485" spans="1:17" s="453" customFormat="1" ht="14" x14ac:dyDescent="0.2">
      <c r="B485" s="112">
        <v>4</v>
      </c>
      <c r="C485" s="571" t="s">
        <v>1595</v>
      </c>
      <c r="D485" s="571"/>
      <c r="E485" s="571"/>
      <c r="F485" s="571"/>
      <c r="G485" s="571"/>
      <c r="H485" s="571"/>
      <c r="I485" s="166" t="s">
        <v>211</v>
      </c>
      <c r="J485" s="166" t="s">
        <v>211</v>
      </c>
      <c r="K485" s="166" t="s">
        <v>211</v>
      </c>
      <c r="L485" s="166" t="s">
        <v>211</v>
      </c>
      <c r="M485" s="166" t="s">
        <v>211</v>
      </c>
      <c r="N485" s="166" t="s">
        <v>211</v>
      </c>
      <c r="O485" s="166" t="s">
        <v>211</v>
      </c>
    </row>
    <row r="486" spans="1:17" s="453" customFormat="1" ht="14" x14ac:dyDescent="0.2">
      <c r="B486" s="112">
        <v>5</v>
      </c>
      <c r="C486" s="571" t="s">
        <v>1684</v>
      </c>
      <c r="D486" s="571"/>
      <c r="E486" s="571"/>
      <c r="F486" s="571"/>
      <c r="G486" s="571"/>
      <c r="H486" s="571"/>
      <c r="I486" s="166" t="s">
        <v>211</v>
      </c>
      <c r="J486" s="166" t="s">
        <v>211</v>
      </c>
      <c r="K486" s="166" t="s">
        <v>211</v>
      </c>
      <c r="L486" s="166" t="s">
        <v>211</v>
      </c>
      <c r="M486" s="166" t="s">
        <v>211</v>
      </c>
      <c r="N486" s="166" t="s">
        <v>211</v>
      </c>
      <c r="O486" s="166" t="s">
        <v>211</v>
      </c>
    </row>
    <row r="487" spans="1:17" s="453" customFormat="1" ht="14" x14ac:dyDescent="0.2">
      <c r="B487" s="112" t="s">
        <v>273</v>
      </c>
      <c r="C487" s="571" t="s">
        <v>1685</v>
      </c>
      <c r="D487" s="571"/>
      <c r="E487" s="571"/>
      <c r="F487" s="571"/>
      <c r="G487" s="571"/>
      <c r="H487" s="571"/>
      <c r="I487" s="166" t="s">
        <v>211</v>
      </c>
      <c r="J487" s="166" t="s">
        <v>211</v>
      </c>
      <c r="K487" s="166" t="s">
        <v>211</v>
      </c>
      <c r="L487" s="166" t="s">
        <v>211</v>
      </c>
      <c r="M487" s="166" t="s">
        <v>211</v>
      </c>
      <c r="N487" s="166" t="s">
        <v>211</v>
      </c>
      <c r="O487" s="166" t="s">
        <v>211</v>
      </c>
    </row>
    <row r="488" spans="1:17" s="453" customFormat="1" ht="14" x14ac:dyDescent="0.2">
      <c r="B488" s="112" t="s">
        <v>277</v>
      </c>
      <c r="C488" s="571" t="s">
        <v>1621</v>
      </c>
      <c r="D488" s="571"/>
      <c r="E488" s="571"/>
      <c r="F488" s="571"/>
      <c r="G488" s="571"/>
      <c r="H488" s="571"/>
      <c r="I488" s="166" t="s">
        <v>211</v>
      </c>
      <c r="J488" s="166" t="s">
        <v>211</v>
      </c>
      <c r="K488" s="166" t="s">
        <v>211</v>
      </c>
      <c r="L488" s="166" t="s">
        <v>211</v>
      </c>
      <c r="M488" s="166" t="s">
        <v>211</v>
      </c>
      <c r="N488" s="166" t="s">
        <v>211</v>
      </c>
      <c r="O488" s="166" t="s">
        <v>211</v>
      </c>
    </row>
    <row r="489" spans="1:17" s="453" customFormat="1" ht="14" x14ac:dyDescent="0.2">
      <c r="B489" s="112">
        <v>6</v>
      </c>
      <c r="C489" s="571" t="s">
        <v>1615</v>
      </c>
      <c r="D489" s="571"/>
      <c r="E489" s="571"/>
      <c r="F489" s="571"/>
      <c r="G489" s="571"/>
      <c r="H489" s="571"/>
      <c r="I489" s="166" t="s">
        <v>211</v>
      </c>
      <c r="J489" s="166" t="s">
        <v>211</v>
      </c>
      <c r="K489" s="166" t="s">
        <v>211</v>
      </c>
      <c r="L489" s="166" t="s">
        <v>211</v>
      </c>
      <c r="M489" s="166" t="s">
        <v>211</v>
      </c>
      <c r="N489" s="166" t="s">
        <v>211</v>
      </c>
      <c r="O489" s="166" t="s">
        <v>211</v>
      </c>
    </row>
    <row r="490" spans="1:17" s="453" customFormat="1" ht="14" x14ac:dyDescent="0.2">
      <c r="B490" s="112">
        <v>7</v>
      </c>
      <c r="C490" s="571" t="s">
        <v>1686</v>
      </c>
      <c r="D490" s="571"/>
      <c r="E490" s="571"/>
      <c r="F490" s="571"/>
      <c r="G490" s="571"/>
      <c r="H490" s="571"/>
      <c r="I490" s="166" t="s">
        <v>211</v>
      </c>
      <c r="J490" s="166" t="s">
        <v>211</v>
      </c>
      <c r="K490" s="166" t="s">
        <v>211</v>
      </c>
      <c r="L490" s="166" t="s">
        <v>211</v>
      </c>
      <c r="M490" s="166" t="s">
        <v>211</v>
      </c>
      <c r="N490" s="166" t="s">
        <v>211</v>
      </c>
      <c r="O490" s="166" t="s">
        <v>211</v>
      </c>
    </row>
    <row r="491" spans="1:17" s="453" customFormat="1" ht="14" x14ac:dyDescent="0.2">
      <c r="B491" s="112">
        <v>8</v>
      </c>
      <c r="C491" s="573" t="s">
        <v>1600</v>
      </c>
      <c r="D491" s="573"/>
      <c r="E491" s="573"/>
      <c r="F491" s="573"/>
      <c r="G491" s="573"/>
      <c r="H491" s="573"/>
      <c r="I491" s="98" t="s">
        <v>211</v>
      </c>
      <c r="J491" s="106" t="s">
        <v>214</v>
      </c>
      <c r="K491" s="98" t="s">
        <v>211</v>
      </c>
      <c r="L491" s="106" t="s">
        <v>213</v>
      </c>
      <c r="M491" s="213">
        <f>COUNTIF(K491,Data!$A$1)</f>
        <v>0</v>
      </c>
      <c r="N491" s="213"/>
      <c r="O491" s="107"/>
      <c r="P491" s="107">
        <f>SUM(K492*4)</f>
        <v>0</v>
      </c>
      <c r="Q491" s="107"/>
    </row>
    <row r="492" spans="1:17" s="453" customFormat="1" thickBot="1" x14ac:dyDescent="0.25">
      <c r="F492" s="130"/>
      <c r="G492" s="130"/>
      <c r="I492" s="107">
        <f>COUNTIF(I482:I491,Data!$A$1)</f>
        <v>0</v>
      </c>
      <c r="J492" s="107">
        <f>COUNTIF(J482:J490,Data!$A$1)</f>
        <v>0</v>
      </c>
      <c r="K492" s="107">
        <f>COUNTIF(K482:K490,Data!$A$1)</f>
        <v>0</v>
      </c>
      <c r="L492" s="107">
        <f>COUNTIF(L482:L490,Data!$A$1)</f>
        <v>0</v>
      </c>
      <c r="M492" s="107">
        <f>COUNTIF(M482:M490,Data!$A$1)</f>
        <v>0</v>
      </c>
      <c r="N492" s="107">
        <f>COUNTIF(N482:N490,Data!$A$1)</f>
        <v>0</v>
      </c>
      <c r="O492" s="107">
        <f>COUNTIF(O482:O490,Data!$A$1)</f>
        <v>0</v>
      </c>
      <c r="P492" s="107">
        <f>SUM(I492:K492,M491,M492:N492)</f>
        <v>0</v>
      </c>
      <c r="Q492" s="107"/>
    </row>
    <row r="493" spans="1:17" s="108" customFormat="1" ht="17" thickBot="1" x14ac:dyDescent="0.25">
      <c r="G493" s="459" t="s">
        <v>1584</v>
      </c>
      <c r="H493" s="459"/>
      <c r="I493" s="459"/>
      <c r="J493" s="460"/>
      <c r="K493" s="574">
        <f>SUM(K492,N493)</f>
        <v>0</v>
      </c>
      <c r="L493" s="575"/>
      <c r="N493" s="109">
        <f>SUM(O493*5)</f>
        <v>0</v>
      </c>
      <c r="O493" s="114">
        <f>SUM(J492,M491)</f>
        <v>0</v>
      </c>
      <c r="P493" s="116">
        <f>SUM(P492*5)</f>
        <v>0</v>
      </c>
      <c r="Q493" s="116"/>
    </row>
    <row r="494" spans="1:17" s="453" customFormat="1" ht="14" x14ac:dyDescent="0.2">
      <c r="B494" s="463"/>
      <c r="C494" s="463"/>
      <c r="D494" s="443"/>
      <c r="F494" s="463"/>
      <c r="G494" s="112"/>
      <c r="H494" s="463"/>
    </row>
    <row r="495" spans="1:17" s="453" customFormat="1" ht="14" x14ac:dyDescent="0.2">
      <c r="A495" s="471">
        <v>21</v>
      </c>
      <c r="B495" s="112">
        <v>1</v>
      </c>
      <c r="C495" s="571" t="s">
        <v>1704</v>
      </c>
      <c r="D495" s="571"/>
      <c r="E495" s="571"/>
      <c r="F495" s="571"/>
      <c r="G495" s="571"/>
      <c r="H495" s="571"/>
      <c r="I495" s="166" t="s">
        <v>211</v>
      </c>
      <c r="J495" s="166" t="s">
        <v>211</v>
      </c>
      <c r="K495" s="166" t="s">
        <v>211</v>
      </c>
      <c r="L495" s="166" t="s">
        <v>211</v>
      </c>
      <c r="M495" s="166" t="s">
        <v>211</v>
      </c>
      <c r="N495" s="166" t="s">
        <v>211</v>
      </c>
      <c r="O495" s="166" t="s">
        <v>211</v>
      </c>
    </row>
    <row r="496" spans="1:17" s="453" customFormat="1" ht="14" x14ac:dyDescent="0.2">
      <c r="B496" s="112">
        <v>2</v>
      </c>
      <c r="C496" s="609" t="s">
        <v>1595</v>
      </c>
      <c r="D496" s="609"/>
      <c r="E496" s="609"/>
      <c r="F496" s="609"/>
      <c r="G496" s="609"/>
      <c r="H496" s="609"/>
      <c r="I496" s="166" t="s">
        <v>211</v>
      </c>
      <c r="J496" s="166" t="s">
        <v>211</v>
      </c>
      <c r="K496" s="166" t="s">
        <v>211</v>
      </c>
      <c r="L496" s="166" t="s">
        <v>211</v>
      </c>
      <c r="M496" s="166" t="s">
        <v>211</v>
      </c>
      <c r="N496" s="166" t="s">
        <v>211</v>
      </c>
      <c r="O496" s="166" t="s">
        <v>211</v>
      </c>
    </row>
    <row r="497" spans="1:17" s="453" customFormat="1" ht="14" x14ac:dyDescent="0.2">
      <c r="B497" s="112">
        <v>3</v>
      </c>
      <c r="C497" s="571" t="s">
        <v>1670</v>
      </c>
      <c r="D497" s="571"/>
      <c r="E497" s="571"/>
      <c r="F497" s="571"/>
      <c r="G497" s="571"/>
      <c r="H497" s="571"/>
      <c r="I497" s="166" t="s">
        <v>211</v>
      </c>
      <c r="J497" s="166" t="s">
        <v>211</v>
      </c>
      <c r="K497" s="166" t="s">
        <v>211</v>
      </c>
      <c r="L497" s="166" t="s">
        <v>211</v>
      </c>
      <c r="M497" s="166" t="s">
        <v>211</v>
      </c>
      <c r="N497" s="166" t="s">
        <v>211</v>
      </c>
      <c r="O497" s="166" t="s">
        <v>211</v>
      </c>
    </row>
    <row r="498" spans="1:17" s="453" customFormat="1" ht="14" x14ac:dyDescent="0.2">
      <c r="B498" s="112">
        <v>4</v>
      </c>
      <c r="C498" s="571" t="s">
        <v>1705</v>
      </c>
      <c r="D498" s="571"/>
      <c r="E498" s="571"/>
      <c r="F498" s="571"/>
      <c r="G498" s="571"/>
      <c r="H498" s="571"/>
      <c r="I498" s="166" t="s">
        <v>211</v>
      </c>
      <c r="J498" s="166" t="s">
        <v>211</v>
      </c>
      <c r="K498" s="166" t="s">
        <v>211</v>
      </c>
      <c r="L498" s="166" t="s">
        <v>211</v>
      </c>
      <c r="M498" s="166" t="s">
        <v>211</v>
      </c>
      <c r="N498" s="166" t="s">
        <v>211</v>
      </c>
      <c r="O498" s="166" t="s">
        <v>211</v>
      </c>
    </row>
    <row r="499" spans="1:17" s="453" customFormat="1" ht="14" x14ac:dyDescent="0.2">
      <c r="B499" s="112" t="s">
        <v>108</v>
      </c>
      <c r="C499" s="571" t="s">
        <v>1706</v>
      </c>
      <c r="D499" s="571"/>
      <c r="E499" s="571"/>
      <c r="F499" s="571"/>
      <c r="G499" s="571"/>
      <c r="H499" s="571"/>
      <c r="I499" s="166" t="s">
        <v>211</v>
      </c>
      <c r="J499" s="166" t="s">
        <v>211</v>
      </c>
      <c r="K499" s="166" t="s">
        <v>211</v>
      </c>
      <c r="L499" s="166" t="s">
        <v>211</v>
      </c>
      <c r="M499" s="166" t="s">
        <v>211</v>
      </c>
      <c r="N499" s="166" t="s">
        <v>211</v>
      </c>
      <c r="O499" s="166" t="s">
        <v>211</v>
      </c>
    </row>
    <row r="500" spans="1:17" s="453" customFormat="1" ht="14" x14ac:dyDescent="0.2">
      <c r="B500" s="112">
        <v>5</v>
      </c>
      <c r="C500" s="571" t="s">
        <v>1707</v>
      </c>
      <c r="D500" s="571"/>
      <c r="E500" s="571"/>
      <c r="F500" s="571"/>
      <c r="G500" s="571"/>
      <c r="H500" s="571"/>
      <c r="I500" s="166" t="s">
        <v>211</v>
      </c>
      <c r="J500" s="166" t="s">
        <v>211</v>
      </c>
      <c r="K500" s="166" t="s">
        <v>211</v>
      </c>
      <c r="L500" s="166" t="s">
        <v>211</v>
      </c>
      <c r="M500" s="166" t="s">
        <v>211</v>
      </c>
      <c r="N500" s="166" t="s">
        <v>211</v>
      </c>
      <c r="O500" s="166" t="s">
        <v>211</v>
      </c>
    </row>
    <row r="501" spans="1:17" s="453" customFormat="1" ht="14" x14ac:dyDescent="0.2">
      <c r="B501" s="112">
        <v>6</v>
      </c>
      <c r="C501" s="573" t="s">
        <v>1600</v>
      </c>
      <c r="D501" s="573"/>
      <c r="E501" s="573"/>
      <c r="F501" s="573"/>
      <c r="G501" s="573"/>
      <c r="H501" s="573"/>
      <c r="I501" s="98" t="s">
        <v>211</v>
      </c>
      <c r="J501" s="106" t="s">
        <v>214</v>
      </c>
      <c r="K501" s="98" t="s">
        <v>211</v>
      </c>
      <c r="L501" s="106" t="s">
        <v>213</v>
      </c>
      <c r="M501" s="213">
        <f>COUNTIF(K501,Data!$A$1)</f>
        <v>0</v>
      </c>
      <c r="N501" s="213"/>
      <c r="O501" s="107"/>
      <c r="P501" s="107">
        <f>SUM(K502*4)</f>
        <v>0</v>
      </c>
      <c r="Q501" s="107"/>
    </row>
    <row r="502" spans="1:17" s="453" customFormat="1" thickBot="1" x14ac:dyDescent="0.25">
      <c r="F502" s="130"/>
      <c r="G502" s="130"/>
      <c r="H502" s="107"/>
      <c r="I502" s="107">
        <f>COUNTIF(I495:I501,Data!$A$1)</f>
        <v>0</v>
      </c>
      <c r="J502" s="107">
        <f>COUNTIF(J495:J500,Data!$A$1)</f>
        <v>0</v>
      </c>
      <c r="K502" s="107">
        <f>COUNTIF(K495:K500,Data!$A$1)</f>
        <v>0</v>
      </c>
      <c r="L502" s="107">
        <f>COUNTIF(L495:L500,Data!$A$1)</f>
        <v>0</v>
      </c>
      <c r="M502" s="107">
        <f>COUNTIF(M495:M500,Data!$A$1)</f>
        <v>0</v>
      </c>
      <c r="N502" s="107">
        <f>COUNTIF(N495:N500,Data!$A$1)</f>
        <v>0</v>
      </c>
      <c r="O502" s="107">
        <f>COUNTIF(O495:O500,Data!$A$1)</f>
        <v>0</v>
      </c>
      <c r="P502" s="107">
        <f>SUM(I502:K502,M501,M502:N502)</f>
        <v>0</v>
      </c>
      <c r="Q502" s="107"/>
    </row>
    <row r="503" spans="1:17" s="108" customFormat="1" ht="17" thickBot="1" x14ac:dyDescent="0.25">
      <c r="G503" s="459" t="s">
        <v>1584</v>
      </c>
      <c r="H503" s="459"/>
      <c r="I503" s="459"/>
      <c r="J503" s="460"/>
      <c r="K503" s="725">
        <f>SUM(O503,K502)</f>
        <v>0</v>
      </c>
      <c r="L503" s="726"/>
      <c r="M503" s="116"/>
      <c r="N503" s="109">
        <f>SUM(O503*5)</f>
        <v>0</v>
      </c>
      <c r="O503" s="114">
        <f>SUM(J502,M501)</f>
        <v>0</v>
      </c>
      <c r="P503" s="116">
        <f>SUM(P502*5)</f>
        <v>0</v>
      </c>
    </row>
    <row r="504" spans="1:17" s="453" customFormat="1" ht="14" x14ac:dyDescent="0.2">
      <c r="B504" s="463"/>
      <c r="C504" s="463"/>
      <c r="D504" s="443"/>
      <c r="F504" s="463"/>
      <c r="G504" s="112"/>
      <c r="H504" s="463"/>
    </row>
    <row r="505" spans="1:17" s="453" customFormat="1" ht="14" x14ac:dyDescent="0.2">
      <c r="A505" s="471">
        <v>23</v>
      </c>
      <c r="B505" s="112">
        <v>1</v>
      </c>
      <c r="C505" s="571" t="s">
        <v>1714</v>
      </c>
      <c r="D505" s="571"/>
      <c r="E505" s="571"/>
      <c r="F505" s="571"/>
      <c r="G505" s="571"/>
      <c r="H505" s="571"/>
      <c r="I505" s="166" t="s">
        <v>211</v>
      </c>
      <c r="J505" s="166" t="s">
        <v>211</v>
      </c>
      <c r="K505" s="166" t="s">
        <v>211</v>
      </c>
      <c r="L505" s="166" t="s">
        <v>211</v>
      </c>
      <c r="M505" s="166" t="s">
        <v>211</v>
      </c>
      <c r="N505" s="166" t="s">
        <v>211</v>
      </c>
      <c r="O505" s="166" t="s">
        <v>211</v>
      </c>
    </row>
    <row r="506" spans="1:17" s="453" customFormat="1" ht="14" x14ac:dyDescent="0.2">
      <c r="B506" s="112">
        <v>2</v>
      </c>
      <c r="C506" s="571" t="s">
        <v>1715</v>
      </c>
      <c r="D506" s="571"/>
      <c r="E506" s="571"/>
      <c r="F506" s="571"/>
      <c r="G506" s="571"/>
      <c r="H506" s="571"/>
      <c r="I506" s="166" t="s">
        <v>211</v>
      </c>
      <c r="J506" s="166" t="s">
        <v>211</v>
      </c>
      <c r="K506" s="166" t="s">
        <v>211</v>
      </c>
      <c r="L506" s="166" t="s">
        <v>211</v>
      </c>
      <c r="M506" s="166" t="s">
        <v>211</v>
      </c>
      <c r="N506" s="166" t="s">
        <v>211</v>
      </c>
      <c r="O506" s="166" t="s">
        <v>211</v>
      </c>
    </row>
    <row r="507" spans="1:17" s="453" customFormat="1" ht="14" x14ac:dyDescent="0.2">
      <c r="B507" s="112">
        <v>3</v>
      </c>
      <c r="C507" s="571" t="s">
        <v>1716</v>
      </c>
      <c r="D507" s="571"/>
      <c r="E507" s="571"/>
      <c r="F507" s="571"/>
      <c r="G507" s="571"/>
      <c r="H507" s="571"/>
      <c r="I507" s="166" t="s">
        <v>211</v>
      </c>
      <c r="J507" s="166" t="s">
        <v>211</v>
      </c>
      <c r="K507" s="166" t="s">
        <v>211</v>
      </c>
      <c r="L507" s="166" t="s">
        <v>211</v>
      </c>
      <c r="M507" s="166" t="s">
        <v>211</v>
      </c>
      <c r="N507" s="166" t="s">
        <v>211</v>
      </c>
      <c r="O507" s="166" t="s">
        <v>211</v>
      </c>
    </row>
    <row r="508" spans="1:17" s="453" customFormat="1" ht="14" x14ac:dyDescent="0.2">
      <c r="B508" s="112">
        <v>4</v>
      </c>
      <c r="C508" s="571" t="s">
        <v>1630</v>
      </c>
      <c r="D508" s="571"/>
      <c r="E508" s="571"/>
      <c r="F508" s="571"/>
      <c r="G508" s="571"/>
      <c r="H508" s="571"/>
      <c r="I508" s="166" t="s">
        <v>211</v>
      </c>
      <c r="J508" s="166" t="s">
        <v>211</v>
      </c>
      <c r="K508" s="166" t="s">
        <v>211</v>
      </c>
      <c r="L508" s="166" t="s">
        <v>211</v>
      </c>
      <c r="M508" s="166" t="s">
        <v>211</v>
      </c>
      <c r="N508" s="166" t="s">
        <v>211</v>
      </c>
      <c r="O508" s="166" t="s">
        <v>211</v>
      </c>
    </row>
    <row r="509" spans="1:17" s="453" customFormat="1" ht="14" x14ac:dyDescent="0.2">
      <c r="B509" s="112" t="s">
        <v>108</v>
      </c>
      <c r="C509" s="571" t="s">
        <v>1652</v>
      </c>
      <c r="D509" s="571"/>
      <c r="E509" s="571"/>
      <c r="F509" s="571"/>
      <c r="G509" s="571"/>
      <c r="H509" s="571"/>
      <c r="I509" s="166" t="s">
        <v>211</v>
      </c>
      <c r="J509" s="166" t="s">
        <v>211</v>
      </c>
      <c r="K509" s="166" t="s">
        <v>211</v>
      </c>
      <c r="L509" s="166" t="s">
        <v>211</v>
      </c>
      <c r="M509" s="166" t="s">
        <v>211</v>
      </c>
      <c r="N509" s="166" t="s">
        <v>211</v>
      </c>
      <c r="O509" s="166" t="s">
        <v>211</v>
      </c>
    </row>
    <row r="510" spans="1:17" s="453" customFormat="1" ht="14" x14ac:dyDescent="0.2">
      <c r="B510" s="112">
        <v>5</v>
      </c>
      <c r="C510" s="609" t="s">
        <v>1595</v>
      </c>
      <c r="D510" s="609"/>
      <c r="E510" s="609"/>
      <c r="F510" s="609"/>
      <c r="G510" s="609"/>
      <c r="H510" s="609"/>
      <c r="I510" s="166" t="s">
        <v>211</v>
      </c>
      <c r="J510" s="166" t="s">
        <v>211</v>
      </c>
      <c r="K510" s="166" t="s">
        <v>211</v>
      </c>
      <c r="L510" s="166" t="s">
        <v>211</v>
      </c>
      <c r="M510" s="166" t="s">
        <v>211</v>
      </c>
      <c r="N510" s="166" t="s">
        <v>211</v>
      </c>
      <c r="O510" s="166" t="s">
        <v>211</v>
      </c>
    </row>
    <row r="511" spans="1:17" s="453" customFormat="1" ht="14" x14ac:dyDescent="0.2">
      <c r="B511" s="112">
        <v>6</v>
      </c>
      <c r="C511" s="571" t="s">
        <v>1656</v>
      </c>
      <c r="D511" s="571"/>
      <c r="E511" s="571"/>
      <c r="F511" s="571"/>
      <c r="G511" s="571"/>
      <c r="H511" s="571"/>
      <c r="I511" s="166" t="s">
        <v>211</v>
      </c>
      <c r="J511" s="166" t="s">
        <v>211</v>
      </c>
      <c r="K511" s="166" t="s">
        <v>211</v>
      </c>
      <c r="L511" s="166" t="s">
        <v>211</v>
      </c>
      <c r="M511" s="166" t="s">
        <v>211</v>
      </c>
      <c r="N511" s="166" t="s">
        <v>211</v>
      </c>
      <c r="O511" s="166" t="s">
        <v>211</v>
      </c>
    </row>
    <row r="512" spans="1:17" s="453" customFormat="1" ht="14" x14ac:dyDescent="0.2">
      <c r="B512" s="112">
        <v>7</v>
      </c>
      <c r="C512" s="571" t="s">
        <v>1717</v>
      </c>
      <c r="D512" s="571"/>
      <c r="E512" s="571"/>
      <c r="F512" s="571"/>
      <c r="G512" s="571"/>
      <c r="H512" s="571"/>
      <c r="I512" s="166" t="s">
        <v>211</v>
      </c>
      <c r="J512" s="166" t="s">
        <v>211</v>
      </c>
      <c r="K512" s="166" t="s">
        <v>211</v>
      </c>
      <c r="L512" s="166" t="s">
        <v>211</v>
      </c>
      <c r="M512" s="166" t="s">
        <v>211</v>
      </c>
      <c r="N512" s="166" t="s">
        <v>211</v>
      </c>
      <c r="O512" s="166" t="s">
        <v>211</v>
      </c>
    </row>
    <row r="513" spans="1:17" s="453" customFormat="1" ht="14" x14ac:dyDescent="0.2">
      <c r="B513" s="112">
        <v>8</v>
      </c>
      <c r="C513" s="571" t="s">
        <v>1718</v>
      </c>
      <c r="D513" s="571"/>
      <c r="E513" s="571"/>
      <c r="F513" s="571"/>
      <c r="G513" s="571"/>
      <c r="H513" s="571"/>
      <c r="I513" s="166" t="s">
        <v>211</v>
      </c>
      <c r="J513" s="166" t="s">
        <v>211</v>
      </c>
      <c r="K513" s="166" t="s">
        <v>211</v>
      </c>
      <c r="L513" s="166" t="s">
        <v>211</v>
      </c>
      <c r="M513" s="166" t="s">
        <v>211</v>
      </c>
      <c r="N513" s="166" t="s">
        <v>211</v>
      </c>
      <c r="O513" s="166" t="s">
        <v>211</v>
      </c>
    </row>
    <row r="514" spans="1:17" s="453" customFormat="1" ht="14" x14ac:dyDescent="0.2">
      <c r="B514" s="112">
        <v>9</v>
      </c>
      <c r="C514" s="571" t="s">
        <v>265</v>
      </c>
      <c r="D514" s="571"/>
      <c r="E514" s="571"/>
      <c r="F514" s="571"/>
      <c r="G514" s="571"/>
      <c r="H514" s="571"/>
      <c r="I514" s="98" t="s">
        <v>211</v>
      </c>
      <c r="J514" s="106" t="s">
        <v>214</v>
      </c>
      <c r="K514" s="98" t="s">
        <v>211</v>
      </c>
      <c r="L514" s="106" t="s">
        <v>213</v>
      </c>
      <c r="M514" s="214">
        <f>COUNTIF(K514,Data!$A$1)</f>
        <v>0</v>
      </c>
      <c r="N514" s="106"/>
      <c r="P514" s="107">
        <f>SUM(K515*4)</f>
        <v>0</v>
      </c>
    </row>
    <row r="515" spans="1:17" s="453" customFormat="1" thickBot="1" x14ac:dyDescent="0.25">
      <c r="D515" s="453" t="s">
        <v>293</v>
      </c>
      <c r="F515" s="131" t="s">
        <v>292</v>
      </c>
      <c r="I515" s="107">
        <f>COUNTIF(I505:I514,Data!$A$1)</f>
        <v>0</v>
      </c>
      <c r="J515" s="107">
        <f>COUNTIF(J505:J513,Data!$A$1)</f>
        <v>0</v>
      </c>
      <c r="K515" s="107">
        <f>COUNTIF(K505:K513,Data!$A$1)</f>
        <v>0</v>
      </c>
      <c r="L515" s="107">
        <f>COUNTIF(L505:L513,Data!$A$1)</f>
        <v>0</v>
      </c>
      <c r="M515" s="107">
        <f>COUNTIF(M505:M513,Data!$A$1)</f>
        <v>0</v>
      </c>
      <c r="N515" s="107">
        <f>COUNTIF(N505:N513,Data!$A$1)</f>
        <v>0</v>
      </c>
      <c r="O515" s="107">
        <f>COUNTIF(O505:O513,Data!$A$1)</f>
        <v>0</v>
      </c>
      <c r="P515" s="107">
        <f>SUM(I515:K515,M514,M515:N515)</f>
        <v>0</v>
      </c>
    </row>
    <row r="516" spans="1:17" s="108" customFormat="1" ht="17" thickBot="1" x14ac:dyDescent="0.25">
      <c r="G516" s="459" t="s">
        <v>1584</v>
      </c>
      <c r="H516" s="459"/>
      <c r="I516" s="459"/>
      <c r="J516" s="460"/>
      <c r="K516" s="725">
        <f>SUM(K515,N516)</f>
        <v>0</v>
      </c>
      <c r="L516" s="726"/>
      <c r="M516" s="116"/>
      <c r="N516" s="109">
        <f>SUM(O516*5)</f>
        <v>0</v>
      </c>
      <c r="O516" s="114">
        <f>SUM(J515,M514)</f>
        <v>0</v>
      </c>
      <c r="P516" s="116">
        <f>SUM(P515*5)</f>
        <v>0</v>
      </c>
    </row>
    <row r="517" spans="1:17" s="453" customFormat="1" ht="14" x14ac:dyDescent="0.2">
      <c r="B517" s="463"/>
      <c r="C517" s="463"/>
      <c r="D517" s="443"/>
      <c r="F517" s="463"/>
      <c r="G517" s="112"/>
      <c r="H517" s="463"/>
    </row>
    <row r="518" spans="1:17" s="453" customFormat="1" ht="14" x14ac:dyDescent="0.2">
      <c r="A518" s="471">
        <v>24</v>
      </c>
      <c r="B518" s="112">
        <v>1</v>
      </c>
      <c r="C518" s="571" t="s">
        <v>1719</v>
      </c>
      <c r="D518" s="571"/>
      <c r="E518" s="571"/>
      <c r="F518" s="571"/>
      <c r="G518" s="571"/>
      <c r="H518" s="571"/>
      <c r="I518" s="166" t="s">
        <v>211</v>
      </c>
      <c r="J518" s="166" t="s">
        <v>211</v>
      </c>
      <c r="K518" s="166" t="s">
        <v>211</v>
      </c>
      <c r="L518" s="166" t="s">
        <v>211</v>
      </c>
      <c r="M518" s="166" t="s">
        <v>211</v>
      </c>
      <c r="N518" s="166" t="s">
        <v>211</v>
      </c>
      <c r="O518" s="166" t="s">
        <v>211</v>
      </c>
    </row>
    <row r="519" spans="1:17" s="453" customFormat="1" ht="12.75" customHeight="1" x14ac:dyDescent="0.2">
      <c r="B519" s="112">
        <v>2</v>
      </c>
      <c r="C519" s="664" t="s">
        <v>1720</v>
      </c>
      <c r="D519" s="664"/>
      <c r="E519" s="664"/>
      <c r="F519" s="664"/>
      <c r="G519" s="664"/>
      <c r="H519" s="664"/>
      <c r="I519" s="166" t="s">
        <v>211</v>
      </c>
      <c r="J519" s="166" t="s">
        <v>211</v>
      </c>
      <c r="K519" s="166" t="s">
        <v>211</v>
      </c>
      <c r="L519" s="166" t="s">
        <v>211</v>
      </c>
      <c r="M519" s="166" t="s">
        <v>211</v>
      </c>
      <c r="N519" s="166" t="s">
        <v>211</v>
      </c>
      <c r="O519" s="166" t="s">
        <v>211</v>
      </c>
    </row>
    <row r="520" spans="1:17" s="453" customFormat="1" ht="14" x14ac:dyDescent="0.2">
      <c r="B520" s="112">
        <v>3</v>
      </c>
      <c r="C520" s="571" t="s">
        <v>1721</v>
      </c>
      <c r="D520" s="571"/>
      <c r="E520" s="571"/>
      <c r="F520" s="571"/>
      <c r="G520" s="571"/>
      <c r="H520" s="571"/>
      <c r="I520" s="166" t="s">
        <v>211</v>
      </c>
      <c r="J520" s="166" t="s">
        <v>211</v>
      </c>
      <c r="K520" s="166" t="s">
        <v>211</v>
      </c>
      <c r="L520" s="166" t="s">
        <v>211</v>
      </c>
      <c r="M520" s="166" t="s">
        <v>211</v>
      </c>
      <c r="N520" s="166" t="s">
        <v>211</v>
      </c>
      <c r="O520" s="166" t="s">
        <v>211</v>
      </c>
    </row>
    <row r="521" spans="1:17" s="453" customFormat="1" ht="14" x14ac:dyDescent="0.2">
      <c r="B521" s="112" t="s">
        <v>17</v>
      </c>
      <c r="C521" s="571" t="s">
        <v>1722</v>
      </c>
      <c r="D521" s="571"/>
      <c r="E521" s="571"/>
      <c r="F521" s="571"/>
      <c r="G521" s="571"/>
      <c r="H521" s="571"/>
      <c r="I521" s="166" t="s">
        <v>211</v>
      </c>
      <c r="J521" s="166" t="s">
        <v>211</v>
      </c>
      <c r="K521" s="166" t="s">
        <v>211</v>
      </c>
      <c r="L521" s="166" t="s">
        <v>211</v>
      </c>
      <c r="M521" s="166" t="s">
        <v>211</v>
      </c>
      <c r="N521" s="166" t="s">
        <v>211</v>
      </c>
      <c r="O521" s="166" t="s">
        <v>211</v>
      </c>
    </row>
    <row r="522" spans="1:17" s="453" customFormat="1" ht="12.75" customHeight="1" x14ac:dyDescent="0.2">
      <c r="B522" s="112" t="s">
        <v>18</v>
      </c>
      <c r="C522" s="664" t="s">
        <v>1723</v>
      </c>
      <c r="D522" s="664"/>
      <c r="E522" s="664"/>
      <c r="F522" s="664"/>
      <c r="G522" s="664"/>
      <c r="H522" s="664"/>
      <c r="I522" s="166" t="s">
        <v>211</v>
      </c>
      <c r="J522" s="166" t="s">
        <v>211</v>
      </c>
      <c r="K522" s="166" t="s">
        <v>211</v>
      </c>
      <c r="L522" s="166" t="s">
        <v>211</v>
      </c>
      <c r="M522" s="166" t="s">
        <v>211</v>
      </c>
      <c r="N522" s="166" t="s">
        <v>211</v>
      </c>
      <c r="O522" s="166" t="s">
        <v>211</v>
      </c>
    </row>
    <row r="523" spans="1:17" s="453" customFormat="1" ht="14" x14ac:dyDescent="0.2">
      <c r="B523" s="112">
        <v>4</v>
      </c>
      <c r="C523" s="571" t="s">
        <v>1724</v>
      </c>
      <c r="D523" s="571"/>
      <c r="E523" s="571"/>
      <c r="F523" s="571"/>
      <c r="G523" s="571"/>
      <c r="H523" s="571"/>
      <c r="I523" s="166" t="s">
        <v>211</v>
      </c>
      <c r="J523" s="166" t="s">
        <v>211</v>
      </c>
      <c r="K523" s="166" t="s">
        <v>211</v>
      </c>
      <c r="L523" s="166" t="s">
        <v>211</v>
      </c>
      <c r="M523" s="166" t="s">
        <v>211</v>
      </c>
      <c r="N523" s="166" t="s">
        <v>211</v>
      </c>
      <c r="O523" s="166" t="s">
        <v>211</v>
      </c>
    </row>
    <row r="524" spans="1:17" s="453" customFormat="1" ht="14" x14ac:dyDescent="0.2">
      <c r="B524" s="112">
        <v>5</v>
      </c>
      <c r="C524" s="571" t="s">
        <v>1725</v>
      </c>
      <c r="D524" s="571"/>
      <c r="E524" s="571"/>
      <c r="F524" s="571"/>
      <c r="G524" s="571"/>
      <c r="H524" s="571"/>
      <c r="I524" s="166" t="s">
        <v>211</v>
      </c>
      <c r="J524" s="166" t="s">
        <v>211</v>
      </c>
      <c r="K524" s="166" t="s">
        <v>211</v>
      </c>
      <c r="L524" s="166" t="s">
        <v>211</v>
      </c>
      <c r="M524" s="166" t="s">
        <v>211</v>
      </c>
      <c r="N524" s="166" t="s">
        <v>211</v>
      </c>
      <c r="O524" s="166" t="s">
        <v>211</v>
      </c>
    </row>
    <row r="525" spans="1:17" s="453" customFormat="1" ht="14" x14ac:dyDescent="0.2">
      <c r="B525" s="112">
        <v>6</v>
      </c>
      <c r="C525" s="571" t="s">
        <v>1726</v>
      </c>
      <c r="D525" s="571"/>
      <c r="E525" s="571"/>
      <c r="F525" s="571"/>
      <c r="G525" s="571"/>
      <c r="H525" s="571"/>
      <c r="I525" s="166" t="s">
        <v>211</v>
      </c>
      <c r="J525" s="166" t="s">
        <v>211</v>
      </c>
      <c r="K525" s="166" t="s">
        <v>211</v>
      </c>
      <c r="L525" s="166" t="s">
        <v>211</v>
      </c>
      <c r="M525" s="166" t="s">
        <v>211</v>
      </c>
      <c r="N525" s="166" t="s">
        <v>211</v>
      </c>
      <c r="O525" s="166" t="s">
        <v>211</v>
      </c>
    </row>
    <row r="526" spans="1:17" s="453" customFormat="1" ht="14" x14ac:dyDescent="0.2">
      <c r="B526" s="112">
        <v>7</v>
      </c>
      <c r="C526" s="573" t="s">
        <v>1600</v>
      </c>
      <c r="D526" s="573"/>
      <c r="E526" s="573"/>
      <c r="F526" s="573"/>
      <c r="G526" s="573"/>
      <c r="H526" s="573"/>
      <c r="I526" s="98" t="s">
        <v>211</v>
      </c>
      <c r="J526" s="106" t="s">
        <v>214</v>
      </c>
      <c r="K526" s="98" t="s">
        <v>211</v>
      </c>
      <c r="L526" s="106" t="s">
        <v>213</v>
      </c>
      <c r="M526" s="214">
        <f>COUNTIF(K526,Data!$A$1)</f>
        <v>0</v>
      </c>
      <c r="N526" s="106"/>
      <c r="P526" s="107">
        <f>SUM(K527*4)</f>
        <v>0</v>
      </c>
    </row>
    <row r="527" spans="1:17" s="453" customFormat="1" thickBot="1" x14ac:dyDescent="0.25">
      <c r="H527" s="107"/>
      <c r="I527" s="107">
        <f>COUNTIF(I518:I526,Data!$A$1)</f>
        <v>0</v>
      </c>
      <c r="J527" s="107">
        <f>COUNTIF(J518:J525,Data!$A$1)</f>
        <v>0</v>
      </c>
      <c r="K527" s="107">
        <f>COUNTIF(K518:K525,Data!$A$1)</f>
        <v>0</v>
      </c>
      <c r="L527" s="107">
        <f>COUNTIF(L518:L525,Data!$A$1)</f>
        <v>0</v>
      </c>
      <c r="M527" s="107">
        <f>COUNTIF(M518:M525,Data!$A$1)</f>
        <v>0</v>
      </c>
      <c r="N527" s="107">
        <f>COUNTIF(N518:N525,Data!$A$1)</f>
        <v>0</v>
      </c>
      <c r="O527" s="107">
        <f>COUNTIF(O518:O525,Data!$A$1)</f>
        <v>0</v>
      </c>
      <c r="P527" s="107">
        <f>SUM(I527:K527,M526,M527:N527)</f>
        <v>0</v>
      </c>
      <c r="Q527" s="107"/>
    </row>
    <row r="528" spans="1:17" s="108" customFormat="1" ht="17" thickBot="1" x14ac:dyDescent="0.25">
      <c r="G528" s="459" t="s">
        <v>1584</v>
      </c>
      <c r="H528" s="459"/>
      <c r="I528" s="459"/>
      <c r="J528" s="460"/>
      <c r="K528" s="725">
        <f>SUM(O528,K527)</f>
        <v>0</v>
      </c>
      <c r="L528" s="726"/>
      <c r="M528" s="116"/>
      <c r="N528" s="109">
        <f>SUM(O528*5)</f>
        <v>0</v>
      </c>
      <c r="O528" s="114">
        <f>SUM(J527,M526)</f>
        <v>0</v>
      </c>
      <c r="P528" s="116">
        <f>SUM(P527*5)</f>
        <v>0</v>
      </c>
    </row>
    <row r="529" spans="1:16" s="453" customFormat="1" ht="14" x14ac:dyDescent="0.2">
      <c r="B529" s="463"/>
      <c r="C529" s="463"/>
      <c r="D529" s="443"/>
      <c r="F529" s="463"/>
      <c r="G529" s="112"/>
      <c r="H529" s="463"/>
      <c r="P529" s="107"/>
    </row>
    <row r="530" spans="1:16" s="453" customFormat="1" ht="14" x14ac:dyDescent="0.2">
      <c r="A530" s="471">
        <v>27</v>
      </c>
      <c r="B530" s="453">
        <v>1</v>
      </c>
      <c r="C530" s="571" t="s">
        <v>1735</v>
      </c>
      <c r="D530" s="571"/>
      <c r="E530" s="571"/>
      <c r="F530" s="571"/>
      <c r="G530" s="571"/>
      <c r="H530" s="571"/>
      <c r="I530" s="166" t="s">
        <v>211</v>
      </c>
      <c r="J530" s="166" t="s">
        <v>211</v>
      </c>
      <c r="K530" s="166" t="s">
        <v>211</v>
      </c>
      <c r="L530" s="166" t="s">
        <v>211</v>
      </c>
      <c r="M530" s="166" t="s">
        <v>211</v>
      </c>
      <c r="N530" s="166" t="s">
        <v>211</v>
      </c>
      <c r="O530" s="166" t="s">
        <v>211</v>
      </c>
      <c r="P530" s="107"/>
    </row>
    <row r="531" spans="1:16" s="453" customFormat="1" ht="14" x14ac:dyDescent="0.2">
      <c r="B531" s="453">
        <v>2</v>
      </c>
      <c r="C531" s="571" t="s">
        <v>1736</v>
      </c>
      <c r="D531" s="571"/>
      <c r="E531" s="571"/>
      <c r="F531" s="571"/>
      <c r="G531" s="571"/>
      <c r="H531" s="571"/>
      <c r="I531" s="166" t="s">
        <v>211</v>
      </c>
      <c r="J531" s="166" t="s">
        <v>211</v>
      </c>
      <c r="K531" s="166" t="s">
        <v>211</v>
      </c>
      <c r="L531" s="166" t="s">
        <v>211</v>
      </c>
      <c r="M531" s="166" t="s">
        <v>211</v>
      </c>
      <c r="N531" s="166" t="s">
        <v>211</v>
      </c>
      <c r="O531" s="166" t="s">
        <v>211</v>
      </c>
      <c r="P531" s="107"/>
    </row>
    <row r="532" spans="1:16" s="453" customFormat="1" ht="14" x14ac:dyDescent="0.2">
      <c r="B532" s="453">
        <v>3</v>
      </c>
      <c r="C532" s="571" t="s">
        <v>1737</v>
      </c>
      <c r="D532" s="571"/>
      <c r="E532" s="571"/>
      <c r="F532" s="571"/>
      <c r="G532" s="571"/>
      <c r="H532" s="571"/>
      <c r="I532" s="166" t="s">
        <v>211</v>
      </c>
      <c r="J532" s="166" t="s">
        <v>211</v>
      </c>
      <c r="K532" s="166" t="s">
        <v>211</v>
      </c>
      <c r="L532" s="166" t="s">
        <v>211</v>
      </c>
      <c r="M532" s="166" t="s">
        <v>211</v>
      </c>
      <c r="N532" s="166" t="s">
        <v>211</v>
      </c>
      <c r="O532" s="166" t="s">
        <v>211</v>
      </c>
      <c r="P532" s="107"/>
    </row>
    <row r="533" spans="1:16" s="453" customFormat="1" ht="14" x14ac:dyDescent="0.2">
      <c r="B533" s="453">
        <v>4</v>
      </c>
      <c r="C533" s="609" t="s">
        <v>1595</v>
      </c>
      <c r="D533" s="609"/>
      <c r="E533" s="609"/>
      <c r="F533" s="609"/>
      <c r="G533" s="609"/>
      <c r="H533" s="609"/>
      <c r="I533" s="166" t="s">
        <v>211</v>
      </c>
      <c r="J533" s="166" t="s">
        <v>211</v>
      </c>
      <c r="K533" s="166" t="s">
        <v>211</v>
      </c>
      <c r="L533" s="166" t="s">
        <v>211</v>
      </c>
      <c r="M533" s="166" t="s">
        <v>211</v>
      </c>
      <c r="N533" s="166" t="s">
        <v>211</v>
      </c>
      <c r="O533" s="166" t="s">
        <v>211</v>
      </c>
      <c r="P533" s="107"/>
    </row>
    <row r="534" spans="1:16" s="453" customFormat="1" ht="14" x14ac:dyDescent="0.2">
      <c r="B534" s="453">
        <v>5</v>
      </c>
      <c r="C534" s="571" t="s">
        <v>1684</v>
      </c>
      <c r="D534" s="571"/>
      <c r="E534" s="571"/>
      <c r="F534" s="571"/>
      <c r="G534" s="571"/>
      <c r="H534" s="571"/>
      <c r="I534" s="166" t="s">
        <v>211</v>
      </c>
      <c r="J534" s="166" t="s">
        <v>211</v>
      </c>
      <c r="K534" s="166" t="s">
        <v>211</v>
      </c>
      <c r="L534" s="166" t="s">
        <v>211</v>
      </c>
      <c r="M534" s="166" t="s">
        <v>211</v>
      </c>
      <c r="N534" s="166" t="s">
        <v>211</v>
      </c>
      <c r="O534" s="166" t="s">
        <v>211</v>
      </c>
      <c r="P534" s="107"/>
    </row>
    <row r="535" spans="1:16" s="453" customFormat="1" ht="14" x14ac:dyDescent="0.2">
      <c r="B535" s="453">
        <v>6</v>
      </c>
      <c r="C535" s="571" t="s">
        <v>1738</v>
      </c>
      <c r="D535" s="571"/>
      <c r="E535" s="571"/>
      <c r="F535" s="571"/>
      <c r="G535" s="571"/>
      <c r="H535" s="571"/>
      <c r="I535" s="166" t="s">
        <v>211</v>
      </c>
      <c r="J535" s="166" t="s">
        <v>211</v>
      </c>
      <c r="K535" s="166" t="s">
        <v>211</v>
      </c>
      <c r="L535" s="166" t="s">
        <v>211</v>
      </c>
      <c r="M535" s="166" t="s">
        <v>211</v>
      </c>
      <c r="N535" s="166" t="s">
        <v>211</v>
      </c>
      <c r="O535" s="166" t="s">
        <v>211</v>
      </c>
      <c r="P535" s="107"/>
    </row>
    <row r="536" spans="1:16" s="453" customFormat="1" ht="14" x14ac:dyDescent="0.2">
      <c r="B536" s="453">
        <v>7</v>
      </c>
      <c r="C536" s="571" t="s">
        <v>1615</v>
      </c>
      <c r="D536" s="571"/>
      <c r="E536" s="571"/>
      <c r="F536" s="571"/>
      <c r="G536" s="571"/>
      <c r="H536" s="571"/>
      <c r="I536" s="166" t="s">
        <v>211</v>
      </c>
      <c r="J536" s="166" t="s">
        <v>211</v>
      </c>
      <c r="K536" s="166" t="s">
        <v>211</v>
      </c>
      <c r="L536" s="166" t="s">
        <v>211</v>
      </c>
      <c r="M536" s="166" t="s">
        <v>211</v>
      </c>
      <c r="N536" s="166" t="s">
        <v>211</v>
      </c>
      <c r="O536" s="166" t="s">
        <v>211</v>
      </c>
      <c r="P536" s="107"/>
    </row>
    <row r="537" spans="1:16" s="453" customFormat="1" ht="14" x14ac:dyDescent="0.2">
      <c r="B537" s="453">
        <v>8</v>
      </c>
      <c r="C537" s="573" t="s">
        <v>1600</v>
      </c>
      <c r="D537" s="573"/>
      <c r="E537" s="573"/>
      <c r="F537" s="573"/>
      <c r="G537" s="573"/>
      <c r="H537" s="573"/>
      <c r="I537" s="98" t="s">
        <v>211</v>
      </c>
      <c r="J537" s="106" t="s">
        <v>214</v>
      </c>
      <c r="K537" s="98" t="s">
        <v>211</v>
      </c>
      <c r="L537" s="106" t="s">
        <v>213</v>
      </c>
      <c r="M537" s="213">
        <f>COUNTIF(K537,Data!$A$1)</f>
        <v>0</v>
      </c>
      <c r="N537" s="106"/>
      <c r="P537" s="107">
        <f>SUM(K538*4)</f>
        <v>0</v>
      </c>
    </row>
    <row r="538" spans="1:16" s="453" customFormat="1" thickBot="1" x14ac:dyDescent="0.25">
      <c r="I538" s="107">
        <f>COUNTIF(I530:I537,Data!$A$1)</f>
        <v>0</v>
      </c>
      <c r="J538" s="107">
        <f>COUNTIF(J530:J536,Data!$A$1)</f>
        <v>0</v>
      </c>
      <c r="K538" s="107">
        <f>COUNTIF(K530:K536,Data!$A$1)</f>
        <v>0</v>
      </c>
      <c r="L538" s="107">
        <f>COUNTIF(L530:L536,Data!$A$1)</f>
        <v>0</v>
      </c>
      <c r="M538" s="107">
        <f>COUNTIF(M530:M536,Data!$A$1)</f>
        <v>0</v>
      </c>
      <c r="N538" s="107">
        <f>COUNTIF(N530:N536,Data!$A$1)</f>
        <v>0</v>
      </c>
      <c r="O538" s="107">
        <f>COUNTIF(O530:O536,Data!$A$1)</f>
        <v>0</v>
      </c>
      <c r="P538" s="107">
        <f>SUM(I538:K538,M537,M538:N538)</f>
        <v>0</v>
      </c>
    </row>
    <row r="539" spans="1:16" s="108" customFormat="1" ht="17" thickBot="1" x14ac:dyDescent="0.25">
      <c r="G539" s="459" t="s">
        <v>1584</v>
      </c>
      <c r="H539" s="459"/>
      <c r="I539" s="459"/>
      <c r="J539" s="460"/>
      <c r="K539" s="725">
        <f>SUM(K538,O539)</f>
        <v>0</v>
      </c>
      <c r="L539" s="726"/>
      <c r="M539" s="116"/>
      <c r="N539" s="109">
        <f>SUM(O539*5)</f>
        <v>0</v>
      </c>
      <c r="O539" s="114">
        <f>SUM(J538,M537)</f>
        <v>0</v>
      </c>
      <c r="P539" s="116">
        <f>SUM(P538*5)</f>
        <v>0</v>
      </c>
    </row>
    <row r="540" spans="1:16" s="453" customFormat="1" ht="14" x14ac:dyDescent="0.2">
      <c r="B540" s="463"/>
      <c r="C540" s="463"/>
      <c r="D540" s="443"/>
      <c r="F540" s="463"/>
      <c r="G540" s="112"/>
      <c r="H540" s="463"/>
    </row>
    <row r="541" spans="1:16" s="453" customFormat="1" ht="14" x14ac:dyDescent="0.2">
      <c r="A541" s="471">
        <v>30</v>
      </c>
      <c r="B541" s="112">
        <v>1</v>
      </c>
      <c r="C541" s="571" t="s">
        <v>1683</v>
      </c>
      <c r="D541" s="571"/>
      <c r="E541" s="571"/>
      <c r="F541" s="571"/>
      <c r="G541" s="571"/>
      <c r="H541" s="571"/>
      <c r="I541" s="166" t="s">
        <v>211</v>
      </c>
      <c r="J541" s="166" t="s">
        <v>211</v>
      </c>
      <c r="K541" s="166" t="s">
        <v>211</v>
      </c>
      <c r="L541" s="166" t="s">
        <v>211</v>
      </c>
      <c r="M541" s="166" t="s">
        <v>211</v>
      </c>
      <c r="N541" s="166" t="s">
        <v>211</v>
      </c>
      <c r="O541" s="166" t="s">
        <v>211</v>
      </c>
    </row>
    <row r="542" spans="1:16" s="453" customFormat="1" ht="14" x14ac:dyDescent="0.2">
      <c r="B542" s="112">
        <v>2</v>
      </c>
      <c r="C542" s="609" t="s">
        <v>1595</v>
      </c>
      <c r="D542" s="609"/>
      <c r="E542" s="609"/>
      <c r="F542" s="609"/>
      <c r="G542" s="609"/>
      <c r="H542" s="609"/>
      <c r="I542" s="166" t="s">
        <v>211</v>
      </c>
      <c r="J542" s="166" t="s">
        <v>211</v>
      </c>
      <c r="K542" s="166" t="s">
        <v>211</v>
      </c>
      <c r="L542" s="166" t="s">
        <v>211</v>
      </c>
      <c r="M542" s="166" t="s">
        <v>211</v>
      </c>
      <c r="N542" s="166" t="s">
        <v>211</v>
      </c>
      <c r="O542" s="166" t="s">
        <v>211</v>
      </c>
    </row>
    <row r="543" spans="1:16" s="453" customFormat="1" ht="14" x14ac:dyDescent="0.2">
      <c r="B543" s="112">
        <v>3</v>
      </c>
      <c r="C543" s="571" t="s">
        <v>1684</v>
      </c>
      <c r="D543" s="571"/>
      <c r="E543" s="571"/>
      <c r="F543" s="571"/>
      <c r="G543" s="571"/>
      <c r="H543" s="571"/>
      <c r="I543" s="166" t="s">
        <v>211</v>
      </c>
      <c r="J543" s="166" t="s">
        <v>211</v>
      </c>
      <c r="K543" s="166" t="s">
        <v>211</v>
      </c>
      <c r="L543" s="166" t="s">
        <v>211</v>
      </c>
      <c r="M543" s="166" t="s">
        <v>211</v>
      </c>
      <c r="N543" s="166" t="s">
        <v>211</v>
      </c>
      <c r="O543" s="166" t="s">
        <v>211</v>
      </c>
    </row>
    <row r="544" spans="1:16" s="453" customFormat="1" ht="14" x14ac:dyDescent="0.2">
      <c r="B544" s="112" t="s">
        <v>17</v>
      </c>
      <c r="C544" s="571" t="s">
        <v>1749</v>
      </c>
      <c r="D544" s="571"/>
      <c r="E544" s="571"/>
      <c r="F544" s="571"/>
      <c r="G544" s="571"/>
      <c r="H544" s="571"/>
      <c r="I544" s="166" t="s">
        <v>211</v>
      </c>
      <c r="J544" s="166" t="s">
        <v>211</v>
      </c>
      <c r="K544" s="166" t="s">
        <v>211</v>
      </c>
      <c r="L544" s="166" t="s">
        <v>211</v>
      </c>
      <c r="M544" s="166" t="s">
        <v>211</v>
      </c>
      <c r="N544" s="166" t="s">
        <v>211</v>
      </c>
      <c r="O544" s="166" t="s">
        <v>211</v>
      </c>
    </row>
    <row r="545" spans="1:17" s="453" customFormat="1" ht="12.75" customHeight="1" x14ac:dyDescent="0.2">
      <c r="B545" s="112" t="s">
        <v>18</v>
      </c>
      <c r="C545" s="664" t="s">
        <v>1750</v>
      </c>
      <c r="D545" s="664"/>
      <c r="E545" s="664"/>
      <c r="F545" s="664"/>
      <c r="G545" s="664"/>
      <c r="H545" s="664"/>
      <c r="I545" s="166" t="s">
        <v>211</v>
      </c>
      <c r="J545" s="166" t="s">
        <v>211</v>
      </c>
      <c r="K545" s="166" t="s">
        <v>211</v>
      </c>
      <c r="L545" s="166" t="s">
        <v>211</v>
      </c>
      <c r="M545" s="166" t="s">
        <v>211</v>
      </c>
      <c r="N545" s="166" t="s">
        <v>211</v>
      </c>
      <c r="O545" s="166" t="s">
        <v>211</v>
      </c>
    </row>
    <row r="546" spans="1:17" s="453" customFormat="1" ht="14" x14ac:dyDescent="0.2">
      <c r="B546" s="112">
        <v>4</v>
      </c>
      <c r="C546" s="571" t="s">
        <v>1751</v>
      </c>
      <c r="D546" s="571"/>
      <c r="E546" s="571"/>
      <c r="F546" s="571"/>
      <c r="G546" s="571"/>
      <c r="H546" s="571"/>
      <c r="I546" s="166" t="s">
        <v>211</v>
      </c>
      <c r="J546" s="166" t="s">
        <v>211</v>
      </c>
      <c r="K546" s="166" t="s">
        <v>211</v>
      </c>
      <c r="L546" s="166" t="s">
        <v>211</v>
      </c>
      <c r="M546" s="166" t="s">
        <v>211</v>
      </c>
      <c r="N546" s="166" t="s">
        <v>211</v>
      </c>
      <c r="O546" s="166" t="s">
        <v>211</v>
      </c>
    </row>
    <row r="547" spans="1:17" s="453" customFormat="1" ht="14" x14ac:dyDescent="0.2">
      <c r="B547" s="112">
        <v>5</v>
      </c>
      <c r="C547" s="571" t="s">
        <v>1615</v>
      </c>
      <c r="D547" s="571"/>
      <c r="E547" s="571"/>
      <c r="F547" s="571"/>
      <c r="G547" s="571"/>
      <c r="H547" s="571"/>
      <c r="I547" s="166" t="s">
        <v>211</v>
      </c>
      <c r="J547" s="166" t="s">
        <v>211</v>
      </c>
      <c r="K547" s="166" t="s">
        <v>211</v>
      </c>
      <c r="L547" s="166" t="s">
        <v>211</v>
      </c>
      <c r="M547" s="166" t="s">
        <v>211</v>
      </c>
      <c r="N547" s="166" t="s">
        <v>211</v>
      </c>
      <c r="O547" s="166" t="s">
        <v>211</v>
      </c>
    </row>
    <row r="548" spans="1:17" s="453" customFormat="1" ht="14" x14ac:dyDescent="0.2">
      <c r="B548" s="112">
        <v>6</v>
      </c>
      <c r="C548" s="573" t="s">
        <v>1600</v>
      </c>
      <c r="D548" s="573"/>
      <c r="E548" s="573"/>
      <c r="F548" s="573"/>
      <c r="G548" s="573"/>
      <c r="H548" s="573"/>
      <c r="I548" s="98" t="s">
        <v>211</v>
      </c>
      <c r="J548" s="106" t="s">
        <v>214</v>
      </c>
      <c r="K548" s="98" t="s">
        <v>211</v>
      </c>
      <c r="L548" s="106" t="s">
        <v>213</v>
      </c>
      <c r="M548" s="214">
        <f>COUNTIF(K548,Data!$A$1)</f>
        <v>0</v>
      </c>
      <c r="N548" s="106"/>
      <c r="P548" s="107">
        <f>SUM(K549*4)</f>
        <v>0</v>
      </c>
    </row>
    <row r="549" spans="1:17" s="453" customFormat="1" thickBot="1" x14ac:dyDescent="0.25">
      <c r="I549" s="107">
        <f>COUNTIF(I541:I548,Data!$A$1)</f>
        <v>0</v>
      </c>
      <c r="J549" s="107">
        <f>COUNTIF(J541:J547,Data!$A$1)</f>
        <v>0</v>
      </c>
      <c r="K549" s="107">
        <f>COUNTIF(K541:K547,Data!$A$1)</f>
        <v>0</v>
      </c>
      <c r="L549" s="107">
        <f>COUNTIF(L541:L547,Data!$A$1)</f>
        <v>0</v>
      </c>
      <c r="M549" s="107">
        <f>COUNTIF(M541:M547,Data!$A$1)</f>
        <v>0</v>
      </c>
      <c r="N549" s="107">
        <f>COUNTIF(N541:N547,Data!$A$1)</f>
        <v>0</v>
      </c>
      <c r="O549" s="107">
        <f>COUNTIF(O541:O547,Data!$A$1)</f>
        <v>0</v>
      </c>
      <c r="P549" s="107">
        <f>SUM(I549:K549,M548,M549:N549)</f>
        <v>0</v>
      </c>
    </row>
    <row r="550" spans="1:17" s="108" customFormat="1" ht="17" thickBot="1" x14ac:dyDescent="0.25">
      <c r="G550" s="459" t="s">
        <v>1584</v>
      </c>
      <c r="H550" s="459"/>
      <c r="I550" s="459"/>
      <c r="J550" s="460"/>
      <c r="K550" s="725">
        <f>SUM(K549,O550)</f>
        <v>0</v>
      </c>
      <c r="L550" s="726"/>
      <c r="M550" s="116"/>
      <c r="N550" s="109">
        <f>SUM(O550*5)</f>
        <v>0</v>
      </c>
      <c r="O550" s="114">
        <f>SUM(J549,M548)</f>
        <v>0</v>
      </c>
      <c r="P550" s="116">
        <f>SUM(P549*5)</f>
        <v>0</v>
      </c>
      <c r="Q550" s="116"/>
    </row>
    <row r="551" spans="1:17" s="453" customFormat="1" ht="14" x14ac:dyDescent="0.2">
      <c r="B551" s="463"/>
      <c r="C551" s="463"/>
      <c r="D551" s="443"/>
      <c r="F551" s="463"/>
      <c r="G551" s="112"/>
      <c r="H551" s="463"/>
    </row>
    <row r="552" spans="1:17" s="453" customFormat="1" ht="14" x14ac:dyDescent="0.2">
      <c r="A552" s="471">
        <v>31</v>
      </c>
      <c r="B552" s="112">
        <v>1</v>
      </c>
      <c r="C552" s="571" t="s">
        <v>1752</v>
      </c>
      <c r="D552" s="571"/>
      <c r="E552" s="571"/>
      <c r="F552" s="571"/>
      <c r="G552" s="571"/>
      <c r="H552" s="571"/>
      <c r="I552" s="166" t="s">
        <v>211</v>
      </c>
      <c r="J552" s="166" t="s">
        <v>211</v>
      </c>
      <c r="K552" s="166" t="s">
        <v>211</v>
      </c>
      <c r="L552" s="166" t="s">
        <v>211</v>
      </c>
      <c r="M552" s="166" t="s">
        <v>211</v>
      </c>
      <c r="N552" s="166" t="s">
        <v>211</v>
      </c>
      <c r="O552" s="166" t="s">
        <v>211</v>
      </c>
    </row>
    <row r="553" spans="1:17" s="453" customFormat="1" ht="14" x14ac:dyDescent="0.2">
      <c r="B553" s="112" t="s">
        <v>10</v>
      </c>
      <c r="C553" s="571" t="s">
        <v>288</v>
      </c>
      <c r="D553" s="571"/>
      <c r="E553" s="571"/>
      <c r="F553" s="571"/>
      <c r="G553" s="571"/>
      <c r="H553" s="571"/>
      <c r="I553" s="166" t="s">
        <v>211</v>
      </c>
      <c r="J553" s="166" t="s">
        <v>211</v>
      </c>
      <c r="K553" s="166" t="s">
        <v>211</v>
      </c>
      <c r="L553" s="166" t="s">
        <v>211</v>
      </c>
      <c r="M553" s="166" t="s">
        <v>211</v>
      </c>
      <c r="N553" s="166" t="s">
        <v>211</v>
      </c>
      <c r="O553" s="166" t="s">
        <v>211</v>
      </c>
    </row>
    <row r="554" spans="1:17" s="453" customFormat="1" ht="14" x14ac:dyDescent="0.2">
      <c r="B554" s="112">
        <v>2</v>
      </c>
      <c r="C554" s="571" t="s">
        <v>1753</v>
      </c>
      <c r="D554" s="571"/>
      <c r="E554" s="571"/>
      <c r="F554" s="571"/>
      <c r="G554" s="571"/>
      <c r="H554" s="571"/>
      <c r="I554" s="166" t="s">
        <v>211</v>
      </c>
      <c r="J554" s="166" t="s">
        <v>211</v>
      </c>
      <c r="K554" s="166" t="s">
        <v>211</v>
      </c>
      <c r="L554" s="166" t="s">
        <v>211</v>
      </c>
      <c r="M554" s="166" t="s">
        <v>211</v>
      </c>
      <c r="N554" s="166" t="s">
        <v>211</v>
      </c>
      <c r="O554" s="166" t="s">
        <v>211</v>
      </c>
    </row>
    <row r="555" spans="1:17" s="453" customFormat="1" ht="14" x14ac:dyDescent="0.2">
      <c r="B555" s="112">
        <v>3</v>
      </c>
      <c r="C555" s="571" t="s">
        <v>1754</v>
      </c>
      <c r="D555" s="571"/>
      <c r="E555" s="571"/>
      <c r="F555" s="571"/>
      <c r="G555" s="571"/>
      <c r="H555" s="571"/>
      <c r="I555" s="166" t="s">
        <v>211</v>
      </c>
      <c r="J555" s="166" t="s">
        <v>211</v>
      </c>
      <c r="K555" s="166" t="s">
        <v>211</v>
      </c>
      <c r="L555" s="166" t="s">
        <v>211</v>
      </c>
      <c r="M555" s="166" t="s">
        <v>211</v>
      </c>
      <c r="N555" s="166" t="s">
        <v>211</v>
      </c>
      <c r="O555" s="166" t="s">
        <v>211</v>
      </c>
    </row>
    <row r="556" spans="1:17" s="453" customFormat="1" ht="14" x14ac:dyDescent="0.2">
      <c r="B556" s="112" t="s">
        <v>17</v>
      </c>
      <c r="C556" s="571" t="s">
        <v>1630</v>
      </c>
      <c r="D556" s="571"/>
      <c r="E556" s="571"/>
      <c r="F556" s="571"/>
      <c r="G556" s="571"/>
      <c r="H556" s="571"/>
      <c r="I556" s="166" t="s">
        <v>211</v>
      </c>
      <c r="J556" s="166" t="s">
        <v>211</v>
      </c>
      <c r="K556" s="166" t="s">
        <v>211</v>
      </c>
      <c r="L556" s="166" t="s">
        <v>211</v>
      </c>
      <c r="M556" s="166" t="s">
        <v>211</v>
      </c>
      <c r="N556" s="166" t="s">
        <v>211</v>
      </c>
      <c r="O556" s="166" t="s">
        <v>211</v>
      </c>
    </row>
    <row r="557" spans="1:17" s="453" customFormat="1" ht="14" x14ac:dyDescent="0.2">
      <c r="B557" s="112" t="s">
        <v>289</v>
      </c>
      <c r="C557" s="571" t="s">
        <v>1652</v>
      </c>
      <c r="D557" s="571"/>
      <c r="E557" s="571"/>
      <c r="F557" s="571"/>
      <c r="G557" s="571"/>
      <c r="H557" s="571"/>
      <c r="I557" s="166" t="s">
        <v>211</v>
      </c>
      <c r="J557" s="166" t="s">
        <v>211</v>
      </c>
      <c r="K557" s="166" t="s">
        <v>211</v>
      </c>
      <c r="L557" s="166" t="s">
        <v>211</v>
      </c>
      <c r="M557" s="166" t="s">
        <v>211</v>
      </c>
      <c r="N557" s="166" t="s">
        <v>211</v>
      </c>
      <c r="O557" s="166" t="s">
        <v>211</v>
      </c>
    </row>
    <row r="558" spans="1:17" s="453" customFormat="1" ht="14" x14ac:dyDescent="0.2">
      <c r="B558" s="112" t="s">
        <v>18</v>
      </c>
      <c r="C558" s="571" t="s">
        <v>1695</v>
      </c>
      <c r="D558" s="571"/>
      <c r="E558" s="571"/>
      <c r="F558" s="571"/>
      <c r="G558" s="571"/>
      <c r="H558" s="571"/>
      <c r="I558" s="166" t="s">
        <v>211</v>
      </c>
      <c r="J558" s="166" t="s">
        <v>211</v>
      </c>
      <c r="K558" s="166" t="s">
        <v>211</v>
      </c>
      <c r="L558" s="166" t="s">
        <v>211</v>
      </c>
      <c r="M558" s="166" t="s">
        <v>211</v>
      </c>
      <c r="N558" s="166" t="s">
        <v>211</v>
      </c>
      <c r="O558" s="166" t="s">
        <v>211</v>
      </c>
    </row>
    <row r="559" spans="1:17" s="453" customFormat="1" ht="14" x14ac:dyDescent="0.2">
      <c r="B559" s="112" t="s">
        <v>105</v>
      </c>
      <c r="C559" s="571" t="s">
        <v>1755</v>
      </c>
      <c r="D559" s="571"/>
      <c r="E559" s="571"/>
      <c r="F559" s="571"/>
      <c r="G559" s="571"/>
      <c r="H559" s="571"/>
      <c r="I559" s="166" t="s">
        <v>211</v>
      </c>
      <c r="J559" s="166" t="s">
        <v>211</v>
      </c>
      <c r="K559" s="166" t="s">
        <v>211</v>
      </c>
      <c r="L559" s="166" t="s">
        <v>211</v>
      </c>
      <c r="M559" s="166" t="s">
        <v>211</v>
      </c>
      <c r="N559" s="166" t="s">
        <v>211</v>
      </c>
      <c r="O559" s="166" t="s">
        <v>211</v>
      </c>
    </row>
    <row r="560" spans="1:17" s="453" customFormat="1" ht="14" x14ac:dyDescent="0.2">
      <c r="B560" s="112">
        <v>4</v>
      </c>
      <c r="C560" s="573" t="s">
        <v>1600</v>
      </c>
      <c r="D560" s="573"/>
      <c r="E560" s="573"/>
      <c r="F560" s="573"/>
      <c r="G560" s="573"/>
      <c r="H560" s="573"/>
      <c r="I560" s="98" t="s">
        <v>211</v>
      </c>
      <c r="J560" s="106" t="s">
        <v>214</v>
      </c>
      <c r="K560" s="98" t="s">
        <v>211</v>
      </c>
      <c r="L560" s="106" t="s">
        <v>213</v>
      </c>
      <c r="M560" s="214">
        <f>COUNTIF(K560,Data!$A$1)</f>
        <v>0</v>
      </c>
      <c r="N560" s="106"/>
      <c r="P560" s="107">
        <f>SUM(K561*4)</f>
        <v>0</v>
      </c>
    </row>
    <row r="561" spans="1:17" s="453" customFormat="1" thickBot="1" x14ac:dyDescent="0.25">
      <c r="D561" s="453" t="s">
        <v>293</v>
      </c>
      <c r="F561" s="131" t="s">
        <v>292</v>
      </c>
      <c r="I561" s="107">
        <f>COUNTIF(I552:I560,Data!$A$1)</f>
        <v>0</v>
      </c>
      <c r="J561" s="107">
        <f>COUNTIF(J552:J559,Data!$A$1)</f>
        <v>0</v>
      </c>
      <c r="K561" s="107">
        <f>COUNTIF(K552:K559,Data!$A$1)</f>
        <v>0</v>
      </c>
      <c r="L561" s="107">
        <f>COUNTIF(L552:L559,Data!$A$1)</f>
        <v>0</v>
      </c>
      <c r="M561" s="107">
        <f>COUNTIF(M552:M559,Data!$A$1)</f>
        <v>0</v>
      </c>
      <c r="N561" s="107">
        <f>COUNTIF(N552:N559,Data!$A$1)</f>
        <v>0</v>
      </c>
      <c r="O561" s="107">
        <f>COUNTIF(O552:O559,Data!$A$1)</f>
        <v>0</v>
      </c>
      <c r="P561" s="107">
        <f>SUM(I561:K561,M560,M561:N561)</f>
        <v>0</v>
      </c>
      <c r="Q561" s="107"/>
    </row>
    <row r="562" spans="1:17" s="108" customFormat="1" ht="17" thickBot="1" x14ac:dyDescent="0.25">
      <c r="G562" s="459" t="s">
        <v>1584</v>
      </c>
      <c r="H562" s="459"/>
      <c r="I562" s="459"/>
      <c r="J562" s="460"/>
      <c r="K562" s="725">
        <f>SUM(K561,O562)</f>
        <v>0</v>
      </c>
      <c r="L562" s="726"/>
      <c r="M562" s="116"/>
      <c r="N562" s="109">
        <f>SUM(O562*5)</f>
        <v>0</v>
      </c>
      <c r="O562" s="114">
        <f>SUM(J561,M560)</f>
        <v>0</v>
      </c>
      <c r="P562" s="116">
        <f>SUM(P561*5)</f>
        <v>0</v>
      </c>
      <c r="Q562" s="116"/>
    </row>
    <row r="563" spans="1:17" s="108" customFormat="1" ht="16" x14ac:dyDescent="0.2">
      <c r="G563" s="459"/>
      <c r="H563" s="459"/>
      <c r="I563" s="459"/>
      <c r="J563" s="283"/>
      <c r="K563" s="283"/>
      <c r="L563" s="283"/>
      <c r="N563" s="437"/>
      <c r="O563" s="117"/>
    </row>
    <row r="564" spans="1:17" s="453" customFormat="1" ht="14" x14ac:dyDescent="0.2">
      <c r="A564" s="471" t="s">
        <v>1919</v>
      </c>
      <c r="B564" s="245" t="s">
        <v>1880</v>
      </c>
      <c r="C564" s="571" t="s">
        <v>1891</v>
      </c>
      <c r="D564" s="571"/>
      <c r="E564" s="571"/>
      <c r="F564" s="571"/>
      <c r="G564" s="571"/>
      <c r="H564" s="571"/>
      <c r="I564" s="166" t="s">
        <v>211</v>
      </c>
      <c r="J564" s="166" t="s">
        <v>211</v>
      </c>
      <c r="K564" s="166" t="s">
        <v>211</v>
      </c>
      <c r="L564" s="166" t="s">
        <v>211</v>
      </c>
      <c r="M564" s="166" t="s">
        <v>211</v>
      </c>
      <c r="N564" s="166" t="s">
        <v>211</v>
      </c>
      <c r="O564" s="166" t="s">
        <v>211</v>
      </c>
    </row>
    <row r="565" spans="1:17" s="453" customFormat="1" ht="14" x14ac:dyDescent="0.2">
      <c r="B565" s="245" t="s">
        <v>1881</v>
      </c>
      <c r="C565" s="609" t="s">
        <v>1892</v>
      </c>
      <c r="D565" s="609"/>
      <c r="E565" s="609"/>
      <c r="F565" s="609"/>
      <c r="G565" s="609"/>
      <c r="H565" s="609"/>
      <c r="I565" s="166" t="s">
        <v>211</v>
      </c>
      <c r="J565" s="166" t="s">
        <v>211</v>
      </c>
      <c r="K565" s="166" t="s">
        <v>211</v>
      </c>
      <c r="L565" s="166" t="s">
        <v>211</v>
      </c>
      <c r="M565" s="166" t="s">
        <v>211</v>
      </c>
      <c r="N565" s="166" t="s">
        <v>211</v>
      </c>
      <c r="O565" s="166" t="s">
        <v>211</v>
      </c>
    </row>
    <row r="566" spans="1:17" s="453" customFormat="1" ht="12.75" customHeight="1" x14ac:dyDescent="0.2">
      <c r="B566" s="245" t="s">
        <v>1882</v>
      </c>
      <c r="C566" s="610" t="s">
        <v>1902</v>
      </c>
      <c r="D566" s="610"/>
      <c r="E566" s="610"/>
      <c r="F566" s="610"/>
      <c r="G566" s="610"/>
      <c r="H566" s="610"/>
      <c r="I566" s="166" t="s">
        <v>211</v>
      </c>
      <c r="J566" s="166" t="s">
        <v>211</v>
      </c>
      <c r="K566" s="166" t="s">
        <v>211</v>
      </c>
      <c r="L566" s="166" t="s">
        <v>211</v>
      </c>
      <c r="M566" s="166" t="s">
        <v>211</v>
      </c>
      <c r="N566" s="166" t="s">
        <v>211</v>
      </c>
      <c r="O566" s="166" t="s">
        <v>211</v>
      </c>
    </row>
    <row r="567" spans="1:17" s="453" customFormat="1" ht="12.75" customHeight="1" x14ac:dyDescent="0.2">
      <c r="B567" s="245" t="s">
        <v>1883</v>
      </c>
      <c r="C567" s="610" t="s">
        <v>1894</v>
      </c>
      <c r="D567" s="610"/>
      <c r="E567" s="610"/>
      <c r="F567" s="610"/>
      <c r="G567" s="610"/>
      <c r="H567" s="654"/>
      <c r="I567" s="166" t="s">
        <v>211</v>
      </c>
      <c r="J567" s="166" t="s">
        <v>211</v>
      </c>
      <c r="K567" s="166" t="s">
        <v>211</v>
      </c>
      <c r="L567" s="166" t="s">
        <v>211</v>
      </c>
      <c r="M567" s="166" t="s">
        <v>211</v>
      </c>
      <c r="N567" s="166" t="s">
        <v>211</v>
      </c>
      <c r="O567" s="166" t="s">
        <v>211</v>
      </c>
    </row>
    <row r="568" spans="1:17" s="453" customFormat="1" ht="14" x14ac:dyDescent="0.2">
      <c r="B568" s="245" t="s">
        <v>1884</v>
      </c>
      <c r="C568" s="571" t="s">
        <v>1895</v>
      </c>
      <c r="D568" s="571"/>
      <c r="E568" s="571"/>
      <c r="F568" s="571"/>
      <c r="G568" s="571"/>
      <c r="H568" s="571"/>
      <c r="I568" s="166" t="s">
        <v>211</v>
      </c>
      <c r="J568" s="166" t="s">
        <v>211</v>
      </c>
      <c r="K568" s="166" t="s">
        <v>211</v>
      </c>
      <c r="L568" s="166" t="s">
        <v>211</v>
      </c>
      <c r="M568" s="166" t="s">
        <v>211</v>
      </c>
      <c r="N568" s="166" t="s">
        <v>211</v>
      </c>
      <c r="O568" s="166" t="s">
        <v>211</v>
      </c>
    </row>
    <row r="569" spans="1:17" s="453" customFormat="1" ht="12.75" customHeight="1" x14ac:dyDescent="0.2">
      <c r="B569" s="245" t="s">
        <v>1885</v>
      </c>
      <c r="C569" s="610" t="s">
        <v>1896</v>
      </c>
      <c r="D569" s="610"/>
      <c r="E569" s="610"/>
      <c r="F569" s="610"/>
      <c r="G569" s="610"/>
      <c r="H569" s="654"/>
      <c r="I569" s="166" t="s">
        <v>211</v>
      </c>
      <c r="J569" s="166" t="s">
        <v>211</v>
      </c>
      <c r="K569" s="166" t="s">
        <v>211</v>
      </c>
      <c r="L569" s="166" t="s">
        <v>211</v>
      </c>
      <c r="M569" s="166" t="s">
        <v>211</v>
      </c>
      <c r="N569" s="166" t="s">
        <v>211</v>
      </c>
      <c r="O569" s="166" t="s">
        <v>211</v>
      </c>
    </row>
    <row r="570" spans="1:17" s="453" customFormat="1" ht="14" x14ac:dyDescent="0.2">
      <c r="B570" s="245" t="s">
        <v>1886</v>
      </c>
      <c r="C570" s="596" t="s">
        <v>1897</v>
      </c>
      <c r="D570" s="596"/>
      <c r="E570" s="596"/>
      <c r="F570" s="596"/>
      <c r="G570" s="596"/>
      <c r="H570" s="611"/>
      <c r="I570" s="166" t="s">
        <v>211</v>
      </c>
      <c r="J570" s="166" t="s">
        <v>211</v>
      </c>
      <c r="K570" s="166" t="s">
        <v>211</v>
      </c>
      <c r="L570" s="166" t="s">
        <v>211</v>
      </c>
      <c r="M570" s="166" t="s">
        <v>211</v>
      </c>
      <c r="N570" s="166" t="s">
        <v>211</v>
      </c>
      <c r="O570" s="166" t="s">
        <v>211</v>
      </c>
    </row>
    <row r="571" spans="1:17" s="453" customFormat="1" ht="14" x14ac:dyDescent="0.2">
      <c r="B571" s="245" t="s">
        <v>1887</v>
      </c>
      <c r="C571" s="570" t="s">
        <v>1898</v>
      </c>
      <c r="D571" s="571"/>
      <c r="E571" s="571"/>
      <c r="F571" s="571"/>
      <c r="G571" s="571"/>
      <c r="H571" s="571"/>
      <c r="I571" s="166" t="s">
        <v>211</v>
      </c>
      <c r="J571" s="166" t="s">
        <v>211</v>
      </c>
      <c r="K571" s="166" t="s">
        <v>211</v>
      </c>
      <c r="L571" s="166" t="s">
        <v>211</v>
      </c>
      <c r="M571" s="166" t="s">
        <v>211</v>
      </c>
      <c r="N571" s="166" t="s">
        <v>211</v>
      </c>
      <c r="O571" s="166" t="s">
        <v>211</v>
      </c>
    </row>
    <row r="572" spans="1:17" s="453" customFormat="1" ht="14" x14ac:dyDescent="0.2">
      <c r="B572" s="245" t="s">
        <v>1888</v>
      </c>
      <c r="C572" s="596" t="s">
        <v>1899</v>
      </c>
      <c r="D572" s="596"/>
      <c r="E572" s="596"/>
      <c r="F572" s="596"/>
      <c r="G572" s="596"/>
      <c r="H572" s="596"/>
      <c r="I572" s="166" t="s">
        <v>211</v>
      </c>
      <c r="J572" s="166" t="s">
        <v>211</v>
      </c>
      <c r="K572" s="166" t="s">
        <v>211</v>
      </c>
      <c r="L572" s="166" t="s">
        <v>211</v>
      </c>
      <c r="M572" s="166" t="s">
        <v>211</v>
      </c>
      <c r="N572" s="166" t="s">
        <v>211</v>
      </c>
      <c r="O572" s="166" t="s">
        <v>211</v>
      </c>
    </row>
    <row r="573" spans="1:17" s="453" customFormat="1" ht="14" x14ac:dyDescent="0.2">
      <c r="B573" s="245" t="s">
        <v>1889</v>
      </c>
      <c r="C573" s="571" t="s">
        <v>1900</v>
      </c>
      <c r="D573" s="571"/>
      <c r="E573" s="571"/>
      <c r="F573" s="571"/>
      <c r="G573" s="571"/>
      <c r="H573" s="571"/>
      <c r="I573" s="166" t="s">
        <v>211</v>
      </c>
      <c r="J573" s="166" t="s">
        <v>211</v>
      </c>
      <c r="K573" s="166" t="s">
        <v>211</v>
      </c>
      <c r="L573" s="166" t="s">
        <v>211</v>
      </c>
      <c r="M573" s="166" t="s">
        <v>211</v>
      </c>
      <c r="N573" s="166" t="s">
        <v>211</v>
      </c>
      <c r="O573" s="166" t="s">
        <v>211</v>
      </c>
    </row>
    <row r="574" spans="1:17" s="453" customFormat="1" ht="14" x14ac:dyDescent="0.2">
      <c r="B574" s="245" t="s">
        <v>1890</v>
      </c>
      <c r="C574" s="571" t="s">
        <v>1901</v>
      </c>
      <c r="D574" s="571"/>
      <c r="E574" s="571"/>
      <c r="F574" s="571"/>
      <c r="G574" s="571"/>
      <c r="H574" s="571"/>
      <c r="I574" s="166" t="s">
        <v>211</v>
      </c>
      <c r="J574" s="166" t="s">
        <v>211</v>
      </c>
      <c r="K574" s="166" t="s">
        <v>211</v>
      </c>
      <c r="L574" s="166" t="s">
        <v>211</v>
      </c>
      <c r="M574" s="166" t="s">
        <v>211</v>
      </c>
      <c r="N574" s="166" t="s">
        <v>211</v>
      </c>
      <c r="O574" s="166" t="s">
        <v>211</v>
      </c>
    </row>
    <row r="575" spans="1:17" s="453" customFormat="1" ht="14" x14ac:dyDescent="0.2">
      <c r="B575" s="245" t="s">
        <v>1893</v>
      </c>
      <c r="C575" s="573" t="s">
        <v>1925</v>
      </c>
      <c r="D575" s="573"/>
      <c r="E575" s="573"/>
      <c r="F575" s="573"/>
      <c r="G575" s="573"/>
      <c r="H575" s="733"/>
      <c r="I575" s="166" t="s">
        <v>211</v>
      </c>
      <c r="J575" s="166" t="s">
        <v>211</v>
      </c>
      <c r="K575" s="166" t="s">
        <v>211</v>
      </c>
      <c r="L575" s="166" t="s">
        <v>211</v>
      </c>
      <c r="M575" s="166" t="s">
        <v>211</v>
      </c>
      <c r="N575" s="166" t="s">
        <v>211</v>
      </c>
      <c r="O575" s="166" t="s">
        <v>211</v>
      </c>
    </row>
    <row r="576" spans="1:17" s="453" customFormat="1" ht="14" x14ac:dyDescent="0.2">
      <c r="B576" s="245" t="s">
        <v>1903</v>
      </c>
      <c r="C576" s="571"/>
      <c r="D576" s="571"/>
      <c r="E576" s="571"/>
      <c r="F576" s="571"/>
      <c r="G576" s="571"/>
      <c r="H576" s="571"/>
      <c r="I576" s="166" t="s">
        <v>211</v>
      </c>
      <c r="J576" s="166" t="s">
        <v>211</v>
      </c>
      <c r="K576" s="166" t="s">
        <v>211</v>
      </c>
      <c r="L576" s="166" t="s">
        <v>211</v>
      </c>
      <c r="M576" s="166" t="s">
        <v>211</v>
      </c>
      <c r="N576" s="166" t="s">
        <v>211</v>
      </c>
      <c r="O576" s="166" t="s">
        <v>211</v>
      </c>
    </row>
    <row r="577" spans="2:16" s="453" customFormat="1" ht="14" x14ac:dyDescent="0.2">
      <c r="B577" s="245" t="s">
        <v>1920</v>
      </c>
      <c r="C577" s="571"/>
      <c r="D577" s="571"/>
      <c r="E577" s="571"/>
      <c r="F577" s="571"/>
      <c r="G577" s="571"/>
      <c r="H577" s="571"/>
      <c r="I577" s="166" t="s">
        <v>211</v>
      </c>
      <c r="J577" s="166" t="s">
        <v>211</v>
      </c>
      <c r="K577" s="166" t="s">
        <v>211</v>
      </c>
      <c r="L577" s="166" t="s">
        <v>211</v>
      </c>
      <c r="M577" s="166" t="s">
        <v>211</v>
      </c>
      <c r="N577" s="166" t="s">
        <v>211</v>
      </c>
      <c r="O577" s="166" t="s">
        <v>211</v>
      </c>
    </row>
    <row r="578" spans="2:16" s="453" customFormat="1" ht="14" x14ac:dyDescent="0.2">
      <c r="B578" s="245" t="s">
        <v>1921</v>
      </c>
      <c r="C578" s="571"/>
      <c r="D578" s="571"/>
      <c r="E578" s="571"/>
      <c r="F578" s="571"/>
      <c r="G578" s="571"/>
      <c r="H578" s="571"/>
      <c r="I578" s="166" t="s">
        <v>211</v>
      </c>
      <c r="J578" s="166" t="s">
        <v>211</v>
      </c>
      <c r="K578" s="166" t="s">
        <v>211</v>
      </c>
      <c r="L578" s="166" t="s">
        <v>211</v>
      </c>
      <c r="M578" s="166" t="s">
        <v>211</v>
      </c>
      <c r="N578" s="166" t="s">
        <v>211</v>
      </c>
      <c r="O578" s="166" t="s">
        <v>211</v>
      </c>
    </row>
    <row r="579" spans="2:16" s="453" customFormat="1" ht="14" x14ac:dyDescent="0.2">
      <c r="B579" s="245" t="s">
        <v>1922</v>
      </c>
      <c r="C579" s="571"/>
      <c r="D579" s="571"/>
      <c r="E579" s="571"/>
      <c r="F579" s="571"/>
      <c r="G579" s="571"/>
      <c r="H579" s="571"/>
      <c r="I579" s="166" t="s">
        <v>211</v>
      </c>
      <c r="J579" s="166" t="s">
        <v>211</v>
      </c>
      <c r="K579" s="166" t="s">
        <v>211</v>
      </c>
      <c r="L579" s="166" t="s">
        <v>211</v>
      </c>
      <c r="M579" s="166" t="s">
        <v>211</v>
      </c>
      <c r="N579" s="166" t="s">
        <v>211</v>
      </c>
      <c r="O579" s="166" t="s">
        <v>211</v>
      </c>
    </row>
    <row r="580" spans="2:16" s="453" customFormat="1" ht="14" x14ac:dyDescent="0.2">
      <c r="B580" s="245" t="s">
        <v>1923</v>
      </c>
      <c r="C580" s="570" t="s">
        <v>1924</v>
      </c>
      <c r="D580" s="570"/>
      <c r="E580" s="570"/>
      <c r="F580" s="570"/>
      <c r="G580" s="570"/>
      <c r="H580" s="570"/>
      <c r="I580" s="166" t="s">
        <v>211</v>
      </c>
      <c r="J580" s="166" t="s">
        <v>211</v>
      </c>
      <c r="K580" s="166" t="s">
        <v>211</v>
      </c>
      <c r="L580" s="166" t="s">
        <v>211</v>
      </c>
      <c r="M580" s="166" t="s">
        <v>211</v>
      </c>
      <c r="N580" s="166" t="s">
        <v>211</v>
      </c>
      <c r="O580" s="166" t="s">
        <v>211</v>
      </c>
    </row>
    <row r="581" spans="2:16" s="453" customFormat="1" ht="14" x14ac:dyDescent="0.2">
      <c r="B581" s="245"/>
      <c r="C581" s="573" t="s">
        <v>1600</v>
      </c>
      <c r="D581" s="573"/>
      <c r="E581" s="573"/>
      <c r="F581" s="573"/>
      <c r="G581" s="573"/>
      <c r="H581" s="573"/>
      <c r="I581" s="98" t="s">
        <v>211</v>
      </c>
      <c r="J581" s="106" t="s">
        <v>214</v>
      </c>
      <c r="K581" s="98" t="s">
        <v>211</v>
      </c>
      <c r="L581" s="106" t="s">
        <v>213</v>
      </c>
      <c r="M581" s="213">
        <f>COUNTIF(K581,Data!$A$1)</f>
        <v>0</v>
      </c>
      <c r="N581" s="213"/>
      <c r="O581" s="107"/>
      <c r="P581" s="107">
        <f>SUM(K582*4)</f>
        <v>0</v>
      </c>
    </row>
    <row r="582" spans="2:16" s="453" customFormat="1" thickBot="1" x14ac:dyDescent="0.25">
      <c r="I582" s="107">
        <f>COUNTIF(I564:I581,Data!$A$1)</f>
        <v>0</v>
      </c>
      <c r="J582" s="107">
        <f>COUNTIF(J564:J580,Data!$A$1)</f>
        <v>0</v>
      </c>
      <c r="K582" s="107">
        <f>COUNTIF(K564:K580,Data!$A$1)</f>
        <v>0</v>
      </c>
      <c r="L582" s="107">
        <f>COUNTIF(L564:L580,Data!$A$1)</f>
        <v>0</v>
      </c>
      <c r="M582" s="107">
        <f>COUNTIF(M564:M580,Data!$A$1)</f>
        <v>0</v>
      </c>
      <c r="N582" s="107">
        <f>COUNTIF(N564:N580,Data!$A$1)</f>
        <v>0</v>
      </c>
      <c r="O582" s="107">
        <f>COUNTIF(O564:O580,Data!$A$1)</f>
        <v>0</v>
      </c>
      <c r="P582" s="107">
        <f>SUM(I582:K582,M581,M582:N582)</f>
        <v>0</v>
      </c>
    </row>
    <row r="583" spans="2:16" s="108" customFormat="1" ht="17" thickBot="1" x14ac:dyDescent="0.25">
      <c r="G583" s="459" t="s">
        <v>1584</v>
      </c>
      <c r="H583" s="459"/>
      <c r="I583" s="459"/>
      <c r="J583" s="460"/>
      <c r="K583" s="574">
        <f>SUM(O583,K582)</f>
        <v>0</v>
      </c>
      <c r="L583" s="575"/>
      <c r="M583" s="116"/>
      <c r="N583" s="109">
        <f>SUM(O583*5)</f>
        <v>0</v>
      </c>
      <c r="O583" s="114">
        <f>SUM(J582,M581)</f>
        <v>0</v>
      </c>
      <c r="P583" s="116">
        <f>SUM(P582*5)</f>
        <v>0</v>
      </c>
    </row>
    <row r="584" spans="2:16" s="108" customFormat="1" ht="12.75" customHeight="1" x14ac:dyDescent="0.2">
      <c r="G584" s="459"/>
      <c r="H584" s="459"/>
      <c r="I584" s="459"/>
      <c r="J584" s="283"/>
      <c r="K584" s="283"/>
      <c r="L584" s="283"/>
      <c r="M584" s="116"/>
      <c r="N584" s="109"/>
      <c r="O584" s="114"/>
      <c r="P584" s="116"/>
    </row>
    <row r="585" spans="2:16" x14ac:dyDescent="0.2">
      <c r="B585" s="461"/>
      <c r="C585" s="461"/>
      <c r="D585" s="465"/>
      <c r="F585" s="461"/>
      <c r="G585" s="464"/>
      <c r="H585" s="461"/>
      <c r="I585" s="129">
        <f>COUNTIF(I69:I581,Data!$A$1)</f>
        <v>0</v>
      </c>
      <c r="J585" s="129">
        <f>COUNTIF(J552:J581,Data!$A$1)</f>
        <v>0</v>
      </c>
      <c r="K585" s="284"/>
      <c r="L585" s="129">
        <f>COUNTIF(L69:L581,Data!$A$1)</f>
        <v>0</v>
      </c>
      <c r="M585" s="129">
        <f>COUNTIF(M69:M580,Data!$A$1)</f>
        <v>0</v>
      </c>
      <c r="N585" s="129">
        <f>COUNTIF(N69:N580,Data!$A$1)</f>
        <v>0</v>
      </c>
      <c r="O585" s="129">
        <f>COUNTIF(O69:O580,Data!$A$1)</f>
        <v>0</v>
      </c>
      <c r="P585" s="129">
        <f>SUM(I585:K585,M585:N585)</f>
        <v>0</v>
      </c>
    </row>
    <row r="586" spans="2:16" x14ac:dyDescent="0.2">
      <c r="B586" s="652" t="s">
        <v>224</v>
      </c>
      <c r="C586" s="652"/>
      <c r="D586" s="652"/>
      <c r="E586" s="652"/>
      <c r="F586" s="653"/>
      <c r="G586" s="840" t="b">
        <v>0</v>
      </c>
      <c r="H586" s="841"/>
      <c r="I586" s="129">
        <f>SUM(I585*5)</f>
        <v>0</v>
      </c>
      <c r="J586" s="129"/>
      <c r="K586" s="129">
        <f>SUM(K585*4)</f>
        <v>0</v>
      </c>
      <c r="L586" s="129"/>
      <c r="M586" s="129">
        <f>SUM(M585*5)</f>
        <v>0</v>
      </c>
      <c r="N586" s="129">
        <f>SUM(N585*5)</f>
        <v>0</v>
      </c>
      <c r="O586" s="129">
        <f>SUM(N586,M586,I586,K586)</f>
        <v>0</v>
      </c>
      <c r="P586" s="129">
        <f>SUM(P585*5)</f>
        <v>0</v>
      </c>
    </row>
    <row r="587" spans="2:16" x14ac:dyDescent="0.2">
      <c r="D587" s="588" t="s">
        <v>1834</v>
      </c>
      <c r="E587" s="588"/>
      <c r="F587" s="588"/>
      <c r="G587" s="588"/>
      <c r="H587" s="588"/>
      <c r="I587" s="98" t="s">
        <v>211</v>
      </c>
      <c r="J587" s="127" t="s">
        <v>214</v>
      </c>
      <c r="K587" s="98" t="s">
        <v>211</v>
      </c>
      <c r="L587" s="127" t="s">
        <v>213</v>
      </c>
      <c r="M587" s="98" t="s">
        <v>211</v>
      </c>
      <c r="N587" s="127" t="s">
        <v>215</v>
      </c>
      <c r="O587" s="129">
        <f>COUNTIF(I587:K587,Data!$A$1)</f>
        <v>0</v>
      </c>
      <c r="P587" s="129">
        <f>SUM(O587*30)</f>
        <v>0</v>
      </c>
    </row>
    <row r="588" spans="2:16" x14ac:dyDescent="0.2">
      <c r="B588" s="461" t="s">
        <v>225</v>
      </c>
      <c r="C588" s="461"/>
      <c r="D588" s="642"/>
      <c r="E588" s="643"/>
      <c r="F588" s="643"/>
      <c r="G588" s="643"/>
      <c r="H588" s="643"/>
      <c r="I588" s="643"/>
      <c r="J588" s="643"/>
      <c r="K588" s="643"/>
      <c r="L588" s="643"/>
      <c r="M588" s="643"/>
      <c r="N588" s="643"/>
      <c r="O588" s="644"/>
      <c r="P588" s="129">
        <f>COUNTIF(I587,Data!$A$1)</f>
        <v>0</v>
      </c>
    </row>
    <row r="589" spans="2:16" x14ac:dyDescent="0.2">
      <c r="D589" s="645"/>
      <c r="E589" s="646"/>
      <c r="F589" s="646"/>
      <c r="G589" s="646"/>
      <c r="H589" s="646"/>
      <c r="I589" s="646"/>
      <c r="J589" s="646"/>
      <c r="K589" s="646"/>
      <c r="L589" s="646"/>
      <c r="M589" s="646"/>
      <c r="N589" s="646"/>
      <c r="O589" s="647"/>
      <c r="P589" s="129">
        <f>SUM(P588*30)</f>
        <v>0</v>
      </c>
    </row>
    <row r="590" spans="2:16" x14ac:dyDescent="0.2">
      <c r="D590" s="645"/>
      <c r="E590" s="646"/>
      <c r="F590" s="646"/>
      <c r="G590" s="646"/>
      <c r="H590" s="646"/>
      <c r="I590" s="646"/>
      <c r="J590" s="646"/>
      <c r="K590" s="646"/>
      <c r="L590" s="646"/>
      <c r="M590" s="646"/>
      <c r="N590" s="646"/>
      <c r="O590" s="647"/>
    </row>
    <row r="591" spans="2:16" x14ac:dyDescent="0.2">
      <c r="D591" s="645"/>
      <c r="E591" s="646"/>
      <c r="F591" s="646"/>
      <c r="G591" s="646"/>
      <c r="H591" s="646"/>
      <c r="I591" s="646"/>
      <c r="J591" s="646"/>
      <c r="K591" s="646"/>
      <c r="L591" s="646"/>
      <c r="M591" s="646"/>
      <c r="N591" s="646"/>
      <c r="O591" s="647"/>
    </row>
    <row r="592" spans="2:16" x14ac:dyDescent="0.2">
      <c r="D592" s="645"/>
      <c r="E592" s="646"/>
      <c r="F592" s="646"/>
      <c r="G592" s="646"/>
      <c r="H592" s="646"/>
      <c r="I592" s="646"/>
      <c r="J592" s="646"/>
      <c r="K592" s="646"/>
      <c r="L592" s="646"/>
      <c r="M592" s="646"/>
      <c r="N592" s="646"/>
      <c r="O592" s="647"/>
    </row>
    <row r="593" spans="2:16" x14ac:dyDescent="0.2">
      <c r="D593" s="648"/>
      <c r="E593" s="649"/>
      <c r="F593" s="649"/>
      <c r="G593" s="649"/>
      <c r="H593" s="649"/>
      <c r="I593" s="649"/>
      <c r="J593" s="649"/>
      <c r="K593" s="649"/>
      <c r="L593" s="649"/>
      <c r="M593" s="649"/>
      <c r="N593" s="649"/>
      <c r="O593" s="650"/>
    </row>
    <row r="594" spans="2:16" s="453" customFormat="1" ht="9.75" customHeight="1" x14ac:dyDescent="0.2">
      <c r="B594" s="140"/>
      <c r="C594" s="141"/>
      <c r="D594" s="141"/>
      <c r="E594" s="141"/>
      <c r="F594" s="142"/>
      <c r="G594" s="143"/>
      <c r="H594" s="143"/>
      <c r="I594" s="143"/>
      <c r="J594" s="143"/>
      <c r="K594" s="143"/>
      <c r="L594" s="143"/>
      <c r="M594" s="143"/>
      <c r="N594" s="144"/>
      <c r="O594" s="145"/>
    </row>
    <row r="595" spans="2:16" s="453" customFormat="1" ht="14" x14ac:dyDescent="0.2">
      <c r="B595" s="146"/>
      <c r="C595" s="680" t="s">
        <v>1559</v>
      </c>
      <c r="D595" s="680"/>
      <c r="E595" s="680"/>
      <c r="F595" s="680"/>
      <c r="G595" s="680"/>
      <c r="H595" s="680"/>
      <c r="I595" s="680"/>
      <c r="J595" s="680"/>
      <c r="K595" s="737"/>
      <c r="L595" s="710"/>
      <c r="M595" s="711"/>
      <c r="N595" s="147"/>
      <c r="O595" s="148"/>
      <c r="P595" s="107">
        <f>SUM(L595*5)</f>
        <v>0</v>
      </c>
    </row>
    <row r="596" spans="2:16" s="453" customFormat="1" ht="14" x14ac:dyDescent="0.2">
      <c r="B596" s="482"/>
      <c r="C596" s="680" t="s">
        <v>1560</v>
      </c>
      <c r="D596" s="680"/>
      <c r="E596" s="680"/>
      <c r="F596" s="680"/>
      <c r="G596" s="680"/>
      <c r="H596" s="680"/>
      <c r="I596" s="680"/>
      <c r="J596" s="680"/>
      <c r="K596" s="737"/>
      <c r="L596" s="710"/>
      <c r="M596" s="711"/>
      <c r="N596" s="476">
        <f>SUM(L595:M597)*5</f>
        <v>0</v>
      </c>
      <c r="O596" s="475"/>
      <c r="P596" s="107">
        <f>SUM(L596*5)</f>
        <v>0</v>
      </c>
    </row>
    <row r="597" spans="2:16" s="453" customFormat="1" ht="14" x14ac:dyDescent="0.2">
      <c r="B597" s="146"/>
      <c r="C597" s="680" t="s">
        <v>1561</v>
      </c>
      <c r="D597" s="680"/>
      <c r="E597" s="680"/>
      <c r="F597" s="680"/>
      <c r="G597" s="680"/>
      <c r="H597" s="680"/>
      <c r="I597" s="680"/>
      <c r="J597" s="680"/>
      <c r="K597" s="737"/>
      <c r="L597" s="710"/>
      <c r="M597" s="711"/>
      <c r="N597" s="147"/>
      <c r="O597" s="148"/>
      <c r="P597" s="107">
        <f>SUM(L597*5)</f>
        <v>0</v>
      </c>
    </row>
    <row r="598" spans="2:16" s="453" customFormat="1" ht="14" x14ac:dyDescent="0.2">
      <c r="B598" s="482"/>
      <c r="C598" s="680" t="s">
        <v>1562</v>
      </c>
      <c r="D598" s="680"/>
      <c r="E598" s="680"/>
      <c r="F598" s="680"/>
      <c r="G598" s="680"/>
      <c r="H598" s="680"/>
      <c r="I598" s="680"/>
      <c r="J598" s="680"/>
      <c r="K598" s="737"/>
      <c r="L598" s="710"/>
      <c r="M598" s="711"/>
      <c r="N598" s="476">
        <f>SUM(L598:M599)</f>
        <v>0</v>
      </c>
      <c r="O598" s="475"/>
      <c r="P598" s="107">
        <f>SUM(L598*1)</f>
        <v>0</v>
      </c>
    </row>
    <row r="599" spans="2:16" s="453" customFormat="1" thickBot="1" x14ac:dyDescent="0.25">
      <c r="B599" s="146"/>
      <c r="C599" s="680" t="s">
        <v>1563</v>
      </c>
      <c r="D599" s="680"/>
      <c r="E599" s="680"/>
      <c r="F599" s="680"/>
      <c r="G599" s="680"/>
      <c r="H599" s="680"/>
      <c r="I599" s="680"/>
      <c r="J599" s="680"/>
      <c r="K599" s="737"/>
      <c r="L599" s="842"/>
      <c r="M599" s="843"/>
      <c r="N599" s="147"/>
      <c r="O599" s="148"/>
      <c r="P599" s="107">
        <f>SUM(L599*1)</f>
        <v>0</v>
      </c>
    </row>
    <row r="600" spans="2:16" s="108" customFormat="1" ht="16.5" customHeight="1" x14ac:dyDescent="0.2">
      <c r="B600" s="481"/>
      <c r="C600" s="477"/>
      <c r="D600" s="477"/>
      <c r="E600" s="477"/>
      <c r="F600" s="478"/>
      <c r="G600" s="479" t="s">
        <v>1593</v>
      </c>
      <c r="H600" s="479"/>
      <c r="I600" s="479"/>
      <c r="J600" s="479"/>
      <c r="K600" s="478"/>
      <c r="L600" s="844">
        <f>SUM(N596,N598)</f>
        <v>0</v>
      </c>
      <c r="M600" s="845"/>
      <c r="N600" s="478"/>
      <c r="O600" s="480"/>
      <c r="P600" s="116">
        <f>SUM(P595:P599)</f>
        <v>0</v>
      </c>
    </row>
    <row r="601" spans="2:16" s="453" customFormat="1" ht="8.25" customHeight="1" x14ac:dyDescent="0.2">
      <c r="B601" s="140"/>
      <c r="C601" s="141"/>
      <c r="D601" s="141"/>
      <c r="E601" s="141"/>
      <c r="F601" s="144"/>
      <c r="G601" s="143"/>
      <c r="H601" s="143"/>
      <c r="I601" s="143"/>
      <c r="J601" s="143"/>
      <c r="K601" s="144"/>
      <c r="L601" s="143"/>
      <c r="M601" s="143"/>
      <c r="N601" s="144"/>
      <c r="O601" s="145"/>
    </row>
    <row r="602" spans="2:16" s="453" customFormat="1" ht="14" x14ac:dyDescent="0.2">
      <c r="B602" s="241" t="s">
        <v>1564</v>
      </c>
      <c r="C602" s="242"/>
      <c r="D602" s="104"/>
      <c r="E602" s="139"/>
      <c r="F602" s="243" t="s">
        <v>1565</v>
      </c>
      <c r="G602" s="243"/>
      <c r="H602" s="243"/>
      <c r="I602" s="243"/>
      <c r="J602" s="98" t="s">
        <v>211</v>
      </c>
      <c r="K602" s="153" t="s">
        <v>214</v>
      </c>
      <c r="L602" s="98" t="s">
        <v>211</v>
      </c>
      <c r="M602" s="106" t="s">
        <v>213</v>
      </c>
      <c r="N602" s="100" t="s">
        <v>211</v>
      </c>
      <c r="O602" s="148" t="s">
        <v>215</v>
      </c>
    </row>
    <row r="603" spans="2:16" s="453" customFormat="1" ht="8.25" customHeight="1" x14ac:dyDescent="0.2">
      <c r="B603" s="154"/>
      <c r="C603" s="155"/>
      <c r="D603" s="155"/>
      <c r="E603" s="155"/>
      <c r="F603" s="156"/>
      <c r="G603" s="157"/>
      <c r="H603" s="157"/>
      <c r="I603" s="157"/>
      <c r="J603" s="157"/>
      <c r="K603" s="156"/>
      <c r="L603" s="157"/>
      <c r="M603" s="157"/>
      <c r="N603" s="156"/>
      <c r="O603" s="158"/>
    </row>
    <row r="604" spans="2:16" s="453" customFormat="1" ht="8.25" customHeight="1" thickBot="1" x14ac:dyDescent="0.25"/>
    <row r="605" spans="2:16" s="108" customFormat="1" ht="16" x14ac:dyDescent="0.2">
      <c r="B605" s="707" t="s">
        <v>294</v>
      </c>
      <c r="C605" s="708"/>
      <c r="D605" s="708"/>
      <c r="E605" s="708"/>
      <c r="F605" s="708"/>
      <c r="G605" s="708"/>
      <c r="H605" s="708"/>
      <c r="I605" s="708"/>
      <c r="J605" s="708"/>
      <c r="K605" s="708"/>
      <c r="L605" s="708"/>
      <c r="M605" s="708"/>
      <c r="N605" s="708"/>
      <c r="O605" s="709"/>
    </row>
    <row r="606" spans="2:16" s="108" customFormat="1" ht="17" thickBot="1" x14ac:dyDescent="0.25">
      <c r="B606" s="699"/>
      <c r="C606" s="700"/>
      <c r="D606" s="700"/>
      <c r="E606" s="700"/>
      <c r="F606" s="700"/>
      <c r="G606" s="700"/>
      <c r="H606" s="700"/>
      <c r="I606" s="700"/>
      <c r="J606" s="700"/>
      <c r="K606" s="700"/>
      <c r="L606" s="700"/>
      <c r="M606" s="700"/>
      <c r="N606" s="700"/>
      <c r="O606" s="701"/>
    </row>
    <row r="607" spans="2:16" s="453" customFormat="1" ht="5.25" customHeight="1" x14ac:dyDescent="0.2"/>
    <row r="608" spans="2:16" s="453" customFormat="1" ht="9.75" customHeight="1" x14ac:dyDescent="0.2">
      <c r="B608" s="112"/>
      <c r="J608" s="105"/>
      <c r="L608" s="207" t="s">
        <v>216</v>
      </c>
      <c r="N608" s="105"/>
    </row>
    <row r="609" spans="1:16" s="453" customFormat="1" ht="10.5" customHeight="1" x14ac:dyDescent="0.2">
      <c r="B609" s="112"/>
      <c r="J609" s="105"/>
      <c r="L609" s="207" t="s">
        <v>216</v>
      </c>
      <c r="N609" s="105"/>
    </row>
    <row r="610" spans="1:16" s="453" customFormat="1" ht="14" x14ac:dyDescent="0.2">
      <c r="B610" s="112"/>
      <c r="I610" s="189">
        <v>1</v>
      </c>
      <c r="J610" s="190">
        <v>2</v>
      </c>
      <c r="K610" s="189">
        <v>3</v>
      </c>
      <c r="L610" s="190">
        <v>4</v>
      </c>
      <c r="M610" s="189">
        <v>5</v>
      </c>
      <c r="N610" s="190">
        <v>6</v>
      </c>
      <c r="O610" s="189" t="s">
        <v>1549</v>
      </c>
      <c r="P610" s="243"/>
    </row>
    <row r="611" spans="1:16" s="453" customFormat="1" ht="14" x14ac:dyDescent="0.2">
      <c r="A611" s="471" t="s">
        <v>1763</v>
      </c>
      <c r="B611" s="112" t="s">
        <v>330</v>
      </c>
      <c r="C611" s="572" t="s">
        <v>1807</v>
      </c>
      <c r="D611" s="572"/>
      <c r="E611" s="572"/>
      <c r="F611" s="572"/>
      <c r="G611" s="572"/>
      <c r="H611" s="285"/>
      <c r="I611" s="168" t="s">
        <v>211</v>
      </c>
      <c r="J611" s="166" t="s">
        <v>211</v>
      </c>
      <c r="K611" s="168" t="s">
        <v>211</v>
      </c>
      <c r="L611" s="166" t="s">
        <v>211</v>
      </c>
      <c r="M611" s="168" t="s">
        <v>211</v>
      </c>
      <c r="N611" s="166" t="s">
        <v>211</v>
      </c>
      <c r="O611" s="168" t="s">
        <v>211</v>
      </c>
      <c r="P611" s="243"/>
    </row>
    <row r="612" spans="1:16" s="453" customFormat="1" ht="14" x14ac:dyDescent="0.2">
      <c r="B612" s="112"/>
      <c r="C612" s="572"/>
      <c r="D612" s="572"/>
      <c r="E612" s="572"/>
      <c r="F612" s="572"/>
      <c r="G612" s="572"/>
      <c r="I612" s="170"/>
      <c r="J612" s="167"/>
      <c r="K612" s="170"/>
      <c r="L612" s="167"/>
      <c r="M612" s="170"/>
      <c r="N612" s="167"/>
      <c r="O612" s="170"/>
      <c r="P612" s="243"/>
    </row>
    <row r="613" spans="1:16" s="453" customFormat="1" ht="14" x14ac:dyDescent="0.2">
      <c r="B613" s="112" t="s">
        <v>331</v>
      </c>
      <c r="C613" s="595" t="s">
        <v>1808</v>
      </c>
      <c r="D613" s="595"/>
      <c r="E613" s="595"/>
      <c r="F613" s="595"/>
      <c r="G613" s="595"/>
      <c r="H613" s="285"/>
      <c r="I613" s="168" t="s">
        <v>211</v>
      </c>
      <c r="J613" s="166" t="s">
        <v>211</v>
      </c>
      <c r="K613" s="168" t="s">
        <v>211</v>
      </c>
      <c r="L613" s="166" t="s">
        <v>211</v>
      </c>
      <c r="M613" s="168" t="s">
        <v>211</v>
      </c>
      <c r="N613" s="166" t="s">
        <v>211</v>
      </c>
      <c r="O613" s="168" t="s">
        <v>211</v>
      </c>
      <c r="P613" s="243"/>
    </row>
    <row r="614" spans="1:16" s="453" customFormat="1" ht="14" x14ac:dyDescent="0.2">
      <c r="B614" s="112"/>
      <c r="C614" s="595"/>
      <c r="D614" s="595"/>
      <c r="E614" s="595"/>
      <c r="F614" s="595"/>
      <c r="G614" s="595"/>
      <c r="I614" s="183"/>
      <c r="J614" s="184"/>
      <c r="K614" s="183"/>
      <c r="L614" s="184"/>
      <c r="M614" s="183"/>
      <c r="N614" s="184"/>
      <c r="O614" s="183"/>
      <c r="P614" s="243"/>
    </row>
    <row r="615" spans="1:16" s="453" customFormat="1" ht="14.25" customHeight="1" x14ac:dyDescent="0.2">
      <c r="B615" s="112" t="s">
        <v>332</v>
      </c>
      <c r="C615" s="888" t="s">
        <v>1876</v>
      </c>
      <c r="D615" s="888"/>
      <c r="E615" s="888"/>
      <c r="F615" s="888"/>
      <c r="G615" s="888"/>
      <c r="H615" s="285"/>
      <c r="I615" s="168" t="s">
        <v>211</v>
      </c>
      <c r="J615" s="166" t="s">
        <v>211</v>
      </c>
      <c r="K615" s="168" t="s">
        <v>211</v>
      </c>
      <c r="L615" s="166" t="s">
        <v>211</v>
      </c>
      <c r="M615" s="168" t="s">
        <v>211</v>
      </c>
      <c r="N615" s="166" t="s">
        <v>211</v>
      </c>
      <c r="O615" s="168" t="s">
        <v>211</v>
      </c>
      <c r="P615" s="243"/>
    </row>
    <row r="616" spans="1:16" s="453" customFormat="1" ht="14" x14ac:dyDescent="0.2">
      <c r="B616" s="112" t="s">
        <v>343</v>
      </c>
      <c r="C616" s="572" t="s">
        <v>1809</v>
      </c>
      <c r="D616" s="572"/>
      <c r="E616" s="572"/>
      <c r="F616" s="572"/>
      <c r="G616" s="572"/>
      <c r="I616" s="183"/>
      <c r="J616" s="184"/>
      <c r="K616" s="183"/>
      <c r="L616" s="184"/>
      <c r="M616" s="183"/>
      <c r="N616" s="184"/>
      <c r="O616" s="183"/>
      <c r="P616" s="243"/>
    </row>
    <row r="617" spans="1:16" s="453" customFormat="1" ht="14" x14ac:dyDescent="0.2">
      <c r="B617" s="112"/>
      <c r="C617" s="572"/>
      <c r="D617" s="572"/>
      <c r="E617" s="572"/>
      <c r="F617" s="572"/>
      <c r="G617" s="572"/>
      <c r="I617" s="183"/>
      <c r="J617" s="184"/>
      <c r="K617" s="183"/>
      <c r="L617" s="184"/>
      <c r="M617" s="183"/>
      <c r="N617" s="184"/>
      <c r="O617" s="183"/>
      <c r="P617" s="243"/>
    </row>
    <row r="618" spans="1:16" s="453" customFormat="1" ht="14" x14ac:dyDescent="0.2">
      <c r="B618" s="112" t="s">
        <v>344</v>
      </c>
      <c r="C618" s="572" t="s">
        <v>1810</v>
      </c>
      <c r="D618" s="572"/>
      <c r="E618" s="572"/>
      <c r="F618" s="572"/>
      <c r="G618" s="572"/>
      <c r="H618" s="285"/>
      <c r="I618" s="168" t="s">
        <v>211</v>
      </c>
      <c r="J618" s="166" t="s">
        <v>211</v>
      </c>
      <c r="K618" s="168" t="s">
        <v>211</v>
      </c>
      <c r="L618" s="166" t="s">
        <v>211</v>
      </c>
      <c r="M618" s="168" t="s">
        <v>211</v>
      </c>
      <c r="N618" s="166" t="s">
        <v>211</v>
      </c>
      <c r="O618" s="168" t="s">
        <v>211</v>
      </c>
      <c r="P618" s="243"/>
    </row>
    <row r="619" spans="1:16" s="453" customFormat="1" ht="14" x14ac:dyDescent="0.2">
      <c r="B619" s="112"/>
      <c r="C619" s="572"/>
      <c r="D619" s="572"/>
      <c r="E619" s="572"/>
      <c r="F619" s="572"/>
      <c r="G619" s="572"/>
      <c r="I619" s="183"/>
      <c r="J619" s="184"/>
      <c r="K619" s="183"/>
      <c r="L619" s="184"/>
      <c r="M619" s="183"/>
      <c r="N619" s="184"/>
      <c r="O619" s="183"/>
      <c r="P619" s="243"/>
    </row>
    <row r="620" spans="1:16" s="453" customFormat="1" ht="12.75" customHeight="1" x14ac:dyDescent="0.2">
      <c r="B620" s="112" t="s">
        <v>370</v>
      </c>
      <c r="C620" s="601" t="s">
        <v>1904</v>
      </c>
      <c r="D620" s="601"/>
      <c r="E620" s="601"/>
      <c r="F620" s="601"/>
      <c r="G620" s="601"/>
      <c r="H620" s="285"/>
      <c r="I620" s="168" t="s">
        <v>211</v>
      </c>
      <c r="J620" s="166" t="s">
        <v>211</v>
      </c>
      <c r="K620" s="168" t="s">
        <v>211</v>
      </c>
      <c r="L620" s="166" t="s">
        <v>211</v>
      </c>
      <c r="M620" s="168" t="s">
        <v>211</v>
      </c>
      <c r="N620" s="166" t="s">
        <v>211</v>
      </c>
      <c r="O620" s="168" t="s">
        <v>211</v>
      </c>
      <c r="P620" s="243"/>
    </row>
    <row r="621" spans="1:16" s="453" customFormat="1" ht="14" x14ac:dyDescent="0.2">
      <c r="B621" s="112"/>
      <c r="C621" s="601"/>
      <c r="D621" s="601"/>
      <c r="E621" s="601"/>
      <c r="F621" s="601"/>
      <c r="G621" s="601"/>
      <c r="I621" s="183"/>
      <c r="J621" s="184"/>
      <c r="K621" s="183"/>
      <c r="L621" s="184"/>
      <c r="M621" s="183"/>
      <c r="N621" s="184"/>
      <c r="O621" s="183"/>
      <c r="P621" s="243"/>
    </row>
    <row r="622" spans="1:16" s="453" customFormat="1" ht="14" x14ac:dyDescent="0.2">
      <c r="B622" s="112"/>
      <c r="C622" s="601"/>
      <c r="D622" s="601"/>
      <c r="E622" s="601"/>
      <c r="F622" s="601"/>
      <c r="G622" s="601"/>
      <c r="I622" s="183"/>
      <c r="J622" s="184"/>
      <c r="K622" s="183"/>
      <c r="L622" s="184"/>
      <c r="M622" s="183"/>
      <c r="N622" s="184"/>
      <c r="O622" s="183"/>
      <c r="P622" s="243"/>
    </row>
    <row r="623" spans="1:16" s="453" customFormat="1" ht="0.75" customHeight="1" x14ac:dyDescent="0.2">
      <c r="B623" s="112"/>
      <c r="C623" s="286"/>
      <c r="D623" s="286"/>
      <c r="E623" s="286"/>
      <c r="F623" s="286"/>
      <c r="G623" s="286"/>
      <c r="I623" s="183"/>
      <c r="J623" s="184"/>
      <c r="K623" s="183"/>
      <c r="L623" s="184"/>
      <c r="M623" s="183"/>
      <c r="N623" s="184"/>
      <c r="O623" s="183"/>
      <c r="P623" s="243"/>
    </row>
    <row r="624" spans="1:16" s="453" customFormat="1" ht="14" x14ac:dyDescent="0.2">
      <c r="B624" s="112" t="s">
        <v>372</v>
      </c>
      <c r="C624" s="572" t="s">
        <v>1811</v>
      </c>
      <c r="D624" s="572"/>
      <c r="E624" s="572"/>
      <c r="F624" s="572"/>
      <c r="G624" s="572"/>
      <c r="H624" s="285"/>
      <c r="I624" s="168" t="s">
        <v>211</v>
      </c>
      <c r="J624" s="166" t="s">
        <v>211</v>
      </c>
      <c r="K624" s="168" t="s">
        <v>211</v>
      </c>
      <c r="L624" s="166" t="s">
        <v>211</v>
      </c>
      <c r="M624" s="168" t="s">
        <v>211</v>
      </c>
      <c r="N624" s="166" t="s">
        <v>211</v>
      </c>
      <c r="O624" s="168" t="s">
        <v>211</v>
      </c>
      <c r="P624" s="243"/>
    </row>
    <row r="625" spans="1:16" s="453" customFormat="1" ht="14" x14ac:dyDescent="0.2">
      <c r="B625" s="112"/>
      <c r="C625" s="572"/>
      <c r="D625" s="572"/>
      <c r="E625" s="572"/>
      <c r="F625" s="572"/>
      <c r="G625" s="572"/>
      <c r="I625" s="212">
        <f>COUNTIF(I611:I624,Data!$A$1)</f>
        <v>0</v>
      </c>
      <c r="J625" s="209">
        <f>COUNTIF(J611:J624,Data!$A$1)</f>
        <v>0</v>
      </c>
      <c r="K625" s="212">
        <f>COUNTIF(K611:K624,Data!$A$1)</f>
        <v>0</v>
      </c>
      <c r="L625" s="209">
        <f>COUNTIF(L611:L624,Data!$A$1)</f>
        <v>0</v>
      </c>
      <c r="M625" s="212">
        <f>COUNTIF(M611:M624,Data!$A$1)</f>
        <v>0</v>
      </c>
      <c r="N625" s="209">
        <f>COUNTIF(N611:N624,Data!$A$1)</f>
        <v>0</v>
      </c>
      <c r="O625" s="212">
        <f>COUNTIF(O611:O624,Data!$A$1)</f>
        <v>0</v>
      </c>
      <c r="P625" s="287">
        <f>SUM(I625:K625,M625:N625)</f>
        <v>0</v>
      </c>
    </row>
    <row r="626" spans="1:16" s="453" customFormat="1" ht="14" x14ac:dyDescent="0.2">
      <c r="B626" s="112"/>
      <c r="C626" s="572"/>
      <c r="D626" s="572"/>
      <c r="E626" s="572"/>
      <c r="F626" s="572"/>
      <c r="G626" s="572"/>
      <c r="I626" s="212">
        <f>SUM(I625*15)</f>
        <v>0</v>
      </c>
      <c r="J626" s="205"/>
      <c r="K626" s="212">
        <f>SUM(K625*10)</f>
        <v>0</v>
      </c>
      <c r="L626" s="205"/>
      <c r="M626" s="212">
        <f>SUM(M625*15)</f>
        <v>0</v>
      </c>
      <c r="N626" s="205">
        <f>SUM(N625*15)</f>
        <v>0</v>
      </c>
      <c r="O626" s="212">
        <f>SUM(I626:N626)</f>
        <v>0</v>
      </c>
      <c r="P626" s="287">
        <f>SUM(P625*15)</f>
        <v>0</v>
      </c>
    </row>
    <row r="627" spans="1:16" s="453" customFormat="1" ht="14" x14ac:dyDescent="0.2">
      <c r="B627" s="112"/>
      <c r="I627" s="133"/>
      <c r="J627" s="106"/>
      <c r="K627" s="133"/>
      <c r="L627" s="106"/>
      <c r="M627" s="133"/>
      <c r="N627" s="106"/>
      <c r="O627" s="133"/>
      <c r="P627" s="243"/>
    </row>
    <row r="628" spans="1:16" s="453" customFormat="1" ht="12.75" customHeight="1" x14ac:dyDescent="0.2">
      <c r="A628" s="471">
        <v>1</v>
      </c>
      <c r="B628" s="112" t="s">
        <v>330</v>
      </c>
      <c r="C628" s="572" t="s">
        <v>359</v>
      </c>
      <c r="D628" s="572"/>
      <c r="E628" s="572"/>
      <c r="F628" s="572"/>
      <c r="G628" s="572"/>
      <c r="H628" s="285"/>
      <c r="I628" s="168" t="s">
        <v>211</v>
      </c>
      <c r="J628" s="166" t="s">
        <v>211</v>
      </c>
      <c r="K628" s="168" t="s">
        <v>211</v>
      </c>
      <c r="L628" s="166" t="s">
        <v>211</v>
      </c>
      <c r="M628" s="168" t="s">
        <v>211</v>
      </c>
      <c r="N628" s="166" t="s">
        <v>211</v>
      </c>
      <c r="O628" s="168" t="s">
        <v>211</v>
      </c>
    </row>
    <row r="629" spans="1:16" s="453" customFormat="1" ht="14" x14ac:dyDescent="0.2">
      <c r="B629" s="112"/>
      <c r="C629" s="572"/>
      <c r="D629" s="572"/>
      <c r="E629" s="572"/>
      <c r="F629" s="572"/>
      <c r="G629" s="572"/>
      <c r="I629" s="169"/>
      <c r="J629" s="167"/>
      <c r="K629" s="169"/>
      <c r="L629" s="167"/>
      <c r="M629" s="169"/>
      <c r="N629" s="167"/>
      <c r="O629" s="169"/>
    </row>
    <row r="630" spans="1:16" s="453" customFormat="1" ht="14" x14ac:dyDescent="0.2">
      <c r="B630" s="112"/>
      <c r="I630" s="135"/>
      <c r="J630" s="105"/>
      <c r="K630" s="135"/>
      <c r="L630" s="105"/>
      <c r="M630" s="135"/>
      <c r="N630" s="105"/>
      <c r="O630" s="135"/>
    </row>
    <row r="631" spans="1:16" s="453" customFormat="1" ht="12.75" customHeight="1" x14ac:dyDescent="0.2">
      <c r="A631" s="471">
        <v>2</v>
      </c>
      <c r="B631" s="112" t="s">
        <v>330</v>
      </c>
      <c r="C631" s="572" t="s">
        <v>359</v>
      </c>
      <c r="D631" s="572"/>
      <c r="E631" s="572"/>
      <c r="F631" s="572"/>
      <c r="G631" s="572"/>
      <c r="H631" s="285"/>
      <c r="I631" s="168" t="s">
        <v>211</v>
      </c>
      <c r="J631" s="166" t="s">
        <v>211</v>
      </c>
      <c r="K631" s="168" t="s">
        <v>211</v>
      </c>
      <c r="L631" s="166" t="s">
        <v>211</v>
      </c>
      <c r="M631" s="168" t="s">
        <v>211</v>
      </c>
      <c r="N631" s="166" t="s">
        <v>211</v>
      </c>
      <c r="O631" s="168" t="s">
        <v>211</v>
      </c>
    </row>
    <row r="632" spans="1:16" s="453" customFormat="1" ht="14" x14ac:dyDescent="0.2">
      <c r="B632" s="112"/>
      <c r="C632" s="572"/>
      <c r="D632" s="572"/>
      <c r="E632" s="572"/>
      <c r="F632" s="572"/>
      <c r="G632" s="572"/>
      <c r="I632" s="169"/>
      <c r="J632" s="167"/>
      <c r="K632" s="169"/>
      <c r="L632" s="167"/>
      <c r="M632" s="169"/>
      <c r="N632" s="167"/>
      <c r="O632" s="169"/>
    </row>
    <row r="633" spans="1:16" s="453" customFormat="1" ht="14" x14ac:dyDescent="0.2">
      <c r="B633" s="112" t="s">
        <v>331</v>
      </c>
      <c r="C633" s="572" t="s">
        <v>328</v>
      </c>
      <c r="D633" s="572"/>
      <c r="E633" s="572"/>
      <c r="F633" s="572"/>
      <c r="G633" s="572"/>
      <c r="H633" s="285"/>
      <c r="I633" s="168" t="s">
        <v>211</v>
      </c>
      <c r="J633" s="166" t="s">
        <v>211</v>
      </c>
      <c r="K633" s="168" t="s">
        <v>211</v>
      </c>
      <c r="L633" s="166" t="s">
        <v>211</v>
      </c>
      <c r="M633" s="168" t="s">
        <v>211</v>
      </c>
      <c r="N633" s="166" t="s">
        <v>211</v>
      </c>
      <c r="O633" s="168" t="s">
        <v>211</v>
      </c>
    </row>
    <row r="634" spans="1:16" s="453" customFormat="1" ht="14" x14ac:dyDescent="0.2">
      <c r="B634" s="112"/>
      <c r="C634" s="572"/>
      <c r="D634" s="572"/>
      <c r="E634" s="572"/>
      <c r="F634" s="572"/>
      <c r="G634" s="572"/>
      <c r="I634" s="169"/>
      <c r="J634" s="167"/>
      <c r="K634" s="169"/>
      <c r="L634" s="167"/>
      <c r="M634" s="169"/>
      <c r="N634" s="167"/>
      <c r="O634" s="169"/>
    </row>
    <row r="635" spans="1:16" s="453" customFormat="1" ht="14" x14ac:dyDescent="0.2">
      <c r="B635" s="112" t="s">
        <v>332</v>
      </c>
      <c r="C635" s="572" t="s">
        <v>329</v>
      </c>
      <c r="D635" s="572"/>
      <c r="E635" s="572"/>
      <c r="F635" s="572"/>
      <c r="G635" s="572"/>
      <c r="H635" s="285"/>
      <c r="I635" s="168" t="s">
        <v>211</v>
      </c>
      <c r="J635" s="166" t="s">
        <v>211</v>
      </c>
      <c r="K635" s="168" t="s">
        <v>211</v>
      </c>
      <c r="L635" s="166" t="s">
        <v>211</v>
      </c>
      <c r="M635" s="168" t="s">
        <v>211</v>
      </c>
      <c r="N635" s="166" t="s">
        <v>211</v>
      </c>
      <c r="O635" s="168" t="s">
        <v>211</v>
      </c>
    </row>
    <row r="636" spans="1:16" s="453" customFormat="1" ht="14" x14ac:dyDescent="0.2">
      <c r="A636" s="473"/>
      <c r="B636" s="112"/>
      <c r="C636" s="572"/>
      <c r="D636" s="572"/>
      <c r="E636" s="572"/>
      <c r="F636" s="572"/>
      <c r="G636" s="572"/>
      <c r="I636" s="169"/>
      <c r="J636" s="167"/>
      <c r="K636" s="169"/>
      <c r="L636" s="167"/>
      <c r="M636" s="169"/>
      <c r="N636" s="167"/>
      <c r="O636" s="169"/>
    </row>
    <row r="637" spans="1:16" s="453" customFormat="1" ht="14" x14ac:dyDescent="0.2">
      <c r="A637" s="473"/>
      <c r="B637" s="112"/>
      <c r="C637" s="572"/>
      <c r="D637" s="572"/>
      <c r="E637" s="572"/>
      <c r="F637" s="572"/>
      <c r="G637" s="572"/>
      <c r="I637" s="169"/>
      <c r="J637" s="167"/>
      <c r="K637" s="169"/>
      <c r="L637" s="167"/>
      <c r="M637" s="169"/>
      <c r="N637" s="167"/>
      <c r="O637" s="169"/>
    </row>
    <row r="638" spans="1:16" s="453" customFormat="1" ht="12.75" customHeight="1" x14ac:dyDescent="0.2">
      <c r="A638" s="473"/>
      <c r="B638" s="288" t="s">
        <v>333</v>
      </c>
      <c r="C638" s="814" t="s">
        <v>334</v>
      </c>
      <c r="D638" s="814"/>
      <c r="E638" s="814"/>
      <c r="F638" s="814"/>
      <c r="G638" s="814"/>
      <c r="H638" s="285"/>
      <c r="I638" s="168" t="s">
        <v>211</v>
      </c>
      <c r="J638" s="166" t="s">
        <v>211</v>
      </c>
      <c r="K638" s="168" t="s">
        <v>211</v>
      </c>
      <c r="L638" s="166" t="s">
        <v>211</v>
      </c>
      <c r="M638" s="168" t="s">
        <v>211</v>
      </c>
      <c r="N638" s="166" t="s">
        <v>211</v>
      </c>
      <c r="O638" s="168" t="s">
        <v>211</v>
      </c>
    </row>
    <row r="639" spans="1:16" s="453" customFormat="1" ht="14" x14ac:dyDescent="0.2">
      <c r="A639" s="473"/>
      <c r="B639" s="288"/>
      <c r="C639" s="814"/>
      <c r="D639" s="814"/>
      <c r="E639" s="814"/>
      <c r="F639" s="814"/>
      <c r="G639" s="814"/>
      <c r="I639" s="169"/>
      <c r="J639" s="167"/>
      <c r="K639" s="169"/>
      <c r="L639" s="167"/>
      <c r="M639" s="169"/>
      <c r="N639" s="167"/>
      <c r="O639" s="169"/>
    </row>
    <row r="640" spans="1:16" s="453" customFormat="1" ht="14" x14ac:dyDescent="0.2">
      <c r="A640" s="473"/>
      <c r="B640" s="288"/>
      <c r="C640" s="814"/>
      <c r="D640" s="814"/>
      <c r="E640" s="814"/>
      <c r="F640" s="814"/>
      <c r="G640" s="814"/>
      <c r="I640" s="169"/>
      <c r="J640" s="167"/>
      <c r="K640" s="169"/>
      <c r="L640" s="167"/>
      <c r="M640" s="169"/>
      <c r="N640" s="167"/>
      <c r="O640" s="169"/>
    </row>
    <row r="641" spans="1:15" s="453" customFormat="1" ht="14" x14ac:dyDescent="0.2">
      <c r="A641" s="473"/>
      <c r="B641" s="112"/>
      <c r="I641" s="135"/>
      <c r="J641" s="105"/>
      <c r="K641" s="135"/>
      <c r="L641" s="105"/>
      <c r="M641" s="135"/>
      <c r="N641" s="105"/>
      <c r="O641" s="135"/>
    </row>
    <row r="642" spans="1:15" s="453" customFormat="1" ht="12.75" customHeight="1" x14ac:dyDescent="0.2">
      <c r="A642" s="471">
        <v>3</v>
      </c>
      <c r="B642" s="112" t="s">
        <v>330</v>
      </c>
      <c r="C642" s="572" t="s">
        <v>359</v>
      </c>
      <c r="D642" s="572"/>
      <c r="E642" s="572"/>
      <c r="F642" s="572"/>
      <c r="G642" s="572"/>
      <c r="H642" s="285"/>
      <c r="I642" s="168" t="s">
        <v>211</v>
      </c>
      <c r="J642" s="166" t="s">
        <v>211</v>
      </c>
      <c r="K642" s="168" t="s">
        <v>211</v>
      </c>
      <c r="L642" s="166" t="s">
        <v>211</v>
      </c>
      <c r="M642" s="168" t="s">
        <v>211</v>
      </c>
      <c r="N642" s="166" t="s">
        <v>211</v>
      </c>
      <c r="O642" s="168" t="s">
        <v>211</v>
      </c>
    </row>
    <row r="643" spans="1:15" s="453" customFormat="1" ht="14" x14ac:dyDescent="0.2">
      <c r="A643" s="473"/>
      <c r="B643" s="112"/>
      <c r="C643" s="572"/>
      <c r="D643" s="572"/>
      <c r="E643" s="572"/>
      <c r="F643" s="572"/>
      <c r="G643" s="572"/>
      <c r="I643" s="169"/>
      <c r="J643" s="167"/>
      <c r="K643" s="169"/>
      <c r="L643" s="167"/>
      <c r="M643" s="169"/>
      <c r="N643" s="167"/>
      <c r="O643" s="169"/>
    </row>
    <row r="644" spans="1:15" s="453" customFormat="1" ht="14" x14ac:dyDescent="0.2">
      <c r="A644" s="473"/>
      <c r="B644" s="112" t="s">
        <v>331</v>
      </c>
      <c r="C644" s="573" t="s">
        <v>335</v>
      </c>
      <c r="D644" s="573"/>
      <c r="E644" s="573"/>
      <c r="F644" s="573"/>
      <c r="G644" s="573"/>
      <c r="H644" s="285"/>
      <c r="I644" s="168" t="s">
        <v>211</v>
      </c>
      <c r="J644" s="166" t="s">
        <v>211</v>
      </c>
      <c r="K644" s="168" t="s">
        <v>211</v>
      </c>
      <c r="L644" s="166" t="s">
        <v>211</v>
      </c>
      <c r="M644" s="168" t="s">
        <v>211</v>
      </c>
      <c r="N644" s="166" t="s">
        <v>211</v>
      </c>
      <c r="O644" s="168" t="s">
        <v>211</v>
      </c>
    </row>
    <row r="645" spans="1:15" s="453" customFormat="1" ht="14" x14ac:dyDescent="0.2">
      <c r="A645" s="473"/>
      <c r="B645" s="112" t="s">
        <v>332</v>
      </c>
      <c r="C645" s="573" t="s">
        <v>336</v>
      </c>
      <c r="D645" s="573"/>
      <c r="E645" s="573"/>
      <c r="F645" s="573"/>
      <c r="G645" s="573"/>
      <c r="H645" s="285"/>
      <c r="I645" s="168" t="s">
        <v>211</v>
      </c>
      <c r="J645" s="166" t="s">
        <v>211</v>
      </c>
      <c r="K645" s="168" t="s">
        <v>211</v>
      </c>
      <c r="L645" s="166" t="s">
        <v>211</v>
      </c>
      <c r="M645" s="168" t="s">
        <v>211</v>
      </c>
      <c r="N645" s="166" t="s">
        <v>211</v>
      </c>
      <c r="O645" s="168" t="s">
        <v>211</v>
      </c>
    </row>
    <row r="646" spans="1:15" s="453" customFormat="1" ht="14" x14ac:dyDescent="0.2">
      <c r="A646" s="473"/>
      <c r="B646" s="112" t="s">
        <v>333</v>
      </c>
      <c r="C646" s="573" t="s">
        <v>337</v>
      </c>
      <c r="D646" s="573"/>
      <c r="E646" s="573"/>
      <c r="F646" s="573"/>
      <c r="G646" s="573"/>
      <c r="H646" s="285"/>
      <c r="I646" s="168" t="s">
        <v>211</v>
      </c>
      <c r="J646" s="166" t="s">
        <v>211</v>
      </c>
      <c r="K646" s="168" t="s">
        <v>211</v>
      </c>
      <c r="L646" s="166" t="s">
        <v>211</v>
      </c>
      <c r="M646" s="168" t="s">
        <v>211</v>
      </c>
      <c r="N646" s="166" t="s">
        <v>211</v>
      </c>
      <c r="O646" s="168" t="s">
        <v>211</v>
      </c>
    </row>
    <row r="647" spans="1:15" s="453" customFormat="1" ht="14" x14ac:dyDescent="0.2">
      <c r="A647" s="473"/>
      <c r="B647" s="112"/>
      <c r="I647" s="135"/>
      <c r="J647" s="105"/>
      <c r="K647" s="135"/>
      <c r="L647" s="105"/>
      <c r="M647" s="135"/>
      <c r="N647" s="105"/>
      <c r="O647" s="135"/>
    </row>
    <row r="648" spans="1:15" s="453" customFormat="1" ht="12.75" customHeight="1" x14ac:dyDescent="0.2">
      <c r="A648" s="471">
        <v>4</v>
      </c>
      <c r="B648" s="112" t="s">
        <v>330</v>
      </c>
      <c r="C648" s="572" t="s">
        <v>359</v>
      </c>
      <c r="D648" s="572"/>
      <c r="E648" s="572"/>
      <c r="F648" s="572"/>
      <c r="G648" s="572"/>
      <c r="H648" s="285"/>
      <c r="I648" s="168" t="s">
        <v>211</v>
      </c>
      <c r="J648" s="166" t="s">
        <v>211</v>
      </c>
      <c r="K648" s="168" t="s">
        <v>211</v>
      </c>
      <c r="L648" s="166" t="s">
        <v>211</v>
      </c>
      <c r="M648" s="168" t="s">
        <v>211</v>
      </c>
      <c r="N648" s="166" t="s">
        <v>211</v>
      </c>
      <c r="O648" s="168" t="s">
        <v>211</v>
      </c>
    </row>
    <row r="649" spans="1:15" s="453" customFormat="1" ht="14" x14ac:dyDescent="0.2">
      <c r="A649" s="473"/>
      <c r="B649" s="112"/>
      <c r="C649" s="572"/>
      <c r="D649" s="572"/>
      <c r="E649" s="572"/>
      <c r="F649" s="572"/>
      <c r="G649" s="572"/>
      <c r="I649" s="169"/>
      <c r="J649" s="167"/>
      <c r="K649" s="169"/>
      <c r="L649" s="167"/>
      <c r="M649" s="169"/>
      <c r="N649" s="167"/>
      <c r="O649" s="169"/>
    </row>
    <row r="650" spans="1:15" s="453" customFormat="1" ht="14" x14ac:dyDescent="0.2">
      <c r="A650" s="473"/>
      <c r="B650" s="112" t="s">
        <v>331</v>
      </c>
      <c r="C650" s="572" t="s">
        <v>338</v>
      </c>
      <c r="D650" s="572"/>
      <c r="E650" s="572"/>
      <c r="F650" s="572"/>
      <c r="G650" s="572"/>
      <c r="H650" s="285"/>
      <c r="I650" s="168" t="s">
        <v>211</v>
      </c>
      <c r="J650" s="166" t="s">
        <v>211</v>
      </c>
      <c r="K650" s="168" t="s">
        <v>211</v>
      </c>
      <c r="L650" s="166" t="s">
        <v>211</v>
      </c>
      <c r="M650" s="168" t="s">
        <v>211</v>
      </c>
      <c r="N650" s="166" t="s">
        <v>211</v>
      </c>
      <c r="O650" s="168" t="s">
        <v>211</v>
      </c>
    </row>
    <row r="651" spans="1:15" s="453" customFormat="1" ht="14" x14ac:dyDescent="0.2">
      <c r="A651" s="473"/>
      <c r="B651" s="112"/>
      <c r="C651" s="572"/>
      <c r="D651" s="572"/>
      <c r="E651" s="572"/>
      <c r="F651" s="572"/>
      <c r="G651" s="572"/>
      <c r="I651" s="169"/>
      <c r="J651" s="167"/>
      <c r="K651" s="169"/>
      <c r="L651" s="167"/>
      <c r="M651" s="169"/>
      <c r="N651" s="167"/>
      <c r="O651" s="169"/>
    </row>
    <row r="652" spans="1:15" s="453" customFormat="1" ht="14" x14ac:dyDescent="0.2">
      <c r="A652" s="473"/>
      <c r="B652" s="288" t="s">
        <v>333</v>
      </c>
      <c r="C652" s="597" t="s">
        <v>339</v>
      </c>
      <c r="D652" s="597"/>
      <c r="E652" s="597"/>
      <c r="F652" s="597"/>
      <c r="G652" s="597"/>
      <c r="H652" s="285"/>
      <c r="I652" s="168" t="s">
        <v>211</v>
      </c>
      <c r="J652" s="166" t="s">
        <v>211</v>
      </c>
      <c r="K652" s="168" t="s">
        <v>211</v>
      </c>
      <c r="L652" s="166" t="s">
        <v>211</v>
      </c>
      <c r="M652" s="168" t="s">
        <v>211</v>
      </c>
      <c r="N652" s="166" t="s">
        <v>211</v>
      </c>
      <c r="O652" s="168" t="s">
        <v>211</v>
      </c>
    </row>
    <row r="653" spans="1:15" s="453" customFormat="1" ht="14" x14ac:dyDescent="0.2">
      <c r="A653" s="473"/>
      <c r="B653" s="288"/>
      <c r="C653" s="597"/>
      <c r="D653" s="597"/>
      <c r="E653" s="597"/>
      <c r="F653" s="597"/>
      <c r="G653" s="597"/>
      <c r="I653" s="169"/>
      <c r="J653" s="167"/>
      <c r="K653" s="169"/>
      <c r="L653" s="167"/>
      <c r="M653" s="169"/>
      <c r="N653" s="167"/>
      <c r="O653" s="169"/>
    </row>
    <row r="654" spans="1:15" s="453" customFormat="1" ht="14" x14ac:dyDescent="0.2">
      <c r="A654" s="473"/>
      <c r="B654" s="112"/>
      <c r="I654" s="135"/>
      <c r="J654" s="105"/>
      <c r="K654" s="135"/>
      <c r="L654" s="105"/>
      <c r="M654" s="135"/>
      <c r="N654" s="105"/>
      <c r="O654" s="135"/>
    </row>
    <row r="655" spans="1:15" s="453" customFormat="1" ht="12.75" customHeight="1" x14ac:dyDescent="0.2">
      <c r="A655" s="471">
        <v>5</v>
      </c>
      <c r="B655" s="112" t="s">
        <v>330</v>
      </c>
      <c r="C655" s="572" t="s">
        <v>359</v>
      </c>
      <c r="D655" s="572"/>
      <c r="E655" s="572"/>
      <c r="F655" s="572"/>
      <c r="G655" s="572"/>
      <c r="H655" s="285"/>
      <c r="I655" s="168" t="s">
        <v>211</v>
      </c>
      <c r="J655" s="166" t="s">
        <v>211</v>
      </c>
      <c r="K655" s="168" t="s">
        <v>211</v>
      </c>
      <c r="L655" s="166" t="s">
        <v>211</v>
      </c>
      <c r="M655" s="168" t="s">
        <v>211</v>
      </c>
      <c r="N655" s="166" t="s">
        <v>211</v>
      </c>
      <c r="O655" s="168" t="s">
        <v>211</v>
      </c>
    </row>
    <row r="656" spans="1:15" s="453" customFormat="1" ht="14" x14ac:dyDescent="0.2">
      <c r="A656" s="473"/>
      <c r="B656" s="112"/>
      <c r="C656" s="572"/>
      <c r="D656" s="572"/>
      <c r="E656" s="572"/>
      <c r="F656" s="572"/>
      <c r="G656" s="572"/>
      <c r="I656" s="169"/>
      <c r="J656" s="167"/>
      <c r="K656" s="169"/>
      <c r="L656" s="167"/>
      <c r="M656" s="169"/>
      <c r="N656" s="167"/>
      <c r="O656" s="169"/>
    </row>
    <row r="657" spans="1:15" s="453" customFormat="1" ht="14" x14ac:dyDescent="0.2">
      <c r="A657" s="473"/>
      <c r="B657" s="112"/>
      <c r="I657" s="135"/>
      <c r="J657" s="105"/>
      <c r="K657" s="135"/>
      <c r="L657" s="105"/>
      <c r="M657" s="135"/>
      <c r="N657" s="105"/>
      <c r="O657" s="135"/>
    </row>
    <row r="658" spans="1:15" s="453" customFormat="1" ht="12.75" customHeight="1" x14ac:dyDescent="0.2">
      <c r="A658" s="471">
        <v>6</v>
      </c>
      <c r="B658" s="112" t="s">
        <v>330</v>
      </c>
      <c r="C658" s="572" t="s">
        <v>359</v>
      </c>
      <c r="D658" s="572"/>
      <c r="E658" s="572"/>
      <c r="F658" s="572"/>
      <c r="G658" s="572"/>
      <c r="H658" s="285"/>
      <c r="I658" s="168" t="s">
        <v>211</v>
      </c>
      <c r="J658" s="166" t="s">
        <v>211</v>
      </c>
      <c r="K658" s="168" t="s">
        <v>211</v>
      </c>
      <c r="L658" s="166" t="s">
        <v>211</v>
      </c>
      <c r="M658" s="168" t="s">
        <v>211</v>
      </c>
      <c r="N658" s="166" t="s">
        <v>211</v>
      </c>
      <c r="O658" s="168" t="s">
        <v>211</v>
      </c>
    </row>
    <row r="659" spans="1:15" s="453" customFormat="1" ht="14" x14ac:dyDescent="0.2">
      <c r="A659" s="473"/>
      <c r="B659" s="112"/>
      <c r="C659" s="572"/>
      <c r="D659" s="572"/>
      <c r="E659" s="572"/>
      <c r="F659" s="572"/>
      <c r="G659" s="572"/>
      <c r="I659" s="169"/>
      <c r="J659" s="167"/>
      <c r="K659" s="169"/>
      <c r="L659" s="167"/>
      <c r="M659" s="169"/>
      <c r="N659" s="167"/>
      <c r="O659" s="169"/>
    </row>
    <row r="660" spans="1:15" s="453" customFormat="1" ht="14" x14ac:dyDescent="0.2">
      <c r="A660" s="473"/>
      <c r="B660" s="112" t="s">
        <v>331</v>
      </c>
      <c r="C660" s="572" t="s">
        <v>340</v>
      </c>
      <c r="D660" s="572"/>
      <c r="E660" s="572"/>
      <c r="F660" s="572"/>
      <c r="G660" s="572"/>
      <c r="H660" s="285"/>
      <c r="I660" s="168" t="s">
        <v>211</v>
      </c>
      <c r="J660" s="166" t="s">
        <v>211</v>
      </c>
      <c r="K660" s="168" t="s">
        <v>211</v>
      </c>
      <c r="L660" s="166" t="s">
        <v>211</v>
      </c>
      <c r="M660" s="168" t="s">
        <v>211</v>
      </c>
      <c r="N660" s="166" t="s">
        <v>211</v>
      </c>
      <c r="O660" s="168" t="s">
        <v>211</v>
      </c>
    </row>
    <row r="661" spans="1:15" s="453" customFormat="1" ht="14" x14ac:dyDescent="0.2">
      <c r="A661" s="473"/>
      <c r="B661" s="112"/>
      <c r="C661" s="572"/>
      <c r="D661" s="572"/>
      <c r="E661" s="572"/>
      <c r="F661" s="572"/>
      <c r="G661" s="572"/>
      <c r="I661" s="169"/>
      <c r="J661" s="167"/>
      <c r="K661" s="169"/>
      <c r="L661" s="167"/>
      <c r="M661" s="169"/>
      <c r="N661" s="167"/>
      <c r="O661" s="169"/>
    </row>
    <row r="662" spans="1:15" s="453" customFormat="1" ht="12.75" customHeight="1" x14ac:dyDescent="0.2">
      <c r="A662" s="473"/>
      <c r="B662" s="112" t="s">
        <v>332</v>
      </c>
      <c r="C662" s="595" t="s">
        <v>341</v>
      </c>
      <c r="D662" s="595"/>
      <c r="E662" s="595"/>
      <c r="F662" s="595"/>
      <c r="G662" s="595"/>
      <c r="H662" s="285"/>
      <c r="I662" s="168" t="s">
        <v>211</v>
      </c>
      <c r="J662" s="166" t="s">
        <v>211</v>
      </c>
      <c r="K662" s="168" t="s">
        <v>211</v>
      </c>
      <c r="L662" s="166" t="s">
        <v>211</v>
      </c>
      <c r="M662" s="168" t="s">
        <v>211</v>
      </c>
      <c r="N662" s="166" t="s">
        <v>211</v>
      </c>
      <c r="O662" s="168" t="s">
        <v>211</v>
      </c>
    </row>
    <row r="663" spans="1:15" s="453" customFormat="1" ht="14" x14ac:dyDescent="0.2">
      <c r="A663" s="473"/>
      <c r="B663" s="112"/>
      <c r="C663" s="595"/>
      <c r="D663" s="595"/>
      <c r="E663" s="595"/>
      <c r="F663" s="595"/>
      <c r="G663" s="595"/>
      <c r="I663" s="169"/>
      <c r="J663" s="167"/>
      <c r="K663" s="169"/>
      <c r="L663" s="167"/>
      <c r="M663" s="169"/>
      <c r="N663" s="167"/>
      <c r="O663" s="169"/>
    </row>
    <row r="664" spans="1:15" s="453" customFormat="1" ht="12.75" customHeight="1" x14ac:dyDescent="0.2">
      <c r="A664" s="473"/>
      <c r="B664" s="112" t="s">
        <v>343</v>
      </c>
      <c r="C664" s="595" t="s">
        <v>342</v>
      </c>
      <c r="D664" s="595"/>
      <c r="E664" s="595"/>
      <c r="F664" s="595"/>
      <c r="G664" s="595"/>
      <c r="H664" s="285"/>
      <c r="I664" s="168" t="s">
        <v>211</v>
      </c>
      <c r="J664" s="166" t="s">
        <v>211</v>
      </c>
      <c r="K664" s="168" t="s">
        <v>211</v>
      </c>
      <c r="L664" s="166" t="s">
        <v>211</v>
      </c>
      <c r="M664" s="168" t="s">
        <v>211</v>
      </c>
      <c r="N664" s="166" t="s">
        <v>211</v>
      </c>
      <c r="O664" s="168" t="s">
        <v>211</v>
      </c>
    </row>
    <row r="665" spans="1:15" s="453" customFormat="1" ht="14" x14ac:dyDescent="0.2">
      <c r="A665" s="473"/>
      <c r="B665" s="112"/>
      <c r="C665" s="595"/>
      <c r="D665" s="595"/>
      <c r="E665" s="595"/>
      <c r="F665" s="595"/>
      <c r="G665" s="595"/>
      <c r="I665" s="169"/>
      <c r="J665" s="167"/>
      <c r="K665" s="169"/>
      <c r="L665" s="167"/>
      <c r="M665" s="169"/>
      <c r="N665" s="167"/>
      <c r="O665" s="169"/>
    </row>
    <row r="666" spans="1:15" s="453" customFormat="1" ht="14" x14ac:dyDescent="0.2">
      <c r="A666" s="473"/>
      <c r="B666" s="112" t="s">
        <v>344</v>
      </c>
      <c r="C666" s="572" t="s">
        <v>345</v>
      </c>
      <c r="D666" s="572"/>
      <c r="E666" s="572"/>
      <c r="F666" s="572"/>
      <c r="G666" s="572"/>
      <c r="H666" s="285"/>
      <c r="I666" s="168" t="s">
        <v>211</v>
      </c>
      <c r="J666" s="166" t="s">
        <v>211</v>
      </c>
      <c r="K666" s="168" t="s">
        <v>211</v>
      </c>
      <c r="L666" s="166" t="s">
        <v>211</v>
      </c>
      <c r="M666" s="168" t="s">
        <v>211</v>
      </c>
      <c r="N666" s="166" t="s">
        <v>211</v>
      </c>
      <c r="O666" s="168" t="s">
        <v>211</v>
      </c>
    </row>
    <row r="667" spans="1:15" s="453" customFormat="1" ht="14" x14ac:dyDescent="0.2">
      <c r="A667" s="473"/>
      <c r="B667" s="112"/>
      <c r="C667" s="572"/>
      <c r="D667" s="572"/>
      <c r="E667" s="572"/>
      <c r="F667" s="572"/>
      <c r="G667" s="572"/>
      <c r="I667" s="169"/>
      <c r="J667" s="167"/>
      <c r="K667" s="169"/>
      <c r="L667" s="167"/>
      <c r="M667" s="169"/>
      <c r="N667" s="167"/>
      <c r="O667" s="169"/>
    </row>
    <row r="668" spans="1:15" s="453" customFormat="1" ht="12.75" customHeight="1" x14ac:dyDescent="0.2">
      <c r="A668" s="473"/>
      <c r="B668" s="288" t="s">
        <v>333</v>
      </c>
      <c r="C668" s="597" t="s">
        <v>346</v>
      </c>
      <c r="D668" s="597"/>
      <c r="E668" s="597"/>
      <c r="F668" s="597"/>
      <c r="G668" s="597"/>
      <c r="H668" s="285"/>
      <c r="I668" s="168" t="s">
        <v>211</v>
      </c>
      <c r="J668" s="166" t="s">
        <v>211</v>
      </c>
      <c r="K668" s="168" t="s">
        <v>211</v>
      </c>
      <c r="L668" s="166" t="s">
        <v>211</v>
      </c>
      <c r="M668" s="168" t="s">
        <v>211</v>
      </c>
      <c r="N668" s="166" t="s">
        <v>211</v>
      </c>
      <c r="O668" s="168" t="s">
        <v>211</v>
      </c>
    </row>
    <row r="669" spans="1:15" s="453" customFormat="1" ht="14" x14ac:dyDescent="0.2">
      <c r="A669" s="473"/>
      <c r="B669" s="288"/>
      <c r="C669" s="597"/>
      <c r="D669" s="597"/>
      <c r="E669" s="597"/>
      <c r="F669" s="597"/>
      <c r="G669" s="597"/>
      <c r="I669" s="169"/>
      <c r="J669" s="167"/>
      <c r="K669" s="169"/>
      <c r="L669" s="167"/>
      <c r="M669" s="169"/>
      <c r="N669" s="167"/>
      <c r="O669" s="169"/>
    </row>
    <row r="670" spans="1:15" s="453" customFormat="1" ht="14" x14ac:dyDescent="0.2">
      <c r="A670" s="473"/>
      <c r="B670" s="288"/>
      <c r="C670" s="597"/>
      <c r="D670" s="597"/>
      <c r="E670" s="597"/>
      <c r="F670" s="597"/>
      <c r="G670" s="597"/>
      <c r="I670" s="169"/>
      <c r="J670" s="167"/>
      <c r="K670" s="169"/>
      <c r="L670" s="167"/>
      <c r="M670" s="169"/>
      <c r="N670" s="167"/>
      <c r="O670" s="169"/>
    </row>
    <row r="671" spans="1:15" s="453" customFormat="1" ht="14" x14ac:dyDescent="0.2">
      <c r="A671" s="473"/>
      <c r="B671" s="288"/>
      <c r="C671" s="597"/>
      <c r="D671" s="597"/>
      <c r="E671" s="597"/>
      <c r="F671" s="597"/>
      <c r="G671" s="597"/>
      <c r="I671" s="169"/>
      <c r="J671" s="167"/>
      <c r="K671" s="169"/>
      <c r="L671" s="167"/>
      <c r="M671" s="169"/>
      <c r="N671" s="167"/>
      <c r="O671" s="169"/>
    </row>
    <row r="672" spans="1:15" s="453" customFormat="1" ht="14" x14ac:dyDescent="0.2">
      <c r="A672" s="473"/>
      <c r="B672" s="112"/>
      <c r="C672" s="448"/>
      <c r="D672" s="448"/>
      <c r="E672" s="448"/>
      <c r="F672" s="448"/>
      <c r="G672" s="448"/>
      <c r="I672" s="135"/>
      <c r="J672" s="105"/>
      <c r="K672" s="135"/>
      <c r="L672" s="105"/>
      <c r="M672" s="135"/>
      <c r="N672" s="105"/>
      <c r="O672" s="135"/>
    </row>
    <row r="673" spans="1:15" s="453" customFormat="1" ht="12.75" customHeight="1" x14ac:dyDescent="0.2">
      <c r="A673" s="471">
        <v>7</v>
      </c>
      <c r="B673" s="112" t="s">
        <v>330</v>
      </c>
      <c r="C673" s="572" t="s">
        <v>359</v>
      </c>
      <c r="D673" s="572"/>
      <c r="E673" s="572"/>
      <c r="F673" s="572"/>
      <c r="G673" s="572"/>
      <c r="H673" s="285"/>
      <c r="I673" s="168" t="s">
        <v>211</v>
      </c>
      <c r="J673" s="166" t="s">
        <v>211</v>
      </c>
      <c r="K673" s="168" t="s">
        <v>211</v>
      </c>
      <c r="L673" s="166" t="s">
        <v>211</v>
      </c>
      <c r="M673" s="168" t="s">
        <v>211</v>
      </c>
      <c r="N673" s="166" t="s">
        <v>211</v>
      </c>
      <c r="O673" s="168" t="s">
        <v>211</v>
      </c>
    </row>
    <row r="674" spans="1:15" s="453" customFormat="1" ht="14" x14ac:dyDescent="0.2">
      <c r="A674" s="473"/>
      <c r="B674" s="112"/>
      <c r="C674" s="572"/>
      <c r="D674" s="572"/>
      <c r="E674" s="572"/>
      <c r="F674" s="572"/>
      <c r="G674" s="572"/>
      <c r="I674" s="169"/>
      <c r="J674" s="167"/>
      <c r="K674" s="169"/>
      <c r="L674" s="167"/>
      <c r="M674" s="169"/>
      <c r="N674" s="167"/>
      <c r="O674" s="169"/>
    </row>
    <row r="675" spans="1:15" s="453" customFormat="1" ht="12.75" customHeight="1" x14ac:dyDescent="0.2">
      <c r="A675" s="473"/>
      <c r="B675" s="112" t="s">
        <v>331</v>
      </c>
      <c r="C675" s="651" t="s">
        <v>347</v>
      </c>
      <c r="D675" s="651"/>
      <c r="E675" s="651"/>
      <c r="F675" s="651"/>
      <c r="G675" s="651"/>
      <c r="H675" s="289"/>
      <c r="I675" s="168" t="s">
        <v>211</v>
      </c>
      <c r="J675" s="166" t="s">
        <v>211</v>
      </c>
      <c r="K675" s="168" t="s">
        <v>211</v>
      </c>
      <c r="L675" s="166" t="s">
        <v>211</v>
      </c>
      <c r="M675" s="168" t="s">
        <v>211</v>
      </c>
      <c r="N675" s="166" t="s">
        <v>211</v>
      </c>
      <c r="O675" s="168" t="s">
        <v>211</v>
      </c>
    </row>
    <row r="676" spans="1:15" s="453" customFormat="1" ht="14" x14ac:dyDescent="0.2">
      <c r="A676" s="473"/>
      <c r="B676" s="112"/>
      <c r="C676" s="651"/>
      <c r="D676" s="651"/>
      <c r="E676" s="651"/>
      <c r="F676" s="651"/>
      <c r="G676" s="651"/>
      <c r="H676" s="290"/>
      <c r="I676" s="169"/>
      <c r="J676" s="167"/>
      <c r="K676" s="169"/>
      <c r="L676" s="167"/>
      <c r="M676" s="169"/>
      <c r="N676" s="167"/>
      <c r="O676" s="169"/>
    </row>
    <row r="677" spans="1:15" s="453" customFormat="1" ht="14" x14ac:dyDescent="0.2">
      <c r="A677" s="473"/>
      <c r="B677" s="112"/>
      <c r="C677" s="651"/>
      <c r="D677" s="651"/>
      <c r="E677" s="651"/>
      <c r="F677" s="651"/>
      <c r="G677" s="651"/>
      <c r="H677" s="290"/>
      <c r="I677" s="169"/>
      <c r="J677" s="167"/>
      <c r="K677" s="169"/>
      <c r="L677" s="167"/>
      <c r="M677" s="169"/>
      <c r="N677" s="167"/>
      <c r="O677" s="169"/>
    </row>
    <row r="678" spans="1:15" s="453" customFormat="1" ht="14" x14ac:dyDescent="0.2">
      <c r="A678" s="473"/>
      <c r="B678" s="112" t="s">
        <v>332</v>
      </c>
      <c r="C678" s="573" t="s">
        <v>348</v>
      </c>
      <c r="D678" s="573"/>
      <c r="E678" s="573"/>
      <c r="F678" s="573"/>
      <c r="G678" s="573"/>
      <c r="H678" s="285"/>
      <c r="I678" s="168" t="s">
        <v>211</v>
      </c>
      <c r="J678" s="166" t="s">
        <v>211</v>
      </c>
      <c r="K678" s="168" t="s">
        <v>211</v>
      </c>
      <c r="L678" s="166" t="s">
        <v>211</v>
      </c>
      <c r="M678" s="168" t="s">
        <v>211</v>
      </c>
      <c r="N678" s="166" t="s">
        <v>211</v>
      </c>
      <c r="O678" s="168" t="s">
        <v>211</v>
      </c>
    </row>
    <row r="679" spans="1:15" s="453" customFormat="1" ht="14" x14ac:dyDescent="0.2">
      <c r="A679" s="473"/>
      <c r="B679" s="288" t="s">
        <v>333</v>
      </c>
      <c r="C679" s="591" t="s">
        <v>349</v>
      </c>
      <c r="D679" s="591"/>
      <c r="E679" s="591"/>
      <c r="F679" s="591"/>
      <c r="G679" s="591"/>
      <c r="H679" s="285"/>
      <c r="I679" s="168" t="s">
        <v>211</v>
      </c>
      <c r="J679" s="166" t="s">
        <v>211</v>
      </c>
      <c r="K679" s="168" t="s">
        <v>211</v>
      </c>
      <c r="L679" s="166" t="s">
        <v>211</v>
      </c>
      <c r="M679" s="168" t="s">
        <v>211</v>
      </c>
      <c r="N679" s="166" t="s">
        <v>211</v>
      </c>
      <c r="O679" s="168" t="s">
        <v>211</v>
      </c>
    </row>
    <row r="680" spans="1:15" s="453" customFormat="1" ht="14" x14ac:dyDescent="0.2">
      <c r="A680" s="473"/>
      <c r="B680" s="112"/>
      <c r="C680" s="443"/>
      <c r="D680" s="448"/>
      <c r="E680" s="448"/>
      <c r="F680" s="448"/>
      <c r="G680" s="448"/>
      <c r="I680" s="135"/>
      <c r="J680" s="105"/>
      <c r="K680" s="135"/>
      <c r="L680" s="105"/>
      <c r="M680" s="135"/>
      <c r="N680" s="105"/>
      <c r="O680" s="135"/>
    </row>
    <row r="681" spans="1:15" s="453" customFormat="1" ht="12.75" customHeight="1" x14ac:dyDescent="0.2">
      <c r="A681" s="471">
        <v>8</v>
      </c>
      <c r="B681" s="112" t="s">
        <v>330</v>
      </c>
      <c r="C681" s="572" t="s">
        <v>358</v>
      </c>
      <c r="D681" s="572"/>
      <c r="E681" s="572"/>
      <c r="F681" s="572"/>
      <c r="G681" s="572"/>
      <c r="H681" s="285"/>
      <c r="I681" s="168" t="s">
        <v>211</v>
      </c>
      <c r="J681" s="166" t="s">
        <v>211</v>
      </c>
      <c r="K681" s="168" t="s">
        <v>211</v>
      </c>
      <c r="L681" s="166" t="s">
        <v>211</v>
      </c>
      <c r="M681" s="168" t="s">
        <v>211</v>
      </c>
      <c r="N681" s="166" t="s">
        <v>211</v>
      </c>
      <c r="O681" s="168" t="s">
        <v>211</v>
      </c>
    </row>
    <row r="682" spans="1:15" s="453" customFormat="1" ht="14" x14ac:dyDescent="0.2">
      <c r="A682" s="473"/>
      <c r="B682" s="112"/>
      <c r="C682" s="572"/>
      <c r="D682" s="572"/>
      <c r="E682" s="572"/>
      <c r="F682" s="572"/>
      <c r="G682" s="572"/>
      <c r="I682" s="169"/>
      <c r="J682" s="167"/>
      <c r="K682" s="169"/>
      <c r="L682" s="167"/>
      <c r="M682" s="169"/>
      <c r="N682" s="167"/>
      <c r="O682" s="169"/>
    </row>
    <row r="683" spans="1:15" s="453" customFormat="1" ht="14" x14ac:dyDescent="0.2">
      <c r="A683" s="473"/>
      <c r="B683" s="112" t="s">
        <v>331</v>
      </c>
      <c r="C683" s="573" t="s">
        <v>350</v>
      </c>
      <c r="D683" s="573"/>
      <c r="E683" s="573"/>
      <c r="F683" s="573"/>
      <c r="G683" s="573"/>
      <c r="H683" s="285"/>
      <c r="I683" s="168" t="s">
        <v>211</v>
      </c>
      <c r="J683" s="166" t="s">
        <v>211</v>
      </c>
      <c r="K683" s="168" t="s">
        <v>211</v>
      </c>
      <c r="L683" s="166" t="s">
        <v>211</v>
      </c>
      <c r="M683" s="168" t="s">
        <v>211</v>
      </c>
      <c r="N683" s="166" t="s">
        <v>211</v>
      </c>
      <c r="O683" s="168" t="s">
        <v>211</v>
      </c>
    </row>
    <row r="684" spans="1:15" s="453" customFormat="1" ht="14" x14ac:dyDescent="0.2">
      <c r="A684" s="473"/>
      <c r="B684" s="112" t="s">
        <v>332</v>
      </c>
      <c r="C684" s="572" t="s">
        <v>351</v>
      </c>
      <c r="D684" s="572"/>
      <c r="E684" s="572"/>
      <c r="F684" s="572"/>
      <c r="G684" s="572"/>
      <c r="H684" s="285"/>
      <c r="I684" s="168" t="s">
        <v>211</v>
      </c>
      <c r="J684" s="166" t="s">
        <v>211</v>
      </c>
      <c r="K684" s="168" t="s">
        <v>211</v>
      </c>
      <c r="L684" s="166" t="s">
        <v>211</v>
      </c>
      <c r="M684" s="168" t="s">
        <v>211</v>
      </c>
      <c r="N684" s="166" t="s">
        <v>211</v>
      </c>
      <c r="O684" s="168" t="s">
        <v>211</v>
      </c>
    </row>
    <row r="685" spans="1:15" s="453" customFormat="1" ht="14" x14ac:dyDescent="0.2">
      <c r="A685" s="473"/>
      <c r="B685" s="112"/>
      <c r="C685" s="572"/>
      <c r="D685" s="572"/>
      <c r="E685" s="572"/>
      <c r="F685" s="572"/>
      <c r="G685" s="572"/>
      <c r="I685" s="169"/>
      <c r="J685" s="167"/>
      <c r="K685" s="169"/>
      <c r="L685" s="167"/>
      <c r="M685" s="169"/>
      <c r="N685" s="167"/>
      <c r="O685" s="169"/>
    </row>
    <row r="686" spans="1:15" s="453" customFormat="1" ht="14" x14ac:dyDescent="0.2">
      <c r="A686" s="473"/>
      <c r="B686" s="112" t="s">
        <v>343</v>
      </c>
      <c r="C686" s="572" t="s">
        <v>352</v>
      </c>
      <c r="D686" s="572"/>
      <c r="E686" s="572"/>
      <c r="F686" s="572"/>
      <c r="G686" s="572"/>
      <c r="H686" s="285"/>
      <c r="I686" s="168" t="s">
        <v>211</v>
      </c>
      <c r="J686" s="166" t="s">
        <v>211</v>
      </c>
      <c r="K686" s="168" t="s">
        <v>211</v>
      </c>
      <c r="L686" s="166" t="s">
        <v>211</v>
      </c>
      <c r="M686" s="168" t="s">
        <v>211</v>
      </c>
      <c r="N686" s="166" t="s">
        <v>211</v>
      </c>
      <c r="O686" s="168" t="s">
        <v>211</v>
      </c>
    </row>
    <row r="687" spans="1:15" s="453" customFormat="1" ht="14" x14ac:dyDescent="0.2">
      <c r="A687" s="473"/>
      <c r="B687" s="112"/>
      <c r="C687" s="572"/>
      <c r="D687" s="572"/>
      <c r="E687" s="572"/>
      <c r="F687" s="572"/>
      <c r="G687" s="572"/>
      <c r="I687" s="169"/>
      <c r="J687" s="167"/>
      <c r="K687" s="169"/>
      <c r="L687" s="167"/>
      <c r="M687" s="169"/>
      <c r="N687" s="167"/>
      <c r="O687" s="169"/>
    </row>
    <row r="688" spans="1:15" s="453" customFormat="1" ht="14" x14ac:dyDescent="0.2">
      <c r="A688" s="473"/>
      <c r="B688" s="112"/>
      <c r="C688" s="572"/>
      <c r="D688" s="572"/>
      <c r="E688" s="572"/>
      <c r="F688" s="572"/>
      <c r="G688" s="572"/>
      <c r="I688" s="169"/>
      <c r="J688" s="167"/>
      <c r="K688" s="169"/>
      <c r="L688" s="167"/>
      <c r="M688" s="169"/>
      <c r="N688" s="167"/>
      <c r="O688" s="169"/>
    </row>
    <row r="689" spans="1:15" s="453" customFormat="1" ht="14" x14ac:dyDescent="0.2">
      <c r="A689" s="473"/>
      <c r="B689" s="288" t="s">
        <v>333</v>
      </c>
      <c r="C689" s="591" t="s">
        <v>349</v>
      </c>
      <c r="D689" s="591"/>
      <c r="E689" s="591"/>
      <c r="F689" s="591"/>
      <c r="G689" s="591"/>
      <c r="H689" s="285"/>
      <c r="I689" s="168" t="s">
        <v>211</v>
      </c>
      <c r="J689" s="166" t="s">
        <v>211</v>
      </c>
      <c r="K689" s="168" t="s">
        <v>211</v>
      </c>
      <c r="L689" s="166" t="s">
        <v>211</v>
      </c>
      <c r="M689" s="168" t="s">
        <v>211</v>
      </c>
      <c r="N689" s="166" t="s">
        <v>211</v>
      </c>
      <c r="O689" s="168" t="s">
        <v>211</v>
      </c>
    </row>
    <row r="690" spans="1:15" s="453" customFormat="1" ht="14" x14ac:dyDescent="0.2">
      <c r="A690" s="473"/>
      <c r="B690" s="112"/>
      <c r="C690" s="443"/>
      <c r="D690" s="448"/>
      <c r="E690" s="448"/>
      <c r="F690" s="448"/>
      <c r="G690" s="448"/>
      <c r="I690" s="135"/>
      <c r="J690" s="105"/>
      <c r="K690" s="135"/>
      <c r="L690" s="105"/>
      <c r="M690" s="135"/>
      <c r="N690" s="105"/>
      <c r="O690" s="135"/>
    </row>
    <row r="691" spans="1:15" s="453" customFormat="1" ht="14" x14ac:dyDescent="0.2">
      <c r="A691" s="471">
        <v>9</v>
      </c>
      <c r="B691" s="112" t="s">
        <v>330</v>
      </c>
      <c r="C691" s="572" t="s">
        <v>353</v>
      </c>
      <c r="D691" s="572"/>
      <c r="E691" s="572"/>
      <c r="F691" s="572"/>
      <c r="G691" s="572"/>
      <c r="H691" s="285"/>
      <c r="I691" s="168" t="s">
        <v>211</v>
      </c>
      <c r="J691" s="166" t="s">
        <v>211</v>
      </c>
      <c r="K691" s="168" t="s">
        <v>211</v>
      </c>
      <c r="L691" s="166" t="s">
        <v>211</v>
      </c>
      <c r="M691" s="168" t="s">
        <v>211</v>
      </c>
      <c r="N691" s="166" t="s">
        <v>211</v>
      </c>
      <c r="O691" s="168" t="s">
        <v>211</v>
      </c>
    </row>
    <row r="692" spans="1:15" s="453" customFormat="1" ht="14" x14ac:dyDescent="0.2">
      <c r="A692" s="473"/>
      <c r="B692" s="112"/>
      <c r="C692" s="572"/>
      <c r="D692" s="572"/>
      <c r="E692" s="572"/>
      <c r="F692" s="572"/>
      <c r="G692" s="572"/>
      <c r="I692" s="170"/>
      <c r="J692" s="171"/>
      <c r="K692" s="170"/>
      <c r="L692" s="171"/>
      <c r="M692" s="170"/>
      <c r="N692" s="171"/>
      <c r="O692" s="169"/>
    </row>
    <row r="693" spans="1:15" s="453" customFormat="1" ht="14" x14ac:dyDescent="0.2">
      <c r="A693" s="473"/>
      <c r="B693" s="112"/>
      <c r="C693" s="572"/>
      <c r="D693" s="572"/>
      <c r="E693" s="572"/>
      <c r="F693" s="572"/>
      <c r="G693" s="572"/>
      <c r="I693" s="169"/>
      <c r="J693" s="167"/>
      <c r="K693" s="169"/>
      <c r="L693" s="167"/>
      <c r="M693" s="169"/>
      <c r="N693" s="167"/>
      <c r="O693" s="169"/>
    </row>
    <row r="694" spans="1:15" s="453" customFormat="1" ht="14" x14ac:dyDescent="0.2">
      <c r="A694" s="473"/>
      <c r="B694" s="112" t="s">
        <v>331</v>
      </c>
      <c r="C694" s="572" t="s">
        <v>354</v>
      </c>
      <c r="D694" s="572"/>
      <c r="E694" s="572"/>
      <c r="F694" s="572"/>
      <c r="G694" s="572"/>
      <c r="H694" s="285"/>
      <c r="I694" s="168" t="s">
        <v>211</v>
      </c>
      <c r="J694" s="166" t="s">
        <v>211</v>
      </c>
      <c r="K694" s="168" t="s">
        <v>211</v>
      </c>
      <c r="L694" s="166" t="s">
        <v>211</v>
      </c>
      <c r="M694" s="168" t="s">
        <v>211</v>
      </c>
      <c r="N694" s="166" t="s">
        <v>211</v>
      </c>
      <c r="O694" s="168" t="s">
        <v>211</v>
      </c>
    </row>
    <row r="695" spans="1:15" s="453" customFormat="1" ht="14" x14ac:dyDescent="0.2">
      <c r="A695" s="473"/>
      <c r="B695" s="112"/>
      <c r="C695" s="572"/>
      <c r="D695" s="572"/>
      <c r="E695" s="572"/>
      <c r="F695" s="572"/>
      <c r="G695" s="572"/>
      <c r="I695" s="169"/>
      <c r="J695" s="167"/>
      <c r="K695" s="169"/>
      <c r="L695" s="167"/>
      <c r="M695" s="169"/>
      <c r="N695" s="167"/>
      <c r="O695" s="169"/>
    </row>
    <row r="696" spans="1:15" s="453" customFormat="1" ht="14" x14ac:dyDescent="0.2">
      <c r="A696" s="473"/>
      <c r="B696" s="112"/>
      <c r="C696" s="572"/>
      <c r="D696" s="572"/>
      <c r="E696" s="572"/>
      <c r="F696" s="572"/>
      <c r="G696" s="572"/>
      <c r="I696" s="169"/>
      <c r="J696" s="167"/>
      <c r="K696" s="169"/>
      <c r="L696" s="167"/>
      <c r="M696" s="169"/>
      <c r="N696" s="167"/>
      <c r="O696" s="169"/>
    </row>
    <row r="697" spans="1:15" s="453" customFormat="1" ht="14" x14ac:dyDescent="0.2">
      <c r="A697" s="473"/>
      <c r="B697" s="112" t="s">
        <v>332</v>
      </c>
      <c r="C697" s="572" t="s">
        <v>355</v>
      </c>
      <c r="D697" s="572"/>
      <c r="E697" s="572"/>
      <c r="F697" s="572"/>
      <c r="G697" s="572"/>
      <c r="H697" s="285"/>
      <c r="I697" s="168" t="s">
        <v>211</v>
      </c>
      <c r="J697" s="166" t="s">
        <v>211</v>
      </c>
      <c r="K697" s="168" t="s">
        <v>211</v>
      </c>
      <c r="L697" s="166" t="s">
        <v>211</v>
      </c>
      <c r="M697" s="168" t="s">
        <v>211</v>
      </c>
      <c r="N697" s="166" t="s">
        <v>211</v>
      </c>
      <c r="O697" s="168" t="s">
        <v>211</v>
      </c>
    </row>
    <row r="698" spans="1:15" s="453" customFormat="1" ht="14" x14ac:dyDescent="0.2">
      <c r="A698" s="473"/>
      <c r="B698" s="112"/>
      <c r="C698" s="572"/>
      <c r="D698" s="572"/>
      <c r="E698" s="572"/>
      <c r="F698" s="572"/>
      <c r="G698" s="572"/>
      <c r="I698" s="169"/>
      <c r="J698" s="167"/>
      <c r="K698" s="169"/>
      <c r="L698" s="167"/>
      <c r="M698" s="169"/>
      <c r="N698" s="167"/>
      <c r="O698" s="169"/>
    </row>
    <row r="699" spans="1:15" s="453" customFormat="1" ht="14" x14ac:dyDescent="0.2">
      <c r="A699" s="473"/>
      <c r="B699" s="112"/>
      <c r="C699" s="572"/>
      <c r="D699" s="572"/>
      <c r="E699" s="572"/>
      <c r="F699" s="572"/>
      <c r="G699" s="572"/>
      <c r="I699" s="169"/>
      <c r="J699" s="167"/>
      <c r="K699" s="169"/>
      <c r="L699" s="167"/>
      <c r="M699" s="169"/>
      <c r="N699" s="167"/>
      <c r="O699" s="169"/>
    </row>
    <row r="700" spans="1:15" s="453" customFormat="1" ht="14" x14ac:dyDescent="0.2">
      <c r="A700" s="473"/>
      <c r="B700" s="288" t="s">
        <v>333</v>
      </c>
      <c r="C700" s="597" t="s">
        <v>356</v>
      </c>
      <c r="D700" s="597"/>
      <c r="E700" s="597"/>
      <c r="F700" s="597"/>
      <c r="G700" s="597"/>
      <c r="H700" s="285"/>
      <c r="I700" s="168" t="s">
        <v>211</v>
      </c>
      <c r="J700" s="166" t="s">
        <v>211</v>
      </c>
      <c r="K700" s="168" t="s">
        <v>211</v>
      </c>
      <c r="L700" s="166" t="s">
        <v>211</v>
      </c>
      <c r="M700" s="168" t="s">
        <v>211</v>
      </c>
      <c r="N700" s="166" t="s">
        <v>211</v>
      </c>
      <c r="O700" s="168" t="s">
        <v>211</v>
      </c>
    </row>
    <row r="701" spans="1:15" s="453" customFormat="1" ht="14" x14ac:dyDescent="0.2">
      <c r="A701" s="473"/>
      <c r="B701" s="288"/>
      <c r="C701" s="597"/>
      <c r="D701" s="597"/>
      <c r="E701" s="597"/>
      <c r="F701" s="597"/>
      <c r="G701" s="597"/>
      <c r="I701" s="169"/>
      <c r="J701" s="167"/>
      <c r="K701" s="169"/>
      <c r="L701" s="167"/>
      <c r="M701" s="169"/>
      <c r="N701" s="167"/>
      <c r="O701" s="169"/>
    </row>
    <row r="702" spans="1:15" s="453" customFormat="1" ht="14" x14ac:dyDescent="0.2">
      <c r="A702" s="473"/>
      <c r="B702" s="288" t="s">
        <v>333</v>
      </c>
      <c r="C702" s="597" t="s">
        <v>357</v>
      </c>
      <c r="D702" s="597"/>
      <c r="E702" s="597"/>
      <c r="F702" s="597"/>
      <c r="G702" s="597"/>
      <c r="H702" s="285"/>
      <c r="I702" s="168" t="s">
        <v>211</v>
      </c>
      <c r="J702" s="166" t="s">
        <v>211</v>
      </c>
      <c r="K702" s="168" t="s">
        <v>211</v>
      </c>
      <c r="L702" s="166" t="s">
        <v>211</v>
      </c>
      <c r="M702" s="168" t="s">
        <v>211</v>
      </c>
      <c r="N702" s="166" t="s">
        <v>211</v>
      </c>
      <c r="O702" s="168" t="s">
        <v>211</v>
      </c>
    </row>
    <row r="703" spans="1:15" s="453" customFormat="1" ht="14" x14ac:dyDescent="0.2">
      <c r="A703" s="473"/>
      <c r="B703" s="288"/>
      <c r="C703" s="597"/>
      <c r="D703" s="597"/>
      <c r="E703" s="597"/>
      <c r="F703" s="597"/>
      <c r="G703" s="597"/>
      <c r="I703" s="169"/>
      <c r="J703" s="167"/>
      <c r="K703" s="169"/>
      <c r="L703" s="167"/>
      <c r="M703" s="169"/>
      <c r="N703" s="167"/>
      <c r="O703" s="169"/>
    </row>
    <row r="704" spans="1:15" s="453" customFormat="1" ht="14" x14ac:dyDescent="0.2">
      <c r="A704" s="473"/>
      <c r="B704" s="288"/>
      <c r="C704" s="597"/>
      <c r="D704" s="597"/>
      <c r="E704" s="597"/>
      <c r="F704" s="597"/>
      <c r="G704" s="597"/>
      <c r="I704" s="169"/>
      <c r="J704" s="167"/>
      <c r="K704" s="169"/>
      <c r="L704" s="167"/>
      <c r="M704" s="169"/>
      <c r="N704" s="167"/>
      <c r="O704" s="169"/>
    </row>
    <row r="705" spans="1:15" s="453" customFormat="1" ht="14" x14ac:dyDescent="0.2">
      <c r="A705" s="473"/>
      <c r="B705" s="112"/>
      <c r="C705" s="290"/>
      <c r="D705" s="290"/>
      <c r="E705" s="290"/>
      <c r="F705" s="290"/>
      <c r="G705" s="290"/>
      <c r="I705" s="135"/>
      <c r="J705" s="105"/>
      <c r="K705" s="135"/>
      <c r="L705" s="105"/>
      <c r="M705" s="135"/>
      <c r="N705" s="105"/>
      <c r="O705" s="135"/>
    </row>
    <row r="706" spans="1:15" s="453" customFormat="1" ht="12.75" customHeight="1" x14ac:dyDescent="0.2">
      <c r="A706" s="471">
        <v>10</v>
      </c>
      <c r="B706" s="112" t="s">
        <v>330</v>
      </c>
      <c r="C706" s="572" t="s">
        <v>359</v>
      </c>
      <c r="D706" s="572"/>
      <c r="E706" s="572"/>
      <c r="F706" s="572"/>
      <c r="G706" s="572"/>
      <c r="H706" s="285"/>
      <c r="I706" s="168" t="s">
        <v>211</v>
      </c>
      <c r="J706" s="166" t="s">
        <v>211</v>
      </c>
      <c r="K706" s="168" t="s">
        <v>211</v>
      </c>
      <c r="L706" s="166" t="s">
        <v>211</v>
      </c>
      <c r="M706" s="168" t="s">
        <v>211</v>
      </c>
      <c r="N706" s="166" t="s">
        <v>211</v>
      </c>
      <c r="O706" s="168" t="s">
        <v>211</v>
      </c>
    </row>
    <row r="707" spans="1:15" s="453" customFormat="1" ht="14" x14ac:dyDescent="0.2">
      <c r="A707" s="473"/>
      <c r="B707" s="112"/>
      <c r="C707" s="572"/>
      <c r="D707" s="572"/>
      <c r="E707" s="572"/>
      <c r="F707" s="572"/>
      <c r="G707" s="572"/>
      <c r="I707" s="169"/>
      <c r="J707" s="167"/>
      <c r="K707" s="169"/>
      <c r="L707" s="167"/>
      <c r="M707" s="169"/>
      <c r="N707" s="167"/>
      <c r="O707" s="169"/>
    </row>
    <row r="708" spans="1:15" s="453" customFormat="1" ht="14" x14ac:dyDescent="0.2">
      <c r="A708" s="473"/>
      <c r="B708" s="112" t="s">
        <v>331</v>
      </c>
      <c r="C708" s="572" t="s">
        <v>360</v>
      </c>
      <c r="D708" s="572"/>
      <c r="E708" s="572"/>
      <c r="F708" s="572"/>
      <c r="G708" s="572"/>
      <c r="H708" s="285"/>
      <c r="I708" s="168" t="s">
        <v>211</v>
      </c>
      <c r="J708" s="166" t="s">
        <v>211</v>
      </c>
      <c r="K708" s="168" t="s">
        <v>211</v>
      </c>
      <c r="L708" s="166" t="s">
        <v>211</v>
      </c>
      <c r="M708" s="168" t="s">
        <v>211</v>
      </c>
      <c r="N708" s="166" t="s">
        <v>211</v>
      </c>
      <c r="O708" s="168" t="s">
        <v>211</v>
      </c>
    </row>
    <row r="709" spans="1:15" s="453" customFormat="1" ht="14" x14ac:dyDescent="0.2">
      <c r="A709" s="473"/>
      <c r="B709" s="112"/>
      <c r="C709" s="572"/>
      <c r="D709" s="572"/>
      <c r="E709" s="572"/>
      <c r="F709" s="572"/>
      <c r="G709" s="572"/>
      <c r="I709" s="169"/>
      <c r="J709" s="167"/>
      <c r="K709" s="169"/>
      <c r="L709" s="167"/>
      <c r="M709" s="169"/>
      <c r="N709" s="167"/>
      <c r="O709" s="169"/>
    </row>
    <row r="710" spans="1:15" s="453" customFormat="1" ht="12.75" customHeight="1" x14ac:dyDescent="0.2">
      <c r="A710" s="473"/>
      <c r="B710" s="112" t="s">
        <v>332</v>
      </c>
      <c r="C710" s="595" t="s">
        <v>361</v>
      </c>
      <c r="D710" s="595"/>
      <c r="E710" s="595"/>
      <c r="F710" s="595"/>
      <c r="G710" s="595"/>
      <c r="H710" s="285"/>
      <c r="I710" s="168" t="s">
        <v>211</v>
      </c>
      <c r="J710" s="166" t="s">
        <v>211</v>
      </c>
      <c r="K710" s="168" t="s">
        <v>211</v>
      </c>
      <c r="L710" s="166" t="s">
        <v>211</v>
      </c>
      <c r="M710" s="168" t="s">
        <v>211</v>
      </c>
      <c r="N710" s="166" t="s">
        <v>211</v>
      </c>
      <c r="O710" s="168" t="s">
        <v>211</v>
      </c>
    </row>
    <row r="711" spans="1:15" s="453" customFormat="1" ht="14" x14ac:dyDescent="0.2">
      <c r="A711" s="473"/>
      <c r="B711" s="112"/>
      <c r="C711" s="595"/>
      <c r="D711" s="595"/>
      <c r="E711" s="595"/>
      <c r="F711" s="595"/>
      <c r="G711" s="595"/>
      <c r="I711" s="169"/>
      <c r="J711" s="167"/>
      <c r="K711" s="169"/>
      <c r="L711" s="167"/>
      <c r="M711" s="169"/>
      <c r="N711" s="167"/>
      <c r="O711" s="169"/>
    </row>
    <row r="712" spans="1:15" s="453" customFormat="1" ht="14" x14ac:dyDescent="0.2">
      <c r="A712" s="473"/>
      <c r="B712" s="288" t="s">
        <v>333</v>
      </c>
      <c r="C712" s="597" t="s">
        <v>362</v>
      </c>
      <c r="D712" s="597"/>
      <c r="E712" s="597"/>
      <c r="F712" s="597"/>
      <c r="G712" s="597"/>
      <c r="H712" s="285"/>
      <c r="I712" s="168" t="s">
        <v>211</v>
      </c>
      <c r="J712" s="166" t="s">
        <v>211</v>
      </c>
      <c r="K712" s="168" t="s">
        <v>211</v>
      </c>
      <c r="L712" s="166" t="s">
        <v>211</v>
      </c>
      <c r="M712" s="168" t="s">
        <v>211</v>
      </c>
      <c r="N712" s="166" t="s">
        <v>211</v>
      </c>
      <c r="O712" s="168" t="s">
        <v>211</v>
      </c>
    </row>
    <row r="713" spans="1:15" s="453" customFormat="1" ht="14" x14ac:dyDescent="0.2">
      <c r="A713" s="473"/>
      <c r="B713" s="288"/>
      <c r="C713" s="597"/>
      <c r="D713" s="597"/>
      <c r="E713" s="597"/>
      <c r="F713" s="597"/>
      <c r="G713" s="597"/>
      <c r="I713" s="169"/>
      <c r="J713" s="167"/>
      <c r="K713" s="169"/>
      <c r="L713" s="167"/>
      <c r="M713" s="169"/>
      <c r="N713" s="167"/>
      <c r="O713" s="169"/>
    </row>
    <row r="714" spans="1:15" s="453" customFormat="1" ht="12.75" customHeight="1" x14ac:dyDescent="0.2">
      <c r="A714" s="473"/>
      <c r="B714" s="288" t="s">
        <v>333</v>
      </c>
      <c r="C714" s="597" t="s">
        <v>346</v>
      </c>
      <c r="D714" s="597"/>
      <c r="E714" s="597"/>
      <c r="F714" s="597"/>
      <c r="G714" s="597"/>
      <c r="H714" s="285"/>
      <c r="I714" s="168" t="s">
        <v>211</v>
      </c>
      <c r="J714" s="166" t="s">
        <v>211</v>
      </c>
      <c r="K714" s="168" t="s">
        <v>211</v>
      </c>
      <c r="L714" s="166" t="s">
        <v>211</v>
      </c>
      <c r="M714" s="168" t="s">
        <v>211</v>
      </c>
      <c r="N714" s="166" t="s">
        <v>211</v>
      </c>
      <c r="O714" s="168" t="s">
        <v>211</v>
      </c>
    </row>
    <row r="715" spans="1:15" s="453" customFormat="1" ht="14" x14ac:dyDescent="0.2">
      <c r="A715" s="473"/>
      <c r="B715" s="288"/>
      <c r="C715" s="597"/>
      <c r="D715" s="597"/>
      <c r="E715" s="597"/>
      <c r="F715" s="597"/>
      <c r="G715" s="597"/>
      <c r="I715" s="169"/>
      <c r="J715" s="167"/>
      <c r="K715" s="169"/>
      <c r="L715" s="167"/>
      <c r="M715" s="169"/>
      <c r="N715" s="167"/>
      <c r="O715" s="169"/>
    </row>
    <row r="716" spans="1:15" s="453" customFormat="1" ht="14" x14ac:dyDescent="0.2">
      <c r="A716" s="473"/>
      <c r="B716" s="288"/>
      <c r="C716" s="597"/>
      <c r="D716" s="597"/>
      <c r="E716" s="597"/>
      <c r="F716" s="597"/>
      <c r="G716" s="597"/>
      <c r="I716" s="169"/>
      <c r="J716" s="167"/>
      <c r="K716" s="169"/>
      <c r="L716" s="167"/>
      <c r="M716" s="169"/>
      <c r="N716" s="167"/>
      <c r="O716" s="169"/>
    </row>
    <row r="717" spans="1:15" s="453" customFormat="1" ht="14" x14ac:dyDescent="0.2">
      <c r="A717" s="473"/>
      <c r="B717" s="288"/>
      <c r="C717" s="597"/>
      <c r="D717" s="597"/>
      <c r="E717" s="597"/>
      <c r="F717" s="597"/>
      <c r="G717" s="597"/>
      <c r="I717" s="169"/>
      <c r="J717" s="167"/>
      <c r="K717" s="169"/>
      <c r="L717" s="167"/>
      <c r="M717" s="169"/>
      <c r="N717" s="167"/>
      <c r="O717" s="169"/>
    </row>
    <row r="718" spans="1:15" s="453" customFormat="1" ht="14" x14ac:dyDescent="0.2">
      <c r="A718" s="473"/>
      <c r="B718" s="112"/>
      <c r="C718" s="443"/>
      <c r="D718" s="443"/>
      <c r="E718" s="443"/>
      <c r="F718" s="443"/>
      <c r="G718" s="443"/>
      <c r="I718" s="135"/>
      <c r="J718" s="105"/>
      <c r="K718" s="135"/>
      <c r="L718" s="105"/>
      <c r="M718" s="135"/>
      <c r="N718" s="105"/>
      <c r="O718" s="135"/>
    </row>
    <row r="719" spans="1:15" s="453" customFormat="1" ht="12.75" customHeight="1" x14ac:dyDescent="0.2">
      <c r="A719" s="471">
        <v>11</v>
      </c>
      <c r="B719" s="112" t="s">
        <v>330</v>
      </c>
      <c r="C719" s="572" t="s">
        <v>359</v>
      </c>
      <c r="D719" s="572"/>
      <c r="E719" s="572"/>
      <c r="F719" s="572"/>
      <c r="G719" s="572"/>
      <c r="H719" s="285"/>
      <c r="I719" s="168" t="s">
        <v>211</v>
      </c>
      <c r="J719" s="166" t="s">
        <v>211</v>
      </c>
      <c r="K719" s="168" t="s">
        <v>211</v>
      </c>
      <c r="L719" s="166" t="s">
        <v>211</v>
      </c>
      <c r="M719" s="168" t="s">
        <v>211</v>
      </c>
      <c r="N719" s="166" t="s">
        <v>211</v>
      </c>
      <c r="O719" s="168" t="s">
        <v>211</v>
      </c>
    </row>
    <row r="720" spans="1:15" s="453" customFormat="1" ht="14" x14ac:dyDescent="0.2">
      <c r="A720" s="473"/>
      <c r="B720" s="112"/>
      <c r="C720" s="572"/>
      <c r="D720" s="572"/>
      <c r="E720" s="572"/>
      <c r="F720" s="572"/>
      <c r="G720" s="572"/>
      <c r="I720" s="169"/>
      <c r="J720" s="167"/>
      <c r="K720" s="169"/>
      <c r="L720" s="167"/>
      <c r="M720" s="169"/>
      <c r="N720" s="167"/>
      <c r="O720" s="169"/>
    </row>
    <row r="721" spans="1:15" s="453" customFormat="1" ht="14" x14ac:dyDescent="0.2">
      <c r="A721" s="473"/>
      <c r="B721" s="112" t="s">
        <v>331</v>
      </c>
      <c r="C721" s="573" t="s">
        <v>363</v>
      </c>
      <c r="D721" s="573"/>
      <c r="E721" s="573"/>
      <c r="F721" s="573"/>
      <c r="G721" s="573"/>
      <c r="H721" s="285"/>
      <c r="I721" s="168" t="s">
        <v>211</v>
      </c>
      <c r="J721" s="166" t="s">
        <v>211</v>
      </c>
      <c r="K721" s="168" t="s">
        <v>211</v>
      </c>
      <c r="L721" s="166" t="s">
        <v>211</v>
      </c>
      <c r="M721" s="168" t="s">
        <v>211</v>
      </c>
      <c r="N721" s="166" t="s">
        <v>211</v>
      </c>
      <c r="O721" s="168" t="s">
        <v>211</v>
      </c>
    </row>
    <row r="722" spans="1:15" s="453" customFormat="1" ht="14" x14ac:dyDescent="0.2">
      <c r="A722" s="473"/>
      <c r="B722" s="112"/>
      <c r="C722" s="443"/>
      <c r="D722" s="443"/>
      <c r="E722" s="443"/>
      <c r="F722" s="443"/>
      <c r="G722" s="443"/>
      <c r="I722" s="135"/>
      <c r="J722" s="105"/>
      <c r="K722" s="135"/>
      <c r="L722" s="105"/>
      <c r="M722" s="135"/>
      <c r="N722" s="105"/>
      <c r="O722" s="135"/>
    </row>
    <row r="723" spans="1:15" s="453" customFormat="1" ht="12.75" customHeight="1" x14ac:dyDescent="0.2">
      <c r="A723" s="471">
        <v>12</v>
      </c>
      <c r="B723" s="112" t="s">
        <v>330</v>
      </c>
      <c r="C723" s="572" t="s">
        <v>359</v>
      </c>
      <c r="D723" s="572"/>
      <c r="E723" s="572"/>
      <c r="F723" s="572"/>
      <c r="G723" s="572"/>
      <c r="H723" s="285"/>
      <c r="I723" s="168" t="s">
        <v>211</v>
      </c>
      <c r="J723" s="166" t="s">
        <v>211</v>
      </c>
      <c r="K723" s="168" t="s">
        <v>211</v>
      </c>
      <c r="L723" s="166" t="s">
        <v>211</v>
      </c>
      <c r="M723" s="168" t="s">
        <v>211</v>
      </c>
      <c r="N723" s="166" t="s">
        <v>211</v>
      </c>
      <c r="O723" s="168" t="s">
        <v>211</v>
      </c>
    </row>
    <row r="724" spans="1:15" s="453" customFormat="1" ht="14" x14ac:dyDescent="0.2">
      <c r="A724" s="473"/>
      <c r="B724" s="112"/>
      <c r="C724" s="572"/>
      <c r="D724" s="572"/>
      <c r="E724" s="572"/>
      <c r="F724" s="572"/>
      <c r="G724" s="572"/>
      <c r="I724" s="169"/>
      <c r="J724" s="167"/>
      <c r="K724" s="169"/>
      <c r="L724" s="167"/>
      <c r="M724" s="169"/>
      <c r="N724" s="167"/>
      <c r="O724" s="169"/>
    </row>
    <row r="725" spans="1:15" s="453" customFormat="1" ht="14" x14ac:dyDescent="0.2">
      <c r="A725" s="473"/>
      <c r="B725" s="112" t="s">
        <v>331</v>
      </c>
      <c r="C725" s="572" t="s">
        <v>364</v>
      </c>
      <c r="D725" s="572"/>
      <c r="E725" s="572"/>
      <c r="F725" s="572"/>
      <c r="G725" s="572"/>
      <c r="H725" s="285"/>
      <c r="I725" s="168" t="s">
        <v>211</v>
      </c>
      <c r="J725" s="166" t="s">
        <v>211</v>
      </c>
      <c r="K725" s="168" t="s">
        <v>211</v>
      </c>
      <c r="L725" s="166" t="s">
        <v>211</v>
      </c>
      <c r="M725" s="168" t="s">
        <v>211</v>
      </c>
      <c r="N725" s="166" t="s">
        <v>211</v>
      </c>
      <c r="O725" s="168" t="s">
        <v>211</v>
      </c>
    </row>
    <row r="726" spans="1:15" s="453" customFormat="1" ht="14" x14ac:dyDescent="0.2">
      <c r="A726" s="473"/>
      <c r="B726" s="112"/>
      <c r="C726" s="572"/>
      <c r="D726" s="572"/>
      <c r="E726" s="572"/>
      <c r="F726" s="572"/>
      <c r="G726" s="572"/>
      <c r="I726" s="169"/>
      <c r="J726" s="167"/>
      <c r="K726" s="169"/>
      <c r="L726" s="167"/>
      <c r="M726" s="169"/>
      <c r="N726" s="167"/>
      <c r="O726" s="169"/>
    </row>
    <row r="727" spans="1:15" s="453" customFormat="1" ht="14" x14ac:dyDescent="0.2">
      <c r="A727" s="473"/>
      <c r="B727" s="112" t="s">
        <v>332</v>
      </c>
      <c r="C727" s="573" t="s">
        <v>365</v>
      </c>
      <c r="D727" s="573"/>
      <c r="E727" s="573"/>
      <c r="F727" s="573"/>
      <c r="G727" s="573"/>
      <c r="H727" s="285"/>
      <c r="I727" s="168" t="s">
        <v>211</v>
      </c>
      <c r="J727" s="166" t="s">
        <v>211</v>
      </c>
      <c r="K727" s="168" t="s">
        <v>211</v>
      </c>
      <c r="L727" s="166" t="s">
        <v>211</v>
      </c>
      <c r="M727" s="168" t="s">
        <v>211</v>
      </c>
      <c r="N727" s="166" t="s">
        <v>211</v>
      </c>
      <c r="O727" s="168" t="s">
        <v>211</v>
      </c>
    </row>
    <row r="728" spans="1:15" s="453" customFormat="1" ht="14" x14ac:dyDescent="0.2">
      <c r="A728" s="473"/>
      <c r="B728" s="112"/>
      <c r="C728" s="443">
        <v>1</v>
      </c>
      <c r="D728" s="573" t="s">
        <v>366</v>
      </c>
      <c r="E728" s="573"/>
      <c r="F728" s="573"/>
      <c r="G728" s="573"/>
      <c r="H728" s="285"/>
      <c r="I728" s="168" t="s">
        <v>211</v>
      </c>
      <c r="J728" s="166" t="s">
        <v>211</v>
      </c>
      <c r="K728" s="168" t="s">
        <v>211</v>
      </c>
      <c r="L728" s="166" t="s">
        <v>211</v>
      </c>
      <c r="M728" s="168" t="s">
        <v>211</v>
      </c>
      <c r="N728" s="166" t="s">
        <v>211</v>
      </c>
      <c r="O728" s="168" t="s">
        <v>211</v>
      </c>
    </row>
    <row r="729" spans="1:15" s="453" customFormat="1" ht="14" x14ac:dyDescent="0.2">
      <c r="A729" s="473"/>
      <c r="B729" s="112"/>
      <c r="C729" s="443">
        <v>2</v>
      </c>
      <c r="D729" s="572" t="s">
        <v>367</v>
      </c>
      <c r="E729" s="572"/>
      <c r="F729" s="572"/>
      <c r="G729" s="572"/>
      <c r="H729" s="285"/>
      <c r="I729" s="168" t="s">
        <v>211</v>
      </c>
      <c r="J729" s="166" t="s">
        <v>211</v>
      </c>
      <c r="K729" s="168" t="s">
        <v>211</v>
      </c>
      <c r="L729" s="166" t="s">
        <v>211</v>
      </c>
      <c r="M729" s="168" t="s">
        <v>211</v>
      </c>
      <c r="N729" s="166" t="s">
        <v>211</v>
      </c>
      <c r="O729" s="168" t="s">
        <v>211</v>
      </c>
    </row>
    <row r="730" spans="1:15" s="453" customFormat="1" ht="14" x14ac:dyDescent="0.2">
      <c r="A730" s="473"/>
      <c r="B730" s="112"/>
      <c r="C730" s="443"/>
      <c r="D730" s="572"/>
      <c r="E730" s="572"/>
      <c r="F730" s="572"/>
      <c r="G730" s="572"/>
      <c r="I730" s="169"/>
      <c r="J730" s="167"/>
      <c r="K730" s="169"/>
      <c r="L730" s="167"/>
      <c r="M730" s="169"/>
      <c r="N730" s="167"/>
      <c r="O730" s="169"/>
    </row>
    <row r="731" spans="1:15" s="453" customFormat="1" ht="14" x14ac:dyDescent="0.2">
      <c r="A731" s="473"/>
      <c r="B731" s="112"/>
      <c r="C731" s="443">
        <v>3</v>
      </c>
      <c r="D731" s="609" t="s">
        <v>368</v>
      </c>
      <c r="E731" s="609"/>
      <c r="F731" s="609"/>
      <c r="G731" s="609"/>
      <c r="H731" s="285"/>
      <c r="I731" s="168" t="s">
        <v>211</v>
      </c>
      <c r="J731" s="166" t="s">
        <v>211</v>
      </c>
      <c r="K731" s="168" t="s">
        <v>211</v>
      </c>
      <c r="L731" s="166" t="s">
        <v>211</v>
      </c>
      <c r="M731" s="168" t="s">
        <v>211</v>
      </c>
      <c r="N731" s="166" t="s">
        <v>211</v>
      </c>
      <c r="O731" s="168" t="s">
        <v>211</v>
      </c>
    </row>
    <row r="732" spans="1:15" s="453" customFormat="1" ht="14" x14ac:dyDescent="0.2">
      <c r="A732" s="473"/>
      <c r="B732" s="112" t="s">
        <v>343</v>
      </c>
      <c r="C732" s="572" t="s">
        <v>369</v>
      </c>
      <c r="D732" s="572"/>
      <c r="E732" s="572"/>
      <c r="F732" s="572"/>
      <c r="G732" s="572"/>
      <c r="H732" s="285"/>
      <c r="I732" s="168" t="s">
        <v>211</v>
      </c>
      <c r="J732" s="166" t="s">
        <v>211</v>
      </c>
      <c r="K732" s="168" t="s">
        <v>211</v>
      </c>
      <c r="L732" s="166" t="s">
        <v>211</v>
      </c>
      <c r="M732" s="168" t="s">
        <v>211</v>
      </c>
      <c r="N732" s="166" t="s">
        <v>211</v>
      </c>
      <c r="O732" s="168" t="s">
        <v>211</v>
      </c>
    </row>
    <row r="733" spans="1:15" s="453" customFormat="1" ht="14" x14ac:dyDescent="0.2">
      <c r="A733" s="473"/>
      <c r="B733" s="112"/>
      <c r="C733" s="572"/>
      <c r="D733" s="572"/>
      <c r="E733" s="572"/>
      <c r="F733" s="572"/>
      <c r="G733" s="572"/>
      <c r="I733" s="169"/>
      <c r="J733" s="167"/>
      <c r="K733" s="169"/>
      <c r="L733" s="167"/>
      <c r="M733" s="169"/>
      <c r="N733" s="167"/>
      <c r="O733" s="169"/>
    </row>
    <row r="734" spans="1:15" s="453" customFormat="1" ht="14" x14ac:dyDescent="0.2">
      <c r="A734" s="473"/>
      <c r="B734" s="112" t="s">
        <v>344</v>
      </c>
      <c r="C734" s="572" t="s">
        <v>1939</v>
      </c>
      <c r="D734" s="572"/>
      <c r="E734" s="572"/>
      <c r="F734" s="572"/>
      <c r="G734" s="572"/>
      <c r="H734" s="285"/>
      <c r="I734" s="168" t="s">
        <v>211</v>
      </c>
      <c r="J734" s="166" t="s">
        <v>211</v>
      </c>
      <c r="K734" s="168" t="s">
        <v>211</v>
      </c>
      <c r="L734" s="166" t="s">
        <v>211</v>
      </c>
      <c r="M734" s="168" t="s">
        <v>211</v>
      </c>
      <c r="N734" s="166" t="s">
        <v>211</v>
      </c>
      <c r="O734" s="168" t="s">
        <v>211</v>
      </c>
    </row>
    <row r="735" spans="1:15" s="453" customFormat="1" ht="14" x14ac:dyDescent="0.2">
      <c r="A735" s="473"/>
      <c r="B735" s="112"/>
      <c r="C735" s="572"/>
      <c r="D735" s="572"/>
      <c r="E735" s="572"/>
      <c r="F735" s="572"/>
      <c r="G735" s="572"/>
      <c r="I735" s="169"/>
      <c r="J735" s="167"/>
      <c r="K735" s="169"/>
      <c r="L735" s="167"/>
      <c r="M735" s="169"/>
      <c r="N735" s="167"/>
      <c r="O735" s="169"/>
    </row>
    <row r="736" spans="1:15" s="453" customFormat="1" ht="14" x14ac:dyDescent="0.2">
      <c r="A736" s="473"/>
      <c r="B736" s="112" t="s">
        <v>370</v>
      </c>
      <c r="C736" s="572" t="s">
        <v>371</v>
      </c>
      <c r="D736" s="572"/>
      <c r="E736" s="572"/>
      <c r="F736" s="572"/>
      <c r="G736" s="572"/>
      <c r="H736" s="285"/>
      <c r="I736" s="168" t="s">
        <v>211</v>
      </c>
      <c r="J736" s="166" t="s">
        <v>211</v>
      </c>
      <c r="K736" s="168" t="s">
        <v>211</v>
      </c>
      <c r="L736" s="166" t="s">
        <v>211</v>
      </c>
      <c r="M736" s="168" t="s">
        <v>211</v>
      </c>
      <c r="N736" s="166" t="s">
        <v>211</v>
      </c>
      <c r="O736" s="168" t="s">
        <v>211</v>
      </c>
    </row>
    <row r="737" spans="1:15" s="453" customFormat="1" ht="14" x14ac:dyDescent="0.2">
      <c r="A737" s="473"/>
      <c r="B737" s="112"/>
      <c r="C737" s="572"/>
      <c r="D737" s="572"/>
      <c r="E737" s="572"/>
      <c r="F737" s="572"/>
      <c r="G737" s="572"/>
      <c r="I737" s="169"/>
      <c r="J737" s="167"/>
      <c r="K737" s="169"/>
      <c r="L737" s="167"/>
      <c r="M737" s="169"/>
      <c r="N737" s="167"/>
      <c r="O737" s="169"/>
    </row>
    <row r="738" spans="1:15" s="453" customFormat="1" ht="12.75" customHeight="1" x14ac:dyDescent="0.2">
      <c r="A738" s="473"/>
      <c r="B738" s="112" t="s">
        <v>372</v>
      </c>
      <c r="C738" s="595" t="s">
        <v>373</v>
      </c>
      <c r="D738" s="595"/>
      <c r="E738" s="595"/>
      <c r="F738" s="595"/>
      <c r="G738" s="595"/>
      <c r="H738" s="285"/>
      <c r="I738" s="168" t="s">
        <v>211</v>
      </c>
      <c r="J738" s="166" t="s">
        <v>211</v>
      </c>
      <c r="K738" s="168" t="s">
        <v>211</v>
      </c>
      <c r="L738" s="166" t="s">
        <v>211</v>
      </c>
      <c r="M738" s="168" t="s">
        <v>211</v>
      </c>
      <c r="N738" s="166" t="s">
        <v>211</v>
      </c>
      <c r="O738" s="168" t="s">
        <v>211</v>
      </c>
    </row>
    <row r="739" spans="1:15" s="453" customFormat="1" ht="14" x14ac:dyDescent="0.2">
      <c r="A739" s="473"/>
      <c r="B739" s="288" t="s">
        <v>333</v>
      </c>
      <c r="C739" s="597" t="s">
        <v>374</v>
      </c>
      <c r="D739" s="597"/>
      <c r="E739" s="597"/>
      <c r="F739" s="597"/>
      <c r="G739" s="597"/>
      <c r="H739" s="285"/>
      <c r="I739" s="168" t="s">
        <v>211</v>
      </c>
      <c r="J739" s="166" t="s">
        <v>211</v>
      </c>
      <c r="K739" s="168" t="s">
        <v>211</v>
      </c>
      <c r="L739" s="166" t="s">
        <v>211</v>
      </c>
      <c r="M739" s="168" t="s">
        <v>211</v>
      </c>
      <c r="N739" s="166" t="s">
        <v>211</v>
      </c>
      <c r="O739" s="168" t="s">
        <v>211</v>
      </c>
    </row>
    <row r="740" spans="1:15" s="453" customFormat="1" ht="14" x14ac:dyDescent="0.2">
      <c r="A740" s="473"/>
      <c r="B740" s="288"/>
      <c r="C740" s="597"/>
      <c r="D740" s="597"/>
      <c r="E740" s="597"/>
      <c r="F740" s="597"/>
      <c r="G740" s="597"/>
      <c r="I740" s="169"/>
      <c r="J740" s="167"/>
      <c r="K740" s="169"/>
      <c r="L740" s="167"/>
      <c r="M740" s="169"/>
      <c r="N740" s="167"/>
      <c r="O740" s="169"/>
    </row>
    <row r="741" spans="1:15" s="453" customFormat="1" ht="12.75" customHeight="1" x14ac:dyDescent="0.2">
      <c r="A741" s="473"/>
      <c r="B741" s="288" t="s">
        <v>333</v>
      </c>
      <c r="C741" s="814" t="s">
        <v>375</v>
      </c>
      <c r="D741" s="814"/>
      <c r="E741" s="814"/>
      <c r="F741" s="814"/>
      <c r="G741" s="814"/>
      <c r="H741" s="285"/>
      <c r="I741" s="168" t="s">
        <v>211</v>
      </c>
      <c r="J741" s="166" t="s">
        <v>211</v>
      </c>
      <c r="K741" s="168" t="s">
        <v>211</v>
      </c>
      <c r="L741" s="166" t="s">
        <v>211</v>
      </c>
      <c r="M741" s="168" t="s">
        <v>211</v>
      </c>
      <c r="N741" s="166" t="s">
        <v>211</v>
      </c>
      <c r="O741" s="168" t="s">
        <v>211</v>
      </c>
    </row>
    <row r="742" spans="1:15" s="453" customFormat="1" ht="14" x14ac:dyDescent="0.2">
      <c r="A742" s="473"/>
      <c r="B742" s="112"/>
      <c r="C742" s="443"/>
      <c r="D742" s="443"/>
      <c r="E742" s="443"/>
      <c r="F742" s="443"/>
      <c r="G742" s="443"/>
      <c r="I742" s="135"/>
      <c r="J742" s="105"/>
      <c r="K742" s="135"/>
      <c r="L742" s="105"/>
      <c r="M742" s="135"/>
      <c r="N742" s="105"/>
      <c r="O742" s="135"/>
    </row>
    <row r="743" spans="1:15" s="453" customFormat="1" ht="12.75" customHeight="1" x14ac:dyDescent="0.2">
      <c r="A743" s="471">
        <v>13</v>
      </c>
      <c r="B743" s="112" t="s">
        <v>330</v>
      </c>
      <c r="C743" s="572" t="s">
        <v>359</v>
      </c>
      <c r="D743" s="572"/>
      <c r="E743" s="572"/>
      <c r="F743" s="572"/>
      <c r="G743" s="572"/>
      <c r="H743" s="285"/>
      <c r="I743" s="168" t="s">
        <v>211</v>
      </c>
      <c r="J743" s="166" t="s">
        <v>211</v>
      </c>
      <c r="K743" s="168" t="s">
        <v>211</v>
      </c>
      <c r="L743" s="166" t="s">
        <v>211</v>
      </c>
      <c r="M743" s="168" t="s">
        <v>211</v>
      </c>
      <c r="N743" s="166" t="s">
        <v>211</v>
      </c>
      <c r="O743" s="168" t="s">
        <v>211</v>
      </c>
    </row>
    <row r="744" spans="1:15" s="453" customFormat="1" ht="14" x14ac:dyDescent="0.2">
      <c r="A744" s="473"/>
      <c r="B744" s="112"/>
      <c r="C744" s="572"/>
      <c r="D744" s="572"/>
      <c r="E744" s="572"/>
      <c r="F744" s="572"/>
      <c r="G744" s="572"/>
      <c r="I744" s="169"/>
      <c r="J744" s="167"/>
      <c r="K744" s="169"/>
      <c r="L744" s="167"/>
      <c r="M744" s="169"/>
      <c r="N744" s="167"/>
      <c r="O744" s="169"/>
    </row>
    <row r="745" spans="1:15" s="453" customFormat="1" ht="12.75" customHeight="1" x14ac:dyDescent="0.2">
      <c r="A745" s="473"/>
      <c r="B745" s="112" t="s">
        <v>331</v>
      </c>
      <c r="C745" s="595" t="s">
        <v>376</v>
      </c>
      <c r="D745" s="595"/>
      <c r="E745" s="595"/>
      <c r="F745" s="595"/>
      <c r="G745" s="595"/>
      <c r="H745" s="285"/>
      <c r="I745" s="168" t="s">
        <v>211</v>
      </c>
      <c r="J745" s="166" t="s">
        <v>211</v>
      </c>
      <c r="K745" s="168" t="s">
        <v>211</v>
      </c>
      <c r="L745" s="166" t="s">
        <v>211</v>
      </c>
      <c r="M745" s="168" t="s">
        <v>211</v>
      </c>
      <c r="N745" s="166" t="s">
        <v>211</v>
      </c>
      <c r="O745" s="168" t="s">
        <v>211</v>
      </c>
    </row>
    <row r="746" spans="1:15" s="453" customFormat="1" ht="14" x14ac:dyDescent="0.2">
      <c r="A746" s="473"/>
      <c r="B746" s="112"/>
      <c r="C746" s="595"/>
      <c r="D746" s="595"/>
      <c r="E746" s="595"/>
      <c r="F746" s="595"/>
      <c r="G746" s="595"/>
      <c r="I746" s="169"/>
      <c r="J746" s="167"/>
      <c r="K746" s="169"/>
      <c r="L746" s="167"/>
      <c r="M746" s="169"/>
      <c r="N746" s="167"/>
      <c r="O746" s="169"/>
    </row>
    <row r="747" spans="1:15" s="453" customFormat="1" ht="12.75" customHeight="1" x14ac:dyDescent="0.2">
      <c r="A747" s="473"/>
      <c r="B747" s="112" t="s">
        <v>332</v>
      </c>
      <c r="C747" s="595" t="s">
        <v>377</v>
      </c>
      <c r="D747" s="595"/>
      <c r="E747" s="595"/>
      <c r="F747" s="595"/>
      <c r="G747" s="595"/>
      <c r="H747" s="285"/>
      <c r="I747" s="168" t="s">
        <v>211</v>
      </c>
      <c r="J747" s="166" t="s">
        <v>211</v>
      </c>
      <c r="K747" s="168" t="s">
        <v>211</v>
      </c>
      <c r="L747" s="166" t="s">
        <v>211</v>
      </c>
      <c r="M747" s="168" t="s">
        <v>211</v>
      </c>
      <c r="N747" s="166" t="s">
        <v>211</v>
      </c>
      <c r="O747" s="168" t="s">
        <v>211</v>
      </c>
    </row>
    <row r="748" spans="1:15" s="453" customFormat="1" ht="14" x14ac:dyDescent="0.2">
      <c r="A748" s="473"/>
      <c r="B748" s="112"/>
      <c r="C748" s="595"/>
      <c r="D748" s="595"/>
      <c r="E748" s="595"/>
      <c r="F748" s="595"/>
      <c r="G748" s="595"/>
      <c r="I748" s="169"/>
      <c r="J748" s="167"/>
      <c r="K748" s="169"/>
      <c r="L748" s="167"/>
      <c r="M748" s="169"/>
      <c r="N748" s="167"/>
      <c r="O748" s="169"/>
    </row>
    <row r="749" spans="1:15" s="453" customFormat="1" ht="14" x14ac:dyDescent="0.2">
      <c r="A749" s="473"/>
      <c r="B749" s="112" t="s">
        <v>343</v>
      </c>
      <c r="C749" s="572" t="s">
        <v>378</v>
      </c>
      <c r="D749" s="572"/>
      <c r="E749" s="572"/>
      <c r="F749" s="572"/>
      <c r="G749" s="572"/>
      <c r="H749" s="285"/>
      <c r="I749" s="168" t="s">
        <v>211</v>
      </c>
      <c r="J749" s="166" t="s">
        <v>211</v>
      </c>
      <c r="K749" s="168" t="s">
        <v>211</v>
      </c>
      <c r="L749" s="166" t="s">
        <v>211</v>
      </c>
      <c r="M749" s="168" t="s">
        <v>211</v>
      </c>
      <c r="N749" s="166" t="s">
        <v>211</v>
      </c>
      <c r="O749" s="168" t="s">
        <v>211</v>
      </c>
    </row>
    <row r="750" spans="1:15" s="453" customFormat="1" ht="14" x14ac:dyDescent="0.2">
      <c r="A750" s="473"/>
      <c r="B750" s="112"/>
      <c r="C750" s="572"/>
      <c r="D750" s="572"/>
      <c r="E750" s="572"/>
      <c r="F750" s="572"/>
      <c r="G750" s="572"/>
      <c r="I750" s="169"/>
      <c r="J750" s="167"/>
      <c r="K750" s="169"/>
      <c r="L750" s="167"/>
      <c r="M750" s="169"/>
      <c r="N750" s="167"/>
      <c r="O750" s="169"/>
    </row>
    <row r="751" spans="1:15" s="453" customFormat="1" ht="14" x14ac:dyDescent="0.2">
      <c r="A751" s="473"/>
      <c r="B751" s="288" t="s">
        <v>333</v>
      </c>
      <c r="C751" s="597" t="s">
        <v>379</v>
      </c>
      <c r="D751" s="597"/>
      <c r="E751" s="597"/>
      <c r="F751" s="597"/>
      <c r="G751" s="597"/>
      <c r="H751" s="285"/>
      <c r="I751" s="168" t="s">
        <v>211</v>
      </c>
      <c r="J751" s="166" t="s">
        <v>211</v>
      </c>
      <c r="K751" s="168" t="s">
        <v>211</v>
      </c>
      <c r="L751" s="166" t="s">
        <v>211</v>
      </c>
      <c r="M751" s="168" t="s">
        <v>211</v>
      </c>
      <c r="N751" s="166" t="s">
        <v>211</v>
      </c>
      <c r="O751" s="168" t="s">
        <v>211</v>
      </c>
    </row>
    <row r="752" spans="1:15" s="453" customFormat="1" ht="14" x14ac:dyDescent="0.2">
      <c r="A752" s="473"/>
      <c r="B752" s="288"/>
      <c r="C752" s="597"/>
      <c r="D752" s="597"/>
      <c r="E752" s="597"/>
      <c r="F752" s="597"/>
      <c r="G752" s="597"/>
      <c r="I752" s="169"/>
      <c r="J752" s="167"/>
      <c r="K752" s="169"/>
      <c r="L752" s="167"/>
      <c r="M752" s="169"/>
      <c r="N752" s="167"/>
      <c r="O752" s="169"/>
    </row>
    <row r="753" spans="1:15" s="453" customFormat="1" ht="14" x14ac:dyDescent="0.2">
      <c r="A753" s="473"/>
      <c r="B753" s="112"/>
      <c r="C753" s="443"/>
      <c r="D753" s="443"/>
      <c r="E753" s="443"/>
      <c r="F753" s="443"/>
      <c r="G753" s="443"/>
      <c r="I753" s="135"/>
      <c r="J753" s="105"/>
      <c r="K753" s="135"/>
      <c r="L753" s="105"/>
      <c r="M753" s="135"/>
      <c r="N753" s="105"/>
      <c r="O753" s="135"/>
    </row>
    <row r="754" spans="1:15" s="453" customFormat="1" ht="12.75" customHeight="1" x14ac:dyDescent="0.2">
      <c r="A754" s="471">
        <v>14</v>
      </c>
      <c r="B754" s="112" t="s">
        <v>330</v>
      </c>
      <c r="C754" s="572" t="s">
        <v>359</v>
      </c>
      <c r="D754" s="572"/>
      <c r="E754" s="572"/>
      <c r="F754" s="572"/>
      <c r="G754" s="572"/>
      <c r="H754" s="285"/>
      <c r="I754" s="168" t="s">
        <v>211</v>
      </c>
      <c r="J754" s="166" t="s">
        <v>211</v>
      </c>
      <c r="K754" s="168" t="s">
        <v>211</v>
      </c>
      <c r="L754" s="166" t="s">
        <v>211</v>
      </c>
      <c r="M754" s="168" t="s">
        <v>211</v>
      </c>
      <c r="N754" s="166" t="s">
        <v>211</v>
      </c>
      <c r="O754" s="168" t="s">
        <v>211</v>
      </c>
    </row>
    <row r="755" spans="1:15" s="453" customFormat="1" ht="14" x14ac:dyDescent="0.2">
      <c r="A755" s="473"/>
      <c r="B755" s="112"/>
      <c r="C755" s="572"/>
      <c r="D755" s="572"/>
      <c r="E755" s="572"/>
      <c r="F755" s="572"/>
      <c r="G755" s="572"/>
      <c r="I755" s="169"/>
      <c r="J755" s="167"/>
      <c r="K755" s="169"/>
      <c r="L755" s="167"/>
      <c r="M755" s="169"/>
      <c r="N755" s="167"/>
      <c r="O755" s="169"/>
    </row>
    <row r="756" spans="1:15" s="453" customFormat="1" ht="12.75" customHeight="1" x14ac:dyDescent="0.2">
      <c r="A756" s="473"/>
      <c r="B756" s="112" t="s">
        <v>331</v>
      </c>
      <c r="C756" s="595" t="s">
        <v>376</v>
      </c>
      <c r="D756" s="595"/>
      <c r="E756" s="595"/>
      <c r="F756" s="595"/>
      <c r="G756" s="595"/>
      <c r="H756" s="285"/>
      <c r="I756" s="168" t="s">
        <v>211</v>
      </c>
      <c r="J756" s="166" t="s">
        <v>211</v>
      </c>
      <c r="K756" s="168" t="s">
        <v>211</v>
      </c>
      <c r="L756" s="166" t="s">
        <v>211</v>
      </c>
      <c r="M756" s="168" t="s">
        <v>211</v>
      </c>
      <c r="N756" s="166" t="s">
        <v>211</v>
      </c>
      <c r="O756" s="168" t="s">
        <v>211</v>
      </c>
    </row>
    <row r="757" spans="1:15" s="453" customFormat="1" ht="14" x14ac:dyDescent="0.2">
      <c r="A757" s="473"/>
      <c r="B757" s="112"/>
      <c r="C757" s="595"/>
      <c r="D757" s="595"/>
      <c r="E757" s="595"/>
      <c r="F757" s="595"/>
      <c r="G757" s="595"/>
      <c r="I757" s="169"/>
      <c r="J757" s="167"/>
      <c r="K757" s="169"/>
      <c r="L757" s="167"/>
      <c r="M757" s="169"/>
      <c r="N757" s="167"/>
      <c r="O757" s="169"/>
    </row>
    <row r="758" spans="1:15" s="453" customFormat="1" ht="12.75" customHeight="1" x14ac:dyDescent="0.2">
      <c r="A758" s="473"/>
      <c r="B758" s="112" t="s">
        <v>332</v>
      </c>
      <c r="C758" s="572" t="s">
        <v>380</v>
      </c>
      <c r="D758" s="572"/>
      <c r="E758" s="572"/>
      <c r="F758" s="572"/>
      <c r="G758" s="572"/>
      <c r="H758" s="285"/>
      <c r="I758" s="168" t="s">
        <v>211</v>
      </c>
      <c r="J758" s="166" t="s">
        <v>211</v>
      </c>
      <c r="K758" s="168" t="s">
        <v>211</v>
      </c>
      <c r="L758" s="166" t="s">
        <v>211</v>
      </c>
      <c r="M758" s="168" t="s">
        <v>211</v>
      </c>
      <c r="N758" s="166" t="s">
        <v>211</v>
      </c>
      <c r="O758" s="168" t="s">
        <v>211</v>
      </c>
    </row>
    <row r="759" spans="1:15" s="453" customFormat="1" ht="14" x14ac:dyDescent="0.2">
      <c r="A759" s="473"/>
      <c r="B759" s="112" t="s">
        <v>343</v>
      </c>
      <c r="C759" s="573" t="s">
        <v>381</v>
      </c>
      <c r="D759" s="573"/>
      <c r="E759" s="573"/>
      <c r="F759" s="573"/>
      <c r="G759" s="573"/>
      <c r="H759" s="285"/>
      <c r="I759" s="168" t="s">
        <v>211</v>
      </c>
      <c r="J759" s="166" t="s">
        <v>211</v>
      </c>
      <c r="K759" s="168" t="s">
        <v>211</v>
      </c>
      <c r="L759" s="166" t="s">
        <v>211</v>
      </c>
      <c r="M759" s="168" t="s">
        <v>211</v>
      </c>
      <c r="N759" s="166" t="s">
        <v>211</v>
      </c>
      <c r="O759" s="168" t="s">
        <v>211</v>
      </c>
    </row>
    <row r="760" spans="1:15" s="453" customFormat="1" ht="14" x14ac:dyDescent="0.2">
      <c r="A760" s="473"/>
      <c r="B760" s="288" t="s">
        <v>333</v>
      </c>
      <c r="C760" s="597" t="s">
        <v>382</v>
      </c>
      <c r="D760" s="597"/>
      <c r="E760" s="597"/>
      <c r="F760" s="597"/>
      <c r="G760" s="597"/>
      <c r="H760" s="285"/>
      <c r="I760" s="168" t="s">
        <v>211</v>
      </c>
      <c r="J760" s="166" t="s">
        <v>211</v>
      </c>
      <c r="K760" s="168" t="s">
        <v>211</v>
      </c>
      <c r="L760" s="166" t="s">
        <v>211</v>
      </c>
      <c r="M760" s="168" t="s">
        <v>211</v>
      </c>
      <c r="N760" s="166" t="s">
        <v>211</v>
      </c>
      <c r="O760" s="168" t="s">
        <v>211</v>
      </c>
    </row>
    <row r="761" spans="1:15" s="453" customFormat="1" ht="14" x14ac:dyDescent="0.2">
      <c r="A761" s="473"/>
      <c r="B761" s="288"/>
      <c r="C761" s="597"/>
      <c r="D761" s="597"/>
      <c r="E761" s="597"/>
      <c r="F761" s="597"/>
      <c r="G761" s="597"/>
      <c r="I761" s="169"/>
      <c r="J761" s="167"/>
      <c r="K761" s="169"/>
      <c r="L761" s="167"/>
      <c r="M761" s="169"/>
      <c r="N761" s="167"/>
      <c r="O761" s="169"/>
    </row>
    <row r="762" spans="1:15" s="453" customFormat="1" ht="14" x14ac:dyDescent="0.2">
      <c r="A762" s="473"/>
      <c r="B762" s="112"/>
      <c r="C762" s="443"/>
      <c r="D762" s="443"/>
      <c r="E762" s="443"/>
      <c r="F762" s="443"/>
      <c r="G762" s="443"/>
      <c r="I762" s="135"/>
      <c r="J762" s="105"/>
      <c r="K762" s="135"/>
      <c r="L762" s="105"/>
      <c r="M762" s="135"/>
      <c r="N762" s="105"/>
      <c r="O762" s="135"/>
    </row>
    <row r="763" spans="1:15" s="453" customFormat="1" ht="12.75" customHeight="1" x14ac:dyDescent="0.2">
      <c r="A763" s="471">
        <v>15</v>
      </c>
      <c r="B763" s="112" t="s">
        <v>330</v>
      </c>
      <c r="C763" s="572" t="s">
        <v>359</v>
      </c>
      <c r="D763" s="572"/>
      <c r="E763" s="572"/>
      <c r="F763" s="572"/>
      <c r="G763" s="572"/>
      <c r="H763" s="285"/>
      <c r="I763" s="168" t="s">
        <v>211</v>
      </c>
      <c r="J763" s="166" t="s">
        <v>211</v>
      </c>
      <c r="K763" s="168" t="s">
        <v>211</v>
      </c>
      <c r="L763" s="166" t="s">
        <v>211</v>
      </c>
      <c r="M763" s="168" t="s">
        <v>211</v>
      </c>
      <c r="N763" s="166" t="s">
        <v>211</v>
      </c>
      <c r="O763" s="168" t="s">
        <v>211</v>
      </c>
    </row>
    <row r="764" spans="1:15" s="453" customFormat="1" ht="14" x14ac:dyDescent="0.2">
      <c r="A764" s="473"/>
      <c r="B764" s="112"/>
      <c r="C764" s="572"/>
      <c r="D764" s="572"/>
      <c r="E764" s="572"/>
      <c r="F764" s="572"/>
      <c r="G764" s="572"/>
      <c r="I764" s="169"/>
      <c r="J764" s="167"/>
      <c r="K764" s="169"/>
      <c r="L764" s="167"/>
      <c r="M764" s="169"/>
      <c r="N764" s="167"/>
      <c r="O764" s="169"/>
    </row>
    <row r="765" spans="1:15" s="453" customFormat="1" ht="12.75" customHeight="1" x14ac:dyDescent="0.2">
      <c r="A765" s="473"/>
      <c r="B765" s="112" t="s">
        <v>331</v>
      </c>
      <c r="C765" s="595" t="s">
        <v>376</v>
      </c>
      <c r="D765" s="595"/>
      <c r="E765" s="595"/>
      <c r="F765" s="595"/>
      <c r="G765" s="595"/>
      <c r="H765" s="285"/>
      <c r="I765" s="168" t="s">
        <v>211</v>
      </c>
      <c r="J765" s="166" t="s">
        <v>211</v>
      </c>
      <c r="K765" s="168" t="s">
        <v>211</v>
      </c>
      <c r="L765" s="166" t="s">
        <v>211</v>
      </c>
      <c r="M765" s="168" t="s">
        <v>211</v>
      </c>
      <c r="N765" s="166" t="s">
        <v>211</v>
      </c>
      <c r="O765" s="168" t="s">
        <v>211</v>
      </c>
    </row>
    <row r="766" spans="1:15" s="453" customFormat="1" ht="14" x14ac:dyDescent="0.2">
      <c r="A766" s="473"/>
      <c r="B766" s="112"/>
      <c r="C766" s="595"/>
      <c r="D766" s="595"/>
      <c r="E766" s="595"/>
      <c r="F766" s="595"/>
      <c r="G766" s="595"/>
      <c r="I766" s="169"/>
      <c r="J766" s="167"/>
      <c r="K766" s="169"/>
      <c r="L766" s="167"/>
      <c r="M766" s="169"/>
      <c r="N766" s="167"/>
      <c r="O766" s="169"/>
    </row>
    <row r="767" spans="1:15" s="453" customFormat="1" ht="12.75" customHeight="1" x14ac:dyDescent="0.2">
      <c r="A767" s="473"/>
      <c r="B767" s="112" t="s">
        <v>332</v>
      </c>
      <c r="C767" s="595" t="s">
        <v>383</v>
      </c>
      <c r="D767" s="595"/>
      <c r="E767" s="595"/>
      <c r="F767" s="595"/>
      <c r="G767" s="595"/>
      <c r="H767" s="285"/>
      <c r="I767" s="168" t="s">
        <v>211</v>
      </c>
      <c r="J767" s="166" t="s">
        <v>211</v>
      </c>
      <c r="K767" s="168" t="s">
        <v>211</v>
      </c>
      <c r="L767" s="166" t="s">
        <v>211</v>
      </c>
      <c r="M767" s="168" t="s">
        <v>211</v>
      </c>
      <c r="N767" s="166" t="s">
        <v>211</v>
      </c>
      <c r="O767" s="168" t="s">
        <v>211</v>
      </c>
    </row>
    <row r="768" spans="1:15" s="453" customFormat="1" ht="14" x14ac:dyDescent="0.2">
      <c r="A768" s="473"/>
      <c r="B768" s="112" t="s">
        <v>343</v>
      </c>
      <c r="C768" s="573" t="s">
        <v>384</v>
      </c>
      <c r="D768" s="573"/>
      <c r="E768" s="573"/>
      <c r="F768" s="573"/>
      <c r="G768" s="573"/>
      <c r="H768" s="285"/>
      <c r="I768" s="168" t="s">
        <v>211</v>
      </c>
      <c r="J768" s="166" t="s">
        <v>211</v>
      </c>
      <c r="K768" s="168" t="s">
        <v>211</v>
      </c>
      <c r="L768" s="166" t="s">
        <v>211</v>
      </c>
      <c r="M768" s="168" t="s">
        <v>211</v>
      </c>
      <c r="N768" s="166" t="s">
        <v>211</v>
      </c>
      <c r="O768" s="168" t="s">
        <v>211</v>
      </c>
    </row>
    <row r="769" spans="1:15" s="453" customFormat="1" ht="14" x14ac:dyDescent="0.2">
      <c r="A769" s="473"/>
      <c r="B769" s="112" t="s">
        <v>344</v>
      </c>
      <c r="C769" s="572" t="s">
        <v>385</v>
      </c>
      <c r="D769" s="572"/>
      <c r="E769" s="572"/>
      <c r="F769" s="572"/>
      <c r="G769" s="572"/>
      <c r="H769" s="285"/>
      <c r="I769" s="168" t="s">
        <v>211</v>
      </c>
      <c r="J769" s="166" t="s">
        <v>211</v>
      </c>
      <c r="K769" s="168" t="s">
        <v>211</v>
      </c>
      <c r="L769" s="166" t="s">
        <v>211</v>
      </c>
      <c r="M769" s="168" t="s">
        <v>211</v>
      </c>
      <c r="N769" s="166" t="s">
        <v>211</v>
      </c>
      <c r="O769" s="168" t="s">
        <v>211</v>
      </c>
    </row>
    <row r="770" spans="1:15" s="453" customFormat="1" ht="14" x14ac:dyDescent="0.2">
      <c r="A770" s="473"/>
      <c r="B770" s="112"/>
      <c r="C770" s="572"/>
      <c r="D770" s="572"/>
      <c r="E770" s="572"/>
      <c r="F770" s="572"/>
      <c r="G770" s="572"/>
      <c r="I770" s="169"/>
      <c r="J770" s="167"/>
      <c r="K770" s="169"/>
      <c r="L770" s="167"/>
      <c r="M770" s="169"/>
      <c r="N770" s="167"/>
      <c r="O770" s="169"/>
    </row>
    <row r="771" spans="1:15" s="453" customFormat="1" ht="14" x14ac:dyDescent="0.2">
      <c r="A771" s="473"/>
      <c r="B771" s="288" t="s">
        <v>333</v>
      </c>
      <c r="C771" s="597" t="s">
        <v>386</v>
      </c>
      <c r="D771" s="597"/>
      <c r="E771" s="597"/>
      <c r="F771" s="597"/>
      <c r="G771" s="597"/>
      <c r="H771" s="285"/>
      <c r="I771" s="168" t="s">
        <v>211</v>
      </c>
      <c r="J771" s="166" t="s">
        <v>211</v>
      </c>
      <c r="K771" s="168" t="s">
        <v>211</v>
      </c>
      <c r="L771" s="166" t="s">
        <v>211</v>
      </c>
      <c r="M771" s="168" t="s">
        <v>211</v>
      </c>
      <c r="N771" s="166" t="s">
        <v>211</v>
      </c>
      <c r="O771" s="168" t="s">
        <v>211</v>
      </c>
    </row>
    <row r="772" spans="1:15" s="453" customFormat="1" ht="14" x14ac:dyDescent="0.2">
      <c r="A772" s="473"/>
      <c r="B772" s="288"/>
      <c r="C772" s="597"/>
      <c r="D772" s="597"/>
      <c r="E772" s="597"/>
      <c r="F772" s="597"/>
      <c r="G772" s="597"/>
      <c r="I772" s="169"/>
      <c r="J772" s="167"/>
      <c r="K772" s="169"/>
      <c r="L772" s="167"/>
      <c r="M772" s="169"/>
      <c r="N772" s="167"/>
      <c r="O772" s="169"/>
    </row>
    <row r="773" spans="1:15" s="453" customFormat="1" ht="14" x14ac:dyDescent="0.2">
      <c r="A773" s="473"/>
      <c r="B773" s="288" t="s">
        <v>333</v>
      </c>
      <c r="C773" s="591" t="s">
        <v>387</v>
      </c>
      <c r="D773" s="591"/>
      <c r="E773" s="591"/>
      <c r="F773" s="591"/>
      <c r="G773" s="591"/>
      <c r="H773" s="285"/>
      <c r="I773" s="168" t="s">
        <v>211</v>
      </c>
      <c r="J773" s="166" t="s">
        <v>211</v>
      </c>
      <c r="K773" s="168" t="s">
        <v>211</v>
      </c>
      <c r="L773" s="166" t="s">
        <v>211</v>
      </c>
      <c r="M773" s="168" t="s">
        <v>211</v>
      </c>
      <c r="N773" s="166" t="s">
        <v>211</v>
      </c>
      <c r="O773" s="168" t="s">
        <v>211</v>
      </c>
    </row>
    <row r="774" spans="1:15" s="453" customFormat="1" ht="14" x14ac:dyDescent="0.2">
      <c r="A774" s="473"/>
      <c r="B774" s="112"/>
      <c r="C774" s="443"/>
      <c r="D774" s="443"/>
      <c r="E774" s="443"/>
      <c r="F774" s="443"/>
      <c r="G774" s="443"/>
      <c r="I774" s="135"/>
      <c r="J774" s="105"/>
      <c r="K774" s="135"/>
      <c r="L774" s="105"/>
      <c r="M774" s="135"/>
      <c r="N774" s="105"/>
      <c r="O774" s="135"/>
    </row>
    <row r="775" spans="1:15" s="453" customFormat="1" ht="12.75" customHeight="1" x14ac:dyDescent="0.2">
      <c r="A775" s="471">
        <v>16</v>
      </c>
      <c r="B775" s="112" t="s">
        <v>330</v>
      </c>
      <c r="C775" s="572" t="s">
        <v>359</v>
      </c>
      <c r="D775" s="572"/>
      <c r="E775" s="572"/>
      <c r="F775" s="572"/>
      <c r="G775" s="572"/>
      <c r="H775" s="285"/>
      <c r="I775" s="168" t="s">
        <v>211</v>
      </c>
      <c r="J775" s="166" t="s">
        <v>211</v>
      </c>
      <c r="K775" s="168" t="s">
        <v>211</v>
      </c>
      <c r="L775" s="166" t="s">
        <v>211</v>
      </c>
      <c r="M775" s="168" t="s">
        <v>211</v>
      </c>
      <c r="N775" s="166" t="s">
        <v>211</v>
      </c>
      <c r="O775" s="168" t="s">
        <v>211</v>
      </c>
    </row>
    <row r="776" spans="1:15" s="453" customFormat="1" ht="14" x14ac:dyDescent="0.2">
      <c r="A776" s="473"/>
      <c r="B776" s="112"/>
      <c r="C776" s="572"/>
      <c r="D776" s="572"/>
      <c r="E776" s="572"/>
      <c r="F776" s="572"/>
      <c r="G776" s="572"/>
      <c r="I776" s="169"/>
      <c r="J776" s="167"/>
      <c r="K776" s="169"/>
      <c r="L776" s="167"/>
      <c r="M776" s="169"/>
      <c r="N776" s="167"/>
      <c r="O776" s="169"/>
    </row>
    <row r="777" spans="1:15" s="453" customFormat="1" ht="14" x14ac:dyDescent="0.2">
      <c r="A777" s="473"/>
      <c r="B777" s="112" t="s">
        <v>331</v>
      </c>
      <c r="C777" s="573" t="s">
        <v>388</v>
      </c>
      <c r="D777" s="573"/>
      <c r="E777" s="573"/>
      <c r="F777" s="573"/>
      <c r="G777" s="573"/>
      <c r="H777" s="285"/>
      <c r="I777" s="168" t="s">
        <v>211</v>
      </c>
      <c r="J777" s="166" t="s">
        <v>211</v>
      </c>
      <c r="K777" s="168" t="s">
        <v>211</v>
      </c>
      <c r="L777" s="166" t="s">
        <v>211</v>
      </c>
      <c r="M777" s="168" t="s">
        <v>211</v>
      </c>
      <c r="N777" s="166" t="s">
        <v>211</v>
      </c>
      <c r="O777" s="168" t="s">
        <v>211</v>
      </c>
    </row>
    <row r="778" spans="1:15" s="453" customFormat="1" ht="14" x14ac:dyDescent="0.2">
      <c r="A778" s="473"/>
      <c r="B778" s="112" t="s">
        <v>332</v>
      </c>
      <c r="C778" s="572" t="s">
        <v>389</v>
      </c>
      <c r="D778" s="572"/>
      <c r="E778" s="572"/>
      <c r="F778" s="572"/>
      <c r="G778" s="572"/>
      <c r="H778" s="285"/>
      <c r="I778" s="168" t="s">
        <v>211</v>
      </c>
      <c r="J778" s="166" t="s">
        <v>211</v>
      </c>
      <c r="K778" s="168" t="s">
        <v>211</v>
      </c>
      <c r="L778" s="166" t="s">
        <v>211</v>
      </c>
      <c r="M778" s="168" t="s">
        <v>211</v>
      </c>
      <c r="N778" s="166" t="s">
        <v>211</v>
      </c>
      <c r="O778" s="168" t="s">
        <v>211</v>
      </c>
    </row>
    <row r="779" spans="1:15" s="453" customFormat="1" ht="14" x14ac:dyDescent="0.2">
      <c r="A779" s="473"/>
      <c r="B779" s="112"/>
      <c r="C779" s="572"/>
      <c r="D779" s="572"/>
      <c r="E779" s="572"/>
      <c r="F779" s="572"/>
      <c r="G779" s="572"/>
      <c r="I779" s="169"/>
      <c r="J779" s="167"/>
      <c r="K779" s="169"/>
      <c r="L779" s="167"/>
      <c r="M779" s="169"/>
      <c r="N779" s="167"/>
      <c r="O779" s="169"/>
    </row>
    <row r="780" spans="1:15" s="453" customFormat="1" ht="14" x14ac:dyDescent="0.2">
      <c r="A780" s="473"/>
      <c r="B780" s="112" t="s">
        <v>343</v>
      </c>
      <c r="C780" s="573" t="s">
        <v>390</v>
      </c>
      <c r="D780" s="573"/>
      <c r="E780" s="573"/>
      <c r="F780" s="573"/>
      <c r="G780" s="573"/>
      <c r="H780" s="285"/>
      <c r="I780" s="168" t="s">
        <v>211</v>
      </c>
      <c r="J780" s="166" t="s">
        <v>211</v>
      </c>
      <c r="K780" s="168" t="s">
        <v>211</v>
      </c>
      <c r="L780" s="166" t="s">
        <v>211</v>
      </c>
      <c r="M780" s="168" t="s">
        <v>211</v>
      </c>
      <c r="N780" s="166" t="s">
        <v>211</v>
      </c>
      <c r="O780" s="168" t="s">
        <v>211</v>
      </c>
    </row>
    <row r="781" spans="1:15" s="453" customFormat="1" ht="14" x14ac:dyDescent="0.2">
      <c r="A781" s="473"/>
      <c r="B781" s="112" t="s">
        <v>344</v>
      </c>
      <c r="C781" s="573" t="s">
        <v>391</v>
      </c>
      <c r="D781" s="573"/>
      <c r="E781" s="573"/>
      <c r="F781" s="573"/>
      <c r="G781" s="573"/>
      <c r="H781" s="285"/>
      <c r="I781" s="168" t="s">
        <v>211</v>
      </c>
      <c r="J781" s="166" t="s">
        <v>211</v>
      </c>
      <c r="K781" s="168" t="s">
        <v>211</v>
      </c>
      <c r="L781" s="166" t="s">
        <v>211</v>
      </c>
      <c r="M781" s="168" t="s">
        <v>211</v>
      </c>
      <c r="N781" s="166" t="s">
        <v>211</v>
      </c>
      <c r="O781" s="168" t="s">
        <v>211</v>
      </c>
    </row>
    <row r="782" spans="1:15" s="453" customFormat="1" ht="14" x14ac:dyDescent="0.2">
      <c r="A782" s="473"/>
      <c r="B782" s="112"/>
      <c r="C782" s="443"/>
      <c r="D782" s="443"/>
      <c r="E782" s="443"/>
      <c r="F782" s="443"/>
      <c r="G782" s="443"/>
      <c r="I782" s="135"/>
      <c r="J782" s="105"/>
      <c r="K782" s="135"/>
      <c r="L782" s="105"/>
      <c r="M782" s="135"/>
      <c r="N782" s="105"/>
      <c r="O782" s="135"/>
    </row>
    <row r="783" spans="1:15" s="453" customFormat="1" ht="12.75" customHeight="1" x14ac:dyDescent="0.2">
      <c r="A783" s="471">
        <v>17</v>
      </c>
      <c r="B783" s="112" t="s">
        <v>330</v>
      </c>
      <c r="C783" s="572" t="s">
        <v>359</v>
      </c>
      <c r="D783" s="572"/>
      <c r="E783" s="572"/>
      <c r="F783" s="572"/>
      <c r="G783" s="572"/>
      <c r="H783" s="285"/>
      <c r="I783" s="168" t="s">
        <v>211</v>
      </c>
      <c r="J783" s="166" t="s">
        <v>211</v>
      </c>
      <c r="K783" s="168" t="s">
        <v>211</v>
      </c>
      <c r="L783" s="166" t="s">
        <v>211</v>
      </c>
      <c r="M783" s="168" t="s">
        <v>211</v>
      </c>
      <c r="N783" s="166" t="s">
        <v>211</v>
      </c>
      <c r="O783" s="168" t="s">
        <v>211</v>
      </c>
    </row>
    <row r="784" spans="1:15" s="453" customFormat="1" ht="14" x14ac:dyDescent="0.2">
      <c r="A784" s="473"/>
      <c r="B784" s="112"/>
      <c r="C784" s="572"/>
      <c r="D784" s="572"/>
      <c r="E784" s="572"/>
      <c r="F784" s="572"/>
      <c r="G784" s="572"/>
      <c r="I784" s="169"/>
      <c r="J784" s="167"/>
      <c r="K784" s="169"/>
      <c r="L784" s="167"/>
      <c r="M784" s="169"/>
      <c r="N784" s="167"/>
      <c r="O784" s="169"/>
    </row>
    <row r="785" spans="1:15" s="453" customFormat="1" ht="12.75" customHeight="1" x14ac:dyDescent="0.2">
      <c r="A785" s="473"/>
      <c r="B785" s="112" t="s">
        <v>331</v>
      </c>
      <c r="C785" s="595" t="s">
        <v>376</v>
      </c>
      <c r="D785" s="595"/>
      <c r="E785" s="595"/>
      <c r="F785" s="595"/>
      <c r="G785" s="595"/>
      <c r="H785" s="285"/>
      <c r="I785" s="168" t="s">
        <v>211</v>
      </c>
      <c r="J785" s="166" t="s">
        <v>211</v>
      </c>
      <c r="K785" s="168" t="s">
        <v>211</v>
      </c>
      <c r="L785" s="166" t="s">
        <v>211</v>
      </c>
      <c r="M785" s="168" t="s">
        <v>211</v>
      </c>
      <c r="N785" s="166" t="s">
        <v>211</v>
      </c>
      <c r="O785" s="168" t="s">
        <v>211</v>
      </c>
    </row>
    <row r="786" spans="1:15" s="453" customFormat="1" ht="14" x14ac:dyDescent="0.2">
      <c r="A786" s="473"/>
      <c r="B786" s="112"/>
      <c r="C786" s="595"/>
      <c r="D786" s="595"/>
      <c r="E786" s="595"/>
      <c r="F786" s="595"/>
      <c r="G786" s="595"/>
      <c r="I786" s="169"/>
      <c r="J786" s="167"/>
      <c r="K786" s="169"/>
      <c r="L786" s="167"/>
      <c r="M786" s="169"/>
      <c r="N786" s="167"/>
      <c r="O786" s="169"/>
    </row>
    <row r="787" spans="1:15" s="453" customFormat="1" ht="14" x14ac:dyDescent="0.2">
      <c r="A787" s="473"/>
      <c r="B787" s="112" t="s">
        <v>332</v>
      </c>
      <c r="C787" s="573" t="s">
        <v>392</v>
      </c>
      <c r="D787" s="573"/>
      <c r="E787" s="573"/>
      <c r="F787" s="573"/>
      <c r="G787" s="573"/>
      <c r="H787" s="285"/>
      <c r="I787" s="168" t="s">
        <v>211</v>
      </c>
      <c r="J787" s="166" t="s">
        <v>211</v>
      </c>
      <c r="K787" s="168" t="s">
        <v>211</v>
      </c>
      <c r="L787" s="166" t="s">
        <v>211</v>
      </c>
      <c r="M787" s="168" t="s">
        <v>211</v>
      </c>
      <c r="N787" s="166" t="s">
        <v>211</v>
      </c>
      <c r="O787" s="168" t="s">
        <v>211</v>
      </c>
    </row>
    <row r="788" spans="1:15" s="453" customFormat="1" ht="14" x14ac:dyDescent="0.2">
      <c r="A788" s="473"/>
      <c r="B788" s="112" t="s">
        <v>343</v>
      </c>
      <c r="C788" s="573" t="s">
        <v>426</v>
      </c>
      <c r="D788" s="573"/>
      <c r="E788" s="573"/>
      <c r="F788" s="573"/>
      <c r="G788" s="573"/>
      <c r="H788" s="285"/>
      <c r="I788" s="168" t="s">
        <v>211</v>
      </c>
      <c r="J788" s="166" t="s">
        <v>211</v>
      </c>
      <c r="K788" s="168" t="s">
        <v>211</v>
      </c>
      <c r="L788" s="166" t="s">
        <v>211</v>
      </c>
      <c r="M788" s="168" t="s">
        <v>211</v>
      </c>
      <c r="N788" s="166" t="s">
        <v>211</v>
      </c>
      <c r="O788" s="168" t="s">
        <v>211</v>
      </c>
    </row>
    <row r="789" spans="1:15" s="453" customFormat="1" ht="14" x14ac:dyDescent="0.2">
      <c r="A789" s="473"/>
      <c r="B789" s="112" t="s">
        <v>344</v>
      </c>
      <c r="C789" s="572" t="s">
        <v>393</v>
      </c>
      <c r="D789" s="572"/>
      <c r="E789" s="572"/>
      <c r="F789" s="572"/>
      <c r="G789" s="572"/>
      <c r="H789" s="285"/>
      <c r="I789" s="168" t="s">
        <v>211</v>
      </c>
      <c r="J789" s="166" t="s">
        <v>211</v>
      </c>
      <c r="K789" s="168" t="s">
        <v>211</v>
      </c>
      <c r="L789" s="166" t="s">
        <v>211</v>
      </c>
      <c r="M789" s="168" t="s">
        <v>211</v>
      </c>
      <c r="N789" s="166" t="s">
        <v>211</v>
      </c>
      <c r="O789" s="168" t="s">
        <v>211</v>
      </c>
    </row>
    <row r="790" spans="1:15" s="453" customFormat="1" ht="14" x14ac:dyDescent="0.2">
      <c r="A790" s="473"/>
      <c r="B790" s="112"/>
      <c r="C790" s="572"/>
      <c r="D790" s="572"/>
      <c r="E790" s="572"/>
      <c r="F790" s="572"/>
      <c r="G790" s="572"/>
      <c r="I790" s="169"/>
      <c r="J790" s="167"/>
      <c r="K790" s="169"/>
      <c r="L790" s="167"/>
      <c r="M790" s="169"/>
      <c r="N790" s="167"/>
      <c r="O790" s="169"/>
    </row>
    <row r="791" spans="1:15" s="453" customFormat="1" ht="14" x14ac:dyDescent="0.2">
      <c r="A791" s="473"/>
      <c r="B791" s="112"/>
      <c r="C791" s="443"/>
      <c r="D791" s="443"/>
      <c r="E791" s="443"/>
      <c r="F791" s="443"/>
      <c r="G791" s="443"/>
      <c r="I791" s="135"/>
      <c r="J791" s="105"/>
      <c r="K791" s="135"/>
      <c r="L791" s="105"/>
      <c r="M791" s="135"/>
      <c r="N791" s="105"/>
      <c r="O791" s="135"/>
    </row>
    <row r="792" spans="1:15" s="453" customFormat="1" ht="12.75" customHeight="1" x14ac:dyDescent="0.2">
      <c r="A792" s="471">
        <v>18</v>
      </c>
      <c r="B792" s="112" t="s">
        <v>330</v>
      </c>
      <c r="C792" s="572" t="s">
        <v>359</v>
      </c>
      <c r="D792" s="572"/>
      <c r="E792" s="572"/>
      <c r="F792" s="572"/>
      <c r="G792" s="572"/>
      <c r="H792" s="285"/>
      <c r="I792" s="168" t="s">
        <v>211</v>
      </c>
      <c r="J792" s="166" t="s">
        <v>211</v>
      </c>
      <c r="K792" s="168" t="s">
        <v>211</v>
      </c>
      <c r="L792" s="166" t="s">
        <v>211</v>
      </c>
      <c r="M792" s="168" t="s">
        <v>211</v>
      </c>
      <c r="N792" s="166" t="s">
        <v>211</v>
      </c>
      <c r="O792" s="168" t="s">
        <v>211</v>
      </c>
    </row>
    <row r="793" spans="1:15" s="453" customFormat="1" ht="14" x14ac:dyDescent="0.2">
      <c r="A793" s="473"/>
      <c r="B793" s="112"/>
      <c r="C793" s="572"/>
      <c r="D793" s="572"/>
      <c r="E793" s="572"/>
      <c r="F793" s="572"/>
      <c r="G793" s="572"/>
      <c r="I793" s="169"/>
      <c r="J793" s="167"/>
      <c r="K793" s="169"/>
      <c r="L793" s="167"/>
      <c r="M793" s="169"/>
      <c r="N793" s="167"/>
      <c r="O793" s="169"/>
    </row>
    <row r="794" spans="1:15" s="453" customFormat="1" ht="14" x14ac:dyDescent="0.2">
      <c r="A794" s="473"/>
      <c r="B794" s="112"/>
      <c r="C794" s="443"/>
      <c r="D794" s="443"/>
      <c r="E794" s="443"/>
      <c r="F794" s="443"/>
      <c r="G794" s="443"/>
      <c r="I794" s="135"/>
      <c r="J794" s="105"/>
      <c r="K794" s="135"/>
      <c r="L794" s="105"/>
      <c r="M794" s="135"/>
      <c r="N794" s="105"/>
      <c r="O794" s="135"/>
    </row>
    <row r="795" spans="1:15" s="453" customFormat="1" ht="12.75" customHeight="1" x14ac:dyDescent="0.2">
      <c r="A795" s="471">
        <v>19</v>
      </c>
      <c r="B795" s="112" t="s">
        <v>330</v>
      </c>
      <c r="C795" s="572" t="s">
        <v>359</v>
      </c>
      <c r="D795" s="572"/>
      <c r="E795" s="572"/>
      <c r="F795" s="572"/>
      <c r="G795" s="572"/>
      <c r="H795" s="285"/>
      <c r="I795" s="168" t="s">
        <v>211</v>
      </c>
      <c r="J795" s="166" t="s">
        <v>211</v>
      </c>
      <c r="K795" s="168" t="s">
        <v>211</v>
      </c>
      <c r="L795" s="166" t="s">
        <v>211</v>
      </c>
      <c r="M795" s="168" t="s">
        <v>211</v>
      </c>
      <c r="N795" s="166" t="s">
        <v>211</v>
      </c>
      <c r="O795" s="168" t="s">
        <v>211</v>
      </c>
    </row>
    <row r="796" spans="1:15" s="453" customFormat="1" ht="14" x14ac:dyDescent="0.2">
      <c r="A796" s="473"/>
      <c r="B796" s="112"/>
      <c r="C796" s="572"/>
      <c r="D796" s="572"/>
      <c r="E796" s="572"/>
      <c r="F796" s="572"/>
      <c r="G796" s="572"/>
      <c r="I796" s="169"/>
      <c r="J796" s="167"/>
      <c r="K796" s="169"/>
      <c r="L796" s="167"/>
      <c r="M796" s="169"/>
      <c r="N796" s="167"/>
      <c r="O796" s="169"/>
    </row>
    <row r="797" spans="1:15" s="453" customFormat="1" ht="14" x14ac:dyDescent="0.2">
      <c r="A797" s="473"/>
      <c r="B797" s="112" t="s">
        <v>331</v>
      </c>
      <c r="C797" s="572" t="s">
        <v>394</v>
      </c>
      <c r="D797" s="572"/>
      <c r="E797" s="572"/>
      <c r="F797" s="572"/>
      <c r="G797" s="572"/>
      <c r="H797" s="285"/>
      <c r="I797" s="168" t="s">
        <v>211</v>
      </c>
      <c r="J797" s="166" t="s">
        <v>211</v>
      </c>
      <c r="K797" s="168" t="s">
        <v>211</v>
      </c>
      <c r="L797" s="166" t="s">
        <v>211</v>
      </c>
      <c r="M797" s="168" t="s">
        <v>211</v>
      </c>
      <c r="N797" s="166" t="s">
        <v>211</v>
      </c>
      <c r="O797" s="168" t="s">
        <v>211</v>
      </c>
    </row>
    <row r="798" spans="1:15" s="453" customFormat="1" ht="14" x14ac:dyDescent="0.2">
      <c r="A798" s="473"/>
      <c r="B798" s="112"/>
      <c r="C798" s="572"/>
      <c r="D798" s="572"/>
      <c r="E798" s="572"/>
      <c r="F798" s="572"/>
      <c r="G798" s="572"/>
      <c r="I798" s="169"/>
      <c r="J798" s="167"/>
      <c r="K798" s="169"/>
      <c r="L798" s="167"/>
      <c r="M798" s="169"/>
      <c r="N798" s="167"/>
      <c r="O798" s="169"/>
    </row>
    <row r="799" spans="1:15" s="453" customFormat="1" ht="12.75" customHeight="1" x14ac:dyDescent="0.2">
      <c r="A799" s="473"/>
      <c r="B799" s="112" t="s">
        <v>332</v>
      </c>
      <c r="C799" s="595" t="s">
        <v>361</v>
      </c>
      <c r="D799" s="595"/>
      <c r="E799" s="595"/>
      <c r="F799" s="595"/>
      <c r="G799" s="595"/>
      <c r="H799" s="285"/>
      <c r="I799" s="168" t="s">
        <v>211</v>
      </c>
      <c r="J799" s="166" t="s">
        <v>211</v>
      </c>
      <c r="K799" s="168" t="s">
        <v>211</v>
      </c>
      <c r="L799" s="166" t="s">
        <v>211</v>
      </c>
      <c r="M799" s="168" t="s">
        <v>211</v>
      </c>
      <c r="N799" s="166" t="s">
        <v>211</v>
      </c>
      <c r="O799" s="168" t="s">
        <v>211</v>
      </c>
    </row>
    <row r="800" spans="1:15" s="453" customFormat="1" ht="14" x14ac:dyDescent="0.2">
      <c r="A800" s="473"/>
      <c r="B800" s="112"/>
      <c r="C800" s="595"/>
      <c r="D800" s="595"/>
      <c r="E800" s="595"/>
      <c r="F800" s="595"/>
      <c r="G800" s="595"/>
      <c r="I800" s="169"/>
      <c r="J800" s="167"/>
      <c r="K800" s="169"/>
      <c r="L800" s="167"/>
      <c r="M800" s="169"/>
      <c r="N800" s="167"/>
      <c r="O800" s="169"/>
    </row>
    <row r="801" spans="1:15" s="453" customFormat="1" ht="12.75" customHeight="1" x14ac:dyDescent="0.2">
      <c r="A801" s="473"/>
      <c r="B801" s="288" t="s">
        <v>333</v>
      </c>
      <c r="C801" s="597" t="s">
        <v>346</v>
      </c>
      <c r="D801" s="597"/>
      <c r="E801" s="597"/>
      <c r="F801" s="597"/>
      <c r="G801" s="597"/>
      <c r="H801" s="285"/>
      <c r="I801" s="168" t="s">
        <v>211</v>
      </c>
      <c r="J801" s="166" t="s">
        <v>211</v>
      </c>
      <c r="K801" s="168" t="s">
        <v>211</v>
      </c>
      <c r="L801" s="166" t="s">
        <v>211</v>
      </c>
      <c r="M801" s="168" t="s">
        <v>211</v>
      </c>
      <c r="N801" s="166" t="s">
        <v>211</v>
      </c>
      <c r="O801" s="168" t="s">
        <v>211</v>
      </c>
    </row>
    <row r="802" spans="1:15" s="453" customFormat="1" ht="14" x14ac:dyDescent="0.2">
      <c r="A802" s="473"/>
      <c r="B802" s="288"/>
      <c r="C802" s="597"/>
      <c r="D802" s="597"/>
      <c r="E802" s="597"/>
      <c r="F802" s="597"/>
      <c r="G802" s="597"/>
      <c r="I802" s="169"/>
      <c r="J802" s="167"/>
      <c r="K802" s="169"/>
      <c r="L802" s="167"/>
      <c r="M802" s="169"/>
      <c r="N802" s="167"/>
      <c r="O802" s="169"/>
    </row>
    <row r="803" spans="1:15" s="453" customFormat="1" ht="14" x14ac:dyDescent="0.2">
      <c r="A803" s="473"/>
      <c r="B803" s="288"/>
      <c r="C803" s="597"/>
      <c r="D803" s="597"/>
      <c r="E803" s="597"/>
      <c r="F803" s="597"/>
      <c r="G803" s="597"/>
      <c r="I803" s="169"/>
      <c r="J803" s="167"/>
      <c r="K803" s="169"/>
      <c r="L803" s="167"/>
      <c r="M803" s="169"/>
      <c r="N803" s="167"/>
      <c r="O803" s="169"/>
    </row>
    <row r="804" spans="1:15" s="453" customFormat="1" ht="14" x14ac:dyDescent="0.2">
      <c r="A804" s="473"/>
      <c r="B804" s="288"/>
      <c r="C804" s="597"/>
      <c r="D804" s="597"/>
      <c r="E804" s="597"/>
      <c r="F804" s="597"/>
      <c r="G804" s="597"/>
      <c r="I804" s="169"/>
      <c r="J804" s="167"/>
      <c r="K804" s="169"/>
      <c r="L804" s="167"/>
      <c r="M804" s="169"/>
      <c r="N804" s="167"/>
      <c r="O804" s="169"/>
    </row>
    <row r="805" spans="1:15" s="453" customFormat="1" ht="14" x14ac:dyDescent="0.2">
      <c r="A805" s="473"/>
      <c r="B805" s="112"/>
      <c r="C805" s="443"/>
      <c r="D805" s="443"/>
      <c r="E805" s="443"/>
      <c r="F805" s="443"/>
      <c r="G805" s="443"/>
      <c r="I805" s="135"/>
      <c r="J805" s="105"/>
      <c r="K805" s="135"/>
      <c r="L805" s="105"/>
      <c r="M805" s="135"/>
      <c r="N805" s="105"/>
      <c r="O805" s="135"/>
    </row>
    <row r="806" spans="1:15" s="453" customFormat="1" ht="12.75" customHeight="1" x14ac:dyDescent="0.2">
      <c r="A806" s="471">
        <v>20</v>
      </c>
      <c r="B806" s="112" t="s">
        <v>330</v>
      </c>
      <c r="C806" s="572" t="s">
        <v>359</v>
      </c>
      <c r="D806" s="572"/>
      <c r="E806" s="572"/>
      <c r="F806" s="572"/>
      <c r="G806" s="572"/>
      <c r="H806" s="285"/>
      <c r="I806" s="168" t="s">
        <v>211</v>
      </c>
      <c r="J806" s="166" t="s">
        <v>211</v>
      </c>
      <c r="K806" s="168" t="s">
        <v>211</v>
      </c>
      <c r="L806" s="166" t="s">
        <v>211</v>
      </c>
      <c r="M806" s="168" t="s">
        <v>211</v>
      </c>
      <c r="N806" s="166" t="s">
        <v>211</v>
      </c>
      <c r="O806" s="168" t="s">
        <v>211</v>
      </c>
    </row>
    <row r="807" spans="1:15" s="453" customFormat="1" ht="14" x14ac:dyDescent="0.2">
      <c r="A807" s="473"/>
      <c r="B807" s="112"/>
      <c r="C807" s="572"/>
      <c r="D807" s="572"/>
      <c r="E807" s="572"/>
      <c r="F807" s="572"/>
      <c r="G807" s="572"/>
      <c r="I807" s="169"/>
      <c r="J807" s="167"/>
      <c r="K807" s="169"/>
      <c r="L807" s="167"/>
      <c r="M807" s="169"/>
      <c r="N807" s="167"/>
      <c r="O807" s="169"/>
    </row>
    <row r="808" spans="1:15" s="453" customFormat="1" ht="14" x14ac:dyDescent="0.2">
      <c r="A808" s="473"/>
      <c r="B808" s="112" t="s">
        <v>331</v>
      </c>
      <c r="C808" s="572" t="s">
        <v>395</v>
      </c>
      <c r="D808" s="572"/>
      <c r="E808" s="572"/>
      <c r="F808" s="572"/>
      <c r="G808" s="572"/>
      <c r="H808" s="285"/>
      <c r="I808" s="168" t="s">
        <v>211</v>
      </c>
      <c r="J808" s="166" t="s">
        <v>211</v>
      </c>
      <c r="K808" s="168" t="s">
        <v>211</v>
      </c>
      <c r="L808" s="166" t="s">
        <v>211</v>
      </c>
      <c r="M808" s="168" t="s">
        <v>211</v>
      </c>
      <c r="N808" s="166" t="s">
        <v>211</v>
      </c>
      <c r="O808" s="168" t="s">
        <v>211</v>
      </c>
    </row>
    <row r="809" spans="1:15" s="453" customFormat="1" ht="14" x14ac:dyDescent="0.2">
      <c r="A809" s="473"/>
      <c r="B809" s="112"/>
      <c r="C809" s="572"/>
      <c r="D809" s="572"/>
      <c r="E809" s="572"/>
      <c r="F809" s="572"/>
      <c r="G809" s="572"/>
      <c r="I809" s="169"/>
      <c r="J809" s="167"/>
      <c r="K809" s="169"/>
      <c r="L809" s="167"/>
      <c r="M809" s="169"/>
      <c r="N809" s="167"/>
      <c r="O809" s="169"/>
    </row>
    <row r="810" spans="1:15" s="453" customFormat="1" ht="14" x14ac:dyDescent="0.2">
      <c r="A810" s="473"/>
      <c r="B810" s="112"/>
      <c r="C810" s="572"/>
      <c r="D810" s="572"/>
      <c r="E810" s="572"/>
      <c r="F810" s="572"/>
      <c r="G810" s="572"/>
      <c r="I810" s="169"/>
      <c r="J810" s="167"/>
      <c r="K810" s="169"/>
      <c r="L810" s="167"/>
      <c r="M810" s="169"/>
      <c r="N810" s="167"/>
      <c r="O810" s="169"/>
    </row>
    <row r="811" spans="1:15" s="453" customFormat="1" ht="14" x14ac:dyDescent="0.2">
      <c r="A811" s="473"/>
      <c r="B811" s="112"/>
      <c r="C811" s="572"/>
      <c r="D811" s="572"/>
      <c r="E811" s="572"/>
      <c r="F811" s="572"/>
      <c r="G811" s="572"/>
      <c r="I811" s="169"/>
      <c r="J811" s="167"/>
      <c r="K811" s="169"/>
      <c r="L811" s="167"/>
      <c r="M811" s="169"/>
      <c r="N811" s="167"/>
      <c r="O811" s="169"/>
    </row>
    <row r="812" spans="1:15" s="453" customFormat="1" ht="14" x14ac:dyDescent="0.2">
      <c r="A812" s="473"/>
      <c r="B812" s="112" t="s">
        <v>332</v>
      </c>
      <c r="C812" s="572" t="s">
        <v>396</v>
      </c>
      <c r="D812" s="572"/>
      <c r="E812" s="572"/>
      <c r="F812" s="572"/>
      <c r="G812" s="572"/>
      <c r="H812" s="285"/>
      <c r="I812" s="168" t="s">
        <v>211</v>
      </c>
      <c r="J812" s="166" t="s">
        <v>211</v>
      </c>
      <c r="K812" s="168" t="s">
        <v>211</v>
      </c>
      <c r="L812" s="166" t="s">
        <v>211</v>
      </c>
      <c r="M812" s="168" t="s">
        <v>211</v>
      </c>
      <c r="N812" s="166" t="s">
        <v>211</v>
      </c>
      <c r="O812" s="168" t="s">
        <v>211</v>
      </c>
    </row>
    <row r="813" spans="1:15" s="453" customFormat="1" ht="14" x14ac:dyDescent="0.2">
      <c r="A813" s="473"/>
      <c r="B813" s="112"/>
      <c r="C813" s="572"/>
      <c r="D813" s="572"/>
      <c r="E813" s="572"/>
      <c r="F813" s="572"/>
      <c r="G813" s="572"/>
      <c r="I813" s="169"/>
      <c r="J813" s="167"/>
      <c r="K813" s="169"/>
      <c r="L813" s="167"/>
      <c r="M813" s="169"/>
      <c r="N813" s="167"/>
      <c r="O813" s="169"/>
    </row>
    <row r="814" spans="1:15" s="453" customFormat="1" ht="14" x14ac:dyDescent="0.2">
      <c r="A814" s="473"/>
      <c r="B814" s="112"/>
      <c r="C814" s="572"/>
      <c r="D814" s="572"/>
      <c r="E814" s="572"/>
      <c r="F814" s="572"/>
      <c r="G814" s="572"/>
      <c r="I814" s="169"/>
      <c r="J814" s="167"/>
      <c r="K814" s="169"/>
      <c r="L814" s="167"/>
      <c r="M814" s="169"/>
      <c r="N814" s="167"/>
      <c r="O814" s="169"/>
    </row>
    <row r="815" spans="1:15" s="453" customFormat="1" ht="14" x14ac:dyDescent="0.2">
      <c r="A815" s="473"/>
      <c r="B815" s="112"/>
      <c r="C815" s="443"/>
      <c r="D815" s="443"/>
      <c r="E815" s="443"/>
      <c r="F815" s="443"/>
      <c r="G815" s="443"/>
      <c r="I815" s="135"/>
      <c r="J815" s="105"/>
      <c r="K815" s="135"/>
      <c r="L815" s="105"/>
      <c r="M815" s="135"/>
      <c r="N815" s="105"/>
      <c r="O815" s="135"/>
    </row>
    <row r="816" spans="1:15" s="453" customFormat="1" ht="12.75" customHeight="1" x14ac:dyDescent="0.2">
      <c r="A816" s="471">
        <v>21</v>
      </c>
      <c r="B816" s="112" t="s">
        <v>330</v>
      </c>
      <c r="C816" s="572" t="s">
        <v>359</v>
      </c>
      <c r="D816" s="572"/>
      <c r="E816" s="572"/>
      <c r="F816" s="572"/>
      <c r="G816" s="572"/>
      <c r="H816" s="285"/>
      <c r="I816" s="168" t="s">
        <v>211</v>
      </c>
      <c r="J816" s="166" t="s">
        <v>211</v>
      </c>
      <c r="K816" s="168" t="s">
        <v>211</v>
      </c>
      <c r="L816" s="166" t="s">
        <v>211</v>
      </c>
      <c r="M816" s="168" t="s">
        <v>211</v>
      </c>
      <c r="N816" s="166" t="s">
        <v>211</v>
      </c>
      <c r="O816" s="168" t="s">
        <v>211</v>
      </c>
    </row>
    <row r="817" spans="1:15" s="453" customFormat="1" ht="14" x14ac:dyDescent="0.2">
      <c r="A817" s="473"/>
      <c r="B817" s="112"/>
      <c r="C817" s="572"/>
      <c r="D817" s="572"/>
      <c r="E817" s="572"/>
      <c r="F817" s="572"/>
      <c r="G817" s="572"/>
      <c r="I817" s="169"/>
      <c r="J817" s="167"/>
      <c r="K817" s="169"/>
      <c r="L817" s="167"/>
      <c r="M817" s="169"/>
      <c r="N817" s="167"/>
      <c r="O817" s="169"/>
    </row>
    <row r="818" spans="1:15" s="453" customFormat="1" ht="14" x14ac:dyDescent="0.2">
      <c r="A818" s="473"/>
      <c r="B818" s="112" t="s">
        <v>331</v>
      </c>
      <c r="C818" s="573" t="s">
        <v>397</v>
      </c>
      <c r="D818" s="573"/>
      <c r="E818" s="573"/>
      <c r="F818" s="573"/>
      <c r="G818" s="573"/>
      <c r="H818" s="285"/>
      <c r="I818" s="168" t="s">
        <v>211</v>
      </c>
      <c r="J818" s="166" t="s">
        <v>211</v>
      </c>
      <c r="K818" s="168" t="s">
        <v>211</v>
      </c>
      <c r="L818" s="166" t="s">
        <v>211</v>
      </c>
      <c r="M818" s="168" t="s">
        <v>211</v>
      </c>
      <c r="N818" s="166" t="s">
        <v>211</v>
      </c>
      <c r="O818" s="168" t="s">
        <v>211</v>
      </c>
    </row>
    <row r="819" spans="1:15" s="453" customFormat="1" ht="14" x14ac:dyDescent="0.2">
      <c r="A819" s="473"/>
      <c r="B819" s="112" t="s">
        <v>332</v>
      </c>
      <c r="C819" s="572" t="s">
        <v>398</v>
      </c>
      <c r="D819" s="572"/>
      <c r="E819" s="572"/>
      <c r="F819" s="572"/>
      <c r="G819" s="572"/>
      <c r="H819" s="285"/>
      <c r="I819" s="168" t="s">
        <v>211</v>
      </c>
      <c r="J819" s="166" t="s">
        <v>211</v>
      </c>
      <c r="K819" s="168" t="s">
        <v>211</v>
      </c>
      <c r="L819" s="166" t="s">
        <v>211</v>
      </c>
      <c r="M819" s="168" t="s">
        <v>211</v>
      </c>
      <c r="N819" s="166" t="s">
        <v>211</v>
      </c>
      <c r="O819" s="168" t="s">
        <v>211</v>
      </c>
    </row>
    <row r="820" spans="1:15" s="453" customFormat="1" ht="14" x14ac:dyDescent="0.2">
      <c r="A820" s="473"/>
      <c r="B820" s="112"/>
      <c r="C820" s="572"/>
      <c r="D820" s="572"/>
      <c r="E820" s="572"/>
      <c r="F820" s="572"/>
      <c r="G820" s="572"/>
      <c r="I820" s="169"/>
      <c r="J820" s="167"/>
      <c r="K820" s="169"/>
      <c r="L820" s="167"/>
      <c r="M820" s="169"/>
      <c r="N820" s="167"/>
      <c r="O820" s="169"/>
    </row>
    <row r="821" spans="1:15" s="453" customFormat="1" ht="14" x14ac:dyDescent="0.2">
      <c r="A821" s="473"/>
      <c r="B821" s="288" t="s">
        <v>333</v>
      </c>
      <c r="C821" s="591" t="s">
        <v>399</v>
      </c>
      <c r="D821" s="591"/>
      <c r="E821" s="591"/>
      <c r="F821" s="591"/>
      <c r="G821" s="591"/>
      <c r="H821" s="285"/>
      <c r="I821" s="168" t="s">
        <v>211</v>
      </c>
      <c r="J821" s="166" t="s">
        <v>211</v>
      </c>
      <c r="K821" s="168" t="s">
        <v>211</v>
      </c>
      <c r="L821" s="166" t="s">
        <v>211</v>
      </c>
      <c r="M821" s="168" t="s">
        <v>211</v>
      </c>
      <c r="N821" s="166" t="s">
        <v>211</v>
      </c>
      <c r="O821" s="168" t="s">
        <v>211</v>
      </c>
    </row>
    <row r="822" spans="1:15" s="453" customFormat="1" ht="14" x14ac:dyDescent="0.2">
      <c r="A822" s="473"/>
      <c r="B822" s="112"/>
      <c r="C822" s="443"/>
      <c r="D822" s="443"/>
      <c r="E822" s="443"/>
      <c r="F822" s="443"/>
      <c r="G822" s="443"/>
      <c r="I822" s="135"/>
      <c r="J822" s="105"/>
      <c r="K822" s="135"/>
      <c r="L822" s="105"/>
      <c r="M822" s="135"/>
      <c r="N822" s="105"/>
      <c r="O822" s="135"/>
    </row>
    <row r="823" spans="1:15" s="453" customFormat="1" ht="12.75" customHeight="1" x14ac:dyDescent="0.2">
      <c r="A823" s="471">
        <v>22</v>
      </c>
      <c r="B823" s="112" t="s">
        <v>330</v>
      </c>
      <c r="C823" s="572" t="s">
        <v>359</v>
      </c>
      <c r="D823" s="572"/>
      <c r="E823" s="572"/>
      <c r="F823" s="572"/>
      <c r="G823" s="572"/>
      <c r="H823" s="285"/>
      <c r="I823" s="168" t="s">
        <v>211</v>
      </c>
      <c r="J823" s="166" t="s">
        <v>211</v>
      </c>
      <c r="K823" s="168" t="s">
        <v>211</v>
      </c>
      <c r="L823" s="166" t="s">
        <v>211</v>
      </c>
      <c r="M823" s="168" t="s">
        <v>211</v>
      </c>
      <c r="N823" s="166" t="s">
        <v>211</v>
      </c>
      <c r="O823" s="168" t="s">
        <v>211</v>
      </c>
    </row>
    <row r="824" spans="1:15" s="453" customFormat="1" ht="14" x14ac:dyDescent="0.2">
      <c r="A824" s="473"/>
      <c r="B824" s="112"/>
      <c r="C824" s="572"/>
      <c r="D824" s="572"/>
      <c r="E824" s="572"/>
      <c r="F824" s="572"/>
      <c r="G824" s="572"/>
      <c r="I824" s="169"/>
      <c r="J824" s="167"/>
      <c r="K824" s="169"/>
      <c r="L824" s="167"/>
      <c r="M824" s="169"/>
      <c r="N824" s="167"/>
      <c r="O824" s="169"/>
    </row>
    <row r="825" spans="1:15" s="453" customFormat="1" ht="14" x14ac:dyDescent="0.2">
      <c r="A825" s="473"/>
      <c r="B825" s="112" t="s">
        <v>331</v>
      </c>
      <c r="C825" s="573" t="s">
        <v>400</v>
      </c>
      <c r="D825" s="573"/>
      <c r="E825" s="573"/>
      <c r="F825" s="573"/>
      <c r="G825" s="573"/>
      <c r="H825" s="285"/>
      <c r="I825" s="168" t="s">
        <v>211</v>
      </c>
      <c r="J825" s="166" t="s">
        <v>211</v>
      </c>
      <c r="K825" s="168" t="s">
        <v>211</v>
      </c>
      <c r="L825" s="166" t="s">
        <v>211</v>
      </c>
      <c r="M825" s="168" t="s">
        <v>211</v>
      </c>
      <c r="N825" s="166" t="s">
        <v>211</v>
      </c>
      <c r="O825" s="168" t="s">
        <v>211</v>
      </c>
    </row>
    <row r="826" spans="1:15" s="453" customFormat="1" ht="14" x14ac:dyDescent="0.2">
      <c r="A826" s="473"/>
      <c r="B826" s="112" t="s">
        <v>332</v>
      </c>
      <c r="C826" s="572" t="s">
        <v>401</v>
      </c>
      <c r="D826" s="572"/>
      <c r="E826" s="572"/>
      <c r="F826" s="572"/>
      <c r="G826" s="572"/>
      <c r="H826" s="285"/>
      <c r="I826" s="168" t="s">
        <v>211</v>
      </c>
      <c r="J826" s="166" t="s">
        <v>211</v>
      </c>
      <c r="K826" s="168" t="s">
        <v>211</v>
      </c>
      <c r="L826" s="166" t="s">
        <v>211</v>
      </c>
      <c r="M826" s="168" t="s">
        <v>211</v>
      </c>
      <c r="N826" s="166" t="s">
        <v>211</v>
      </c>
      <c r="O826" s="168" t="s">
        <v>211</v>
      </c>
    </row>
    <row r="827" spans="1:15" s="453" customFormat="1" ht="14" x14ac:dyDescent="0.2">
      <c r="A827" s="473"/>
      <c r="B827" s="112"/>
      <c r="C827" s="572"/>
      <c r="D827" s="572"/>
      <c r="E827" s="572"/>
      <c r="F827" s="572"/>
      <c r="G827" s="572"/>
      <c r="I827" s="169"/>
      <c r="J827" s="167"/>
      <c r="K827" s="169"/>
      <c r="L827" s="167"/>
      <c r="M827" s="169"/>
      <c r="N827" s="167"/>
      <c r="O827" s="169"/>
    </row>
    <row r="828" spans="1:15" s="453" customFormat="1" ht="14" x14ac:dyDescent="0.2">
      <c r="A828" s="473"/>
      <c r="B828" s="112" t="s">
        <v>343</v>
      </c>
      <c r="C828" s="573" t="s">
        <v>402</v>
      </c>
      <c r="D828" s="573"/>
      <c r="E828" s="573"/>
      <c r="F828" s="573"/>
      <c r="G828" s="573"/>
      <c r="H828" s="285"/>
      <c r="I828" s="168" t="s">
        <v>211</v>
      </c>
      <c r="J828" s="166" t="s">
        <v>211</v>
      </c>
      <c r="K828" s="168" t="s">
        <v>211</v>
      </c>
      <c r="L828" s="166" t="s">
        <v>211</v>
      </c>
      <c r="M828" s="168" t="s">
        <v>211</v>
      </c>
      <c r="N828" s="166" t="s">
        <v>211</v>
      </c>
      <c r="O828" s="168" t="s">
        <v>211</v>
      </c>
    </row>
    <row r="829" spans="1:15" s="453" customFormat="1" ht="14" x14ac:dyDescent="0.2">
      <c r="A829" s="473"/>
      <c r="B829" s="112" t="s">
        <v>344</v>
      </c>
      <c r="C829" s="572" t="s">
        <v>403</v>
      </c>
      <c r="D829" s="572"/>
      <c r="E829" s="572"/>
      <c r="F829" s="572"/>
      <c r="G829" s="572"/>
      <c r="H829" s="285"/>
      <c r="I829" s="168" t="s">
        <v>211</v>
      </c>
      <c r="J829" s="166" t="s">
        <v>211</v>
      </c>
      <c r="K829" s="168" t="s">
        <v>211</v>
      </c>
      <c r="L829" s="166" t="s">
        <v>211</v>
      </c>
      <c r="M829" s="168" t="s">
        <v>211</v>
      </c>
      <c r="N829" s="166" t="s">
        <v>211</v>
      </c>
      <c r="O829" s="168" t="s">
        <v>211</v>
      </c>
    </row>
    <row r="830" spans="1:15" s="453" customFormat="1" ht="14" x14ac:dyDescent="0.2">
      <c r="A830" s="473"/>
      <c r="B830" s="112"/>
      <c r="C830" s="572"/>
      <c r="D830" s="572"/>
      <c r="E830" s="572"/>
      <c r="F830" s="572"/>
      <c r="G830" s="572"/>
      <c r="I830" s="170"/>
      <c r="J830" s="171"/>
      <c r="K830" s="170"/>
      <c r="L830" s="171"/>
      <c r="M830" s="170"/>
      <c r="N830" s="171"/>
      <c r="O830" s="169"/>
    </row>
    <row r="831" spans="1:15" s="453" customFormat="1" ht="14" x14ac:dyDescent="0.2">
      <c r="A831" s="473"/>
      <c r="B831" s="112" t="s">
        <v>370</v>
      </c>
      <c r="C831" s="573" t="s">
        <v>404</v>
      </c>
      <c r="D831" s="573"/>
      <c r="E831" s="573"/>
      <c r="F831" s="573"/>
      <c r="G831" s="573"/>
      <c r="H831" s="285"/>
      <c r="I831" s="168" t="s">
        <v>211</v>
      </c>
      <c r="J831" s="166" t="s">
        <v>211</v>
      </c>
      <c r="K831" s="168" t="s">
        <v>211</v>
      </c>
      <c r="L831" s="166" t="s">
        <v>211</v>
      </c>
      <c r="M831" s="168" t="s">
        <v>211</v>
      </c>
      <c r="N831" s="166" t="s">
        <v>211</v>
      </c>
      <c r="O831" s="168" t="s">
        <v>211</v>
      </c>
    </row>
    <row r="832" spans="1:15" s="453" customFormat="1" ht="14" x14ac:dyDescent="0.2">
      <c r="A832" s="473"/>
      <c r="B832" s="112" t="s">
        <v>372</v>
      </c>
      <c r="C832" s="573" t="s">
        <v>405</v>
      </c>
      <c r="D832" s="573"/>
      <c r="E832" s="573"/>
      <c r="F832" s="573"/>
      <c r="G832" s="573"/>
      <c r="H832" s="285"/>
      <c r="I832" s="168" t="s">
        <v>211</v>
      </c>
      <c r="J832" s="166" t="s">
        <v>211</v>
      </c>
      <c r="K832" s="168" t="s">
        <v>211</v>
      </c>
      <c r="L832" s="166" t="s">
        <v>211</v>
      </c>
      <c r="M832" s="168" t="s">
        <v>211</v>
      </c>
      <c r="N832" s="166" t="s">
        <v>211</v>
      </c>
      <c r="O832" s="168" t="s">
        <v>211</v>
      </c>
    </row>
    <row r="833" spans="1:15" s="453" customFormat="1" ht="12.75" customHeight="1" x14ac:dyDescent="0.2">
      <c r="A833" s="473"/>
      <c r="B833" s="288" t="s">
        <v>333</v>
      </c>
      <c r="C833" s="597" t="s">
        <v>406</v>
      </c>
      <c r="D833" s="597"/>
      <c r="E833" s="597"/>
      <c r="F833" s="597"/>
      <c r="G833" s="597"/>
      <c r="H833" s="285"/>
      <c r="I833" s="168" t="s">
        <v>211</v>
      </c>
      <c r="J833" s="166" t="s">
        <v>211</v>
      </c>
      <c r="K833" s="168" t="s">
        <v>211</v>
      </c>
      <c r="L833" s="166" t="s">
        <v>211</v>
      </c>
      <c r="M833" s="168" t="s">
        <v>211</v>
      </c>
      <c r="N833" s="166" t="s">
        <v>211</v>
      </c>
      <c r="O833" s="168" t="s">
        <v>211</v>
      </c>
    </row>
    <row r="834" spans="1:15" s="453" customFormat="1" ht="14" x14ac:dyDescent="0.2">
      <c r="A834" s="473"/>
      <c r="B834" s="288" t="s">
        <v>333</v>
      </c>
      <c r="C834" s="591" t="s">
        <v>349</v>
      </c>
      <c r="D834" s="591"/>
      <c r="E834" s="591"/>
      <c r="F834" s="591"/>
      <c r="G834" s="591"/>
      <c r="H834" s="285"/>
      <c r="I834" s="168" t="s">
        <v>211</v>
      </c>
      <c r="J834" s="166" t="s">
        <v>211</v>
      </c>
      <c r="K834" s="168" t="s">
        <v>211</v>
      </c>
      <c r="L834" s="166" t="s">
        <v>211</v>
      </c>
      <c r="M834" s="168" t="s">
        <v>211</v>
      </c>
      <c r="N834" s="166" t="s">
        <v>211</v>
      </c>
      <c r="O834" s="168" t="s">
        <v>211</v>
      </c>
    </row>
    <row r="835" spans="1:15" s="453" customFormat="1" ht="14" x14ac:dyDescent="0.2">
      <c r="A835" s="473"/>
      <c r="B835" s="112"/>
      <c r="C835" s="443"/>
      <c r="D835" s="448"/>
      <c r="E835" s="448"/>
      <c r="F835" s="448"/>
      <c r="G835" s="448"/>
      <c r="I835" s="135"/>
      <c r="J835" s="105"/>
      <c r="K835" s="135"/>
      <c r="L835" s="105"/>
      <c r="M835" s="135"/>
      <c r="N835" s="105"/>
      <c r="O835" s="135"/>
    </row>
    <row r="836" spans="1:15" s="453" customFormat="1" ht="12.75" customHeight="1" x14ac:dyDescent="0.2">
      <c r="A836" s="471">
        <v>23</v>
      </c>
      <c r="B836" s="112" t="s">
        <v>330</v>
      </c>
      <c r="C836" s="572" t="s">
        <v>359</v>
      </c>
      <c r="D836" s="572"/>
      <c r="E836" s="572"/>
      <c r="F836" s="572"/>
      <c r="G836" s="572"/>
      <c r="H836" s="285"/>
      <c r="I836" s="168" t="s">
        <v>211</v>
      </c>
      <c r="J836" s="166" t="s">
        <v>211</v>
      </c>
      <c r="K836" s="168" t="s">
        <v>211</v>
      </c>
      <c r="L836" s="166" t="s">
        <v>211</v>
      </c>
      <c r="M836" s="168" t="s">
        <v>211</v>
      </c>
      <c r="N836" s="166" t="s">
        <v>211</v>
      </c>
      <c r="O836" s="168" t="s">
        <v>211</v>
      </c>
    </row>
    <row r="837" spans="1:15" s="453" customFormat="1" ht="14" x14ac:dyDescent="0.2">
      <c r="A837" s="473"/>
      <c r="B837" s="112"/>
      <c r="C837" s="572"/>
      <c r="D837" s="572"/>
      <c r="E837" s="572"/>
      <c r="F837" s="572"/>
      <c r="G837" s="572"/>
      <c r="I837" s="169"/>
      <c r="J837" s="167"/>
      <c r="K837" s="169"/>
      <c r="L837" s="167"/>
      <c r="M837" s="169"/>
      <c r="N837" s="167"/>
      <c r="O837" s="169"/>
    </row>
    <row r="838" spans="1:15" s="453" customFormat="1" ht="14" x14ac:dyDescent="0.2">
      <c r="A838" s="473"/>
      <c r="B838" s="112" t="s">
        <v>331</v>
      </c>
      <c r="C838" s="572" t="s">
        <v>407</v>
      </c>
      <c r="D838" s="572"/>
      <c r="E838" s="572"/>
      <c r="F838" s="572"/>
      <c r="G838" s="572"/>
      <c r="H838" s="285"/>
      <c r="I838" s="168" t="s">
        <v>211</v>
      </c>
      <c r="J838" s="166" t="s">
        <v>211</v>
      </c>
      <c r="K838" s="168" t="s">
        <v>211</v>
      </c>
      <c r="L838" s="166" t="s">
        <v>211</v>
      </c>
      <c r="M838" s="168" t="s">
        <v>211</v>
      </c>
      <c r="N838" s="166" t="s">
        <v>211</v>
      </c>
      <c r="O838" s="168" t="s">
        <v>211</v>
      </c>
    </row>
    <row r="839" spans="1:15" s="453" customFormat="1" ht="14" x14ac:dyDescent="0.2">
      <c r="A839" s="473"/>
      <c r="B839" s="112"/>
      <c r="C839" s="572"/>
      <c r="D839" s="572"/>
      <c r="E839" s="572"/>
      <c r="F839" s="572"/>
      <c r="G839" s="572"/>
      <c r="I839" s="169"/>
      <c r="J839" s="167"/>
      <c r="K839" s="169"/>
      <c r="L839" s="167"/>
      <c r="M839" s="169"/>
      <c r="N839" s="167"/>
      <c r="O839" s="169"/>
    </row>
    <row r="840" spans="1:15" s="453" customFormat="1" ht="14" x14ac:dyDescent="0.2">
      <c r="A840" s="473"/>
      <c r="B840" s="288" t="s">
        <v>333</v>
      </c>
      <c r="C840" s="597" t="s">
        <v>408</v>
      </c>
      <c r="D840" s="597"/>
      <c r="E840" s="597"/>
      <c r="F840" s="597"/>
      <c r="G840" s="597"/>
      <c r="H840" s="285"/>
      <c r="I840" s="168" t="s">
        <v>211</v>
      </c>
      <c r="J840" s="166" t="s">
        <v>211</v>
      </c>
      <c r="K840" s="168" t="s">
        <v>211</v>
      </c>
      <c r="L840" s="166" t="s">
        <v>211</v>
      </c>
      <c r="M840" s="168" t="s">
        <v>211</v>
      </c>
      <c r="N840" s="166" t="s">
        <v>211</v>
      </c>
      <c r="O840" s="168" t="s">
        <v>211</v>
      </c>
    </row>
    <row r="841" spans="1:15" s="453" customFormat="1" ht="14" x14ac:dyDescent="0.2">
      <c r="A841" s="473"/>
      <c r="B841" s="288"/>
      <c r="C841" s="597"/>
      <c r="D841" s="597"/>
      <c r="E841" s="597"/>
      <c r="F841" s="597"/>
      <c r="G841" s="597"/>
      <c r="I841" s="169"/>
      <c r="J841" s="167"/>
      <c r="K841" s="169"/>
      <c r="L841" s="167"/>
      <c r="M841" s="169"/>
      <c r="N841" s="167"/>
      <c r="O841" s="169"/>
    </row>
    <row r="842" spans="1:15" s="453" customFormat="1" ht="14" x14ac:dyDescent="0.2">
      <c r="A842" s="473"/>
      <c r="B842" s="288" t="s">
        <v>333</v>
      </c>
      <c r="C842" s="597" t="s">
        <v>409</v>
      </c>
      <c r="D842" s="597"/>
      <c r="E842" s="597"/>
      <c r="F842" s="597"/>
      <c r="G842" s="597"/>
      <c r="H842" s="285"/>
      <c r="I842" s="168" t="s">
        <v>211</v>
      </c>
      <c r="J842" s="166" t="s">
        <v>211</v>
      </c>
      <c r="K842" s="168" t="s">
        <v>211</v>
      </c>
      <c r="L842" s="166" t="s">
        <v>211</v>
      </c>
      <c r="M842" s="168" t="s">
        <v>211</v>
      </c>
      <c r="N842" s="166" t="s">
        <v>211</v>
      </c>
      <c r="O842" s="168" t="s">
        <v>211</v>
      </c>
    </row>
    <row r="843" spans="1:15" s="453" customFormat="1" ht="14" x14ac:dyDescent="0.2">
      <c r="A843" s="473"/>
      <c r="B843" s="288"/>
      <c r="C843" s="597"/>
      <c r="D843" s="597"/>
      <c r="E843" s="597"/>
      <c r="F843" s="597"/>
      <c r="G843" s="597"/>
      <c r="I843" s="169"/>
      <c r="J843" s="167"/>
      <c r="K843" s="169"/>
      <c r="L843" s="167"/>
      <c r="M843" s="169"/>
      <c r="N843" s="167"/>
      <c r="O843" s="169"/>
    </row>
    <row r="844" spans="1:15" s="453" customFormat="1" ht="14" x14ac:dyDescent="0.2">
      <c r="A844" s="473"/>
      <c r="B844" s="288" t="s">
        <v>333</v>
      </c>
      <c r="C844" s="597" t="s">
        <v>410</v>
      </c>
      <c r="D844" s="597"/>
      <c r="E844" s="597"/>
      <c r="F844" s="597"/>
      <c r="G844" s="597"/>
      <c r="H844" s="285"/>
      <c r="I844" s="168" t="s">
        <v>211</v>
      </c>
      <c r="J844" s="166" t="s">
        <v>211</v>
      </c>
      <c r="K844" s="168" t="s">
        <v>211</v>
      </c>
      <c r="L844" s="166" t="s">
        <v>211</v>
      </c>
      <c r="M844" s="168" t="s">
        <v>211</v>
      </c>
      <c r="N844" s="166" t="s">
        <v>211</v>
      </c>
      <c r="O844" s="168" t="s">
        <v>211</v>
      </c>
    </row>
    <row r="845" spans="1:15" s="453" customFormat="1" ht="14" x14ac:dyDescent="0.2">
      <c r="A845" s="473"/>
      <c r="B845" s="288"/>
      <c r="C845" s="597"/>
      <c r="D845" s="597"/>
      <c r="E845" s="597"/>
      <c r="F845" s="597"/>
      <c r="G845" s="597"/>
      <c r="I845" s="169"/>
      <c r="J845" s="167"/>
      <c r="K845" s="169"/>
      <c r="L845" s="167"/>
      <c r="M845" s="169"/>
      <c r="N845" s="167"/>
      <c r="O845" s="169"/>
    </row>
    <row r="846" spans="1:15" s="453" customFormat="1" ht="14" x14ac:dyDescent="0.2">
      <c r="A846" s="473"/>
      <c r="B846" s="288" t="s">
        <v>333</v>
      </c>
      <c r="C846" s="597" t="s">
        <v>339</v>
      </c>
      <c r="D846" s="597"/>
      <c r="E846" s="597"/>
      <c r="F846" s="597"/>
      <c r="G846" s="597"/>
      <c r="H846" s="285"/>
      <c r="I846" s="168" t="s">
        <v>211</v>
      </c>
      <c r="J846" s="166" t="s">
        <v>211</v>
      </c>
      <c r="K846" s="168" t="s">
        <v>211</v>
      </c>
      <c r="L846" s="166" t="s">
        <v>211</v>
      </c>
      <c r="M846" s="168" t="s">
        <v>211</v>
      </c>
      <c r="N846" s="166" t="s">
        <v>211</v>
      </c>
      <c r="O846" s="168" t="s">
        <v>211</v>
      </c>
    </row>
    <row r="847" spans="1:15" s="453" customFormat="1" ht="14" x14ac:dyDescent="0.2">
      <c r="A847" s="473"/>
      <c r="B847" s="288"/>
      <c r="C847" s="597"/>
      <c r="D847" s="597"/>
      <c r="E847" s="597"/>
      <c r="F847" s="597"/>
      <c r="G847" s="597"/>
      <c r="I847" s="169"/>
      <c r="J847" s="167"/>
      <c r="K847" s="169"/>
      <c r="L847" s="167"/>
      <c r="M847" s="169"/>
      <c r="N847" s="167"/>
      <c r="O847" s="169"/>
    </row>
    <row r="848" spans="1:15" s="453" customFormat="1" ht="14" x14ac:dyDescent="0.2">
      <c r="A848" s="473"/>
      <c r="B848" s="112"/>
      <c r="C848" s="443"/>
      <c r="D848" s="448"/>
      <c r="E848" s="448"/>
      <c r="F848" s="448"/>
      <c r="G848" s="448"/>
      <c r="I848" s="135"/>
      <c r="J848" s="105"/>
      <c r="K848" s="135"/>
      <c r="L848" s="105"/>
      <c r="M848" s="135"/>
      <c r="N848" s="105"/>
      <c r="O848" s="135"/>
    </row>
    <row r="849" spans="1:15" s="453" customFormat="1" ht="12.75" customHeight="1" x14ac:dyDescent="0.2">
      <c r="A849" s="471">
        <v>24</v>
      </c>
      <c r="B849" s="112" t="s">
        <v>330</v>
      </c>
      <c r="C849" s="572" t="s">
        <v>359</v>
      </c>
      <c r="D849" s="572"/>
      <c r="E849" s="572"/>
      <c r="F849" s="572"/>
      <c r="G849" s="572"/>
      <c r="H849" s="285"/>
      <c r="I849" s="168" t="s">
        <v>211</v>
      </c>
      <c r="J849" s="166" t="s">
        <v>211</v>
      </c>
      <c r="K849" s="168" t="s">
        <v>211</v>
      </c>
      <c r="L849" s="166" t="s">
        <v>211</v>
      </c>
      <c r="M849" s="168" t="s">
        <v>211</v>
      </c>
      <c r="N849" s="166" t="s">
        <v>211</v>
      </c>
      <c r="O849" s="168" t="s">
        <v>211</v>
      </c>
    </row>
    <row r="850" spans="1:15" s="453" customFormat="1" ht="14" x14ac:dyDescent="0.2">
      <c r="A850" s="473"/>
      <c r="B850" s="112"/>
      <c r="C850" s="572"/>
      <c r="D850" s="572"/>
      <c r="E850" s="572"/>
      <c r="F850" s="572"/>
      <c r="G850" s="572"/>
      <c r="I850" s="169"/>
      <c r="J850" s="167"/>
      <c r="K850" s="169"/>
      <c r="L850" s="167"/>
      <c r="M850" s="169"/>
      <c r="N850" s="167"/>
      <c r="O850" s="169"/>
    </row>
    <row r="851" spans="1:15" s="453" customFormat="1" ht="14" x14ac:dyDescent="0.2">
      <c r="A851" s="473"/>
      <c r="B851" s="112" t="s">
        <v>331</v>
      </c>
      <c r="C851" s="573" t="s">
        <v>411</v>
      </c>
      <c r="D851" s="573"/>
      <c r="E851" s="573"/>
      <c r="F851" s="573"/>
      <c r="G851" s="573"/>
      <c r="H851" s="285"/>
      <c r="I851" s="168" t="s">
        <v>211</v>
      </c>
      <c r="J851" s="166" t="s">
        <v>211</v>
      </c>
      <c r="K851" s="168" t="s">
        <v>211</v>
      </c>
      <c r="L851" s="166" t="s">
        <v>211</v>
      </c>
      <c r="M851" s="168" t="s">
        <v>211</v>
      </c>
      <c r="N851" s="166" t="s">
        <v>211</v>
      </c>
      <c r="O851" s="168" t="s">
        <v>211</v>
      </c>
    </row>
    <row r="852" spans="1:15" s="453" customFormat="1" ht="14" x14ac:dyDescent="0.2">
      <c r="A852" s="473"/>
      <c r="B852" s="112" t="s">
        <v>332</v>
      </c>
      <c r="C852" s="573" t="s">
        <v>412</v>
      </c>
      <c r="D852" s="573"/>
      <c r="E852" s="573"/>
      <c r="F852" s="573"/>
      <c r="G852" s="573"/>
      <c r="H852" s="285"/>
      <c r="I852" s="168" t="s">
        <v>211</v>
      </c>
      <c r="J852" s="166" t="s">
        <v>211</v>
      </c>
      <c r="K852" s="168" t="s">
        <v>211</v>
      </c>
      <c r="L852" s="166" t="s">
        <v>211</v>
      </c>
      <c r="M852" s="168" t="s">
        <v>211</v>
      </c>
      <c r="N852" s="166" t="s">
        <v>211</v>
      </c>
      <c r="O852" s="168" t="s">
        <v>211</v>
      </c>
    </row>
    <row r="853" spans="1:15" s="453" customFormat="1" ht="12.75" customHeight="1" x14ac:dyDescent="0.2">
      <c r="A853" s="473"/>
      <c r="B853" s="112" t="s">
        <v>343</v>
      </c>
      <c r="C853" s="595" t="s">
        <v>413</v>
      </c>
      <c r="D853" s="595"/>
      <c r="E853" s="595"/>
      <c r="F853" s="595"/>
      <c r="G853" s="595"/>
      <c r="H853" s="285"/>
      <c r="I853" s="168" t="s">
        <v>211</v>
      </c>
      <c r="J853" s="166" t="s">
        <v>211</v>
      </c>
      <c r="K853" s="168" t="s">
        <v>211</v>
      </c>
      <c r="L853" s="166" t="s">
        <v>211</v>
      </c>
      <c r="M853" s="168" t="s">
        <v>211</v>
      </c>
      <c r="N853" s="166" t="s">
        <v>211</v>
      </c>
      <c r="O853" s="168" t="s">
        <v>211</v>
      </c>
    </row>
    <row r="854" spans="1:15" s="453" customFormat="1" ht="14" x14ac:dyDescent="0.2">
      <c r="A854" s="473"/>
      <c r="B854" s="112"/>
      <c r="C854" s="595"/>
      <c r="D854" s="595"/>
      <c r="E854" s="595"/>
      <c r="F854" s="595"/>
      <c r="G854" s="595"/>
      <c r="I854" s="169"/>
      <c r="J854" s="167"/>
      <c r="K854" s="169"/>
      <c r="L854" s="167"/>
      <c r="M854" s="169"/>
      <c r="N854" s="167"/>
      <c r="O854" s="169"/>
    </row>
    <row r="855" spans="1:15" s="453" customFormat="1" ht="14" x14ac:dyDescent="0.2">
      <c r="A855" s="473"/>
      <c r="B855" s="112" t="s">
        <v>344</v>
      </c>
      <c r="C855" s="572" t="s">
        <v>414</v>
      </c>
      <c r="D855" s="572"/>
      <c r="E855" s="572"/>
      <c r="F855" s="572"/>
      <c r="G855" s="572"/>
      <c r="H855" s="285"/>
      <c r="I855" s="168" t="s">
        <v>211</v>
      </c>
      <c r="J855" s="166" t="s">
        <v>211</v>
      </c>
      <c r="K855" s="168" t="s">
        <v>211</v>
      </c>
      <c r="L855" s="166" t="s">
        <v>211</v>
      </c>
      <c r="M855" s="168" t="s">
        <v>211</v>
      </c>
      <c r="N855" s="166" t="s">
        <v>211</v>
      </c>
      <c r="O855" s="168" t="s">
        <v>211</v>
      </c>
    </row>
    <row r="856" spans="1:15" s="453" customFormat="1" ht="14" x14ac:dyDescent="0.2">
      <c r="A856" s="473"/>
      <c r="B856" s="112"/>
      <c r="C856" s="572"/>
      <c r="D856" s="572"/>
      <c r="E856" s="572"/>
      <c r="F856" s="572"/>
      <c r="G856" s="572"/>
      <c r="I856" s="169"/>
      <c r="J856" s="167"/>
      <c r="K856" s="169"/>
      <c r="L856" s="167"/>
      <c r="M856" s="169"/>
      <c r="N856" s="167"/>
      <c r="O856" s="169"/>
    </row>
    <row r="857" spans="1:15" s="453" customFormat="1" ht="14" x14ac:dyDescent="0.2">
      <c r="A857" s="473"/>
      <c r="B857" s="112" t="s">
        <v>333</v>
      </c>
      <c r="C857" s="572" t="s">
        <v>415</v>
      </c>
      <c r="D857" s="572"/>
      <c r="E857" s="572"/>
      <c r="F857" s="572"/>
      <c r="G857" s="572"/>
      <c r="H857" s="285"/>
      <c r="I857" s="168" t="s">
        <v>211</v>
      </c>
      <c r="J857" s="166" t="s">
        <v>211</v>
      </c>
      <c r="K857" s="168" t="s">
        <v>211</v>
      </c>
      <c r="L857" s="166" t="s">
        <v>211</v>
      </c>
      <c r="M857" s="168" t="s">
        <v>211</v>
      </c>
      <c r="N857" s="166" t="s">
        <v>211</v>
      </c>
      <c r="O857" s="168" t="s">
        <v>211</v>
      </c>
    </row>
    <row r="858" spans="1:15" s="453" customFormat="1" ht="14" x14ac:dyDescent="0.2">
      <c r="A858" s="473"/>
      <c r="B858" s="112"/>
      <c r="C858" s="572"/>
      <c r="D858" s="572"/>
      <c r="E858" s="572"/>
      <c r="F858" s="572"/>
      <c r="G858" s="572"/>
      <c r="I858" s="169"/>
      <c r="J858" s="167"/>
      <c r="K858" s="169"/>
      <c r="L858" s="167"/>
      <c r="M858" s="169"/>
      <c r="N858" s="167"/>
      <c r="O858" s="169"/>
    </row>
    <row r="859" spans="1:15" s="453" customFormat="1" ht="14" x14ac:dyDescent="0.2">
      <c r="A859" s="473"/>
      <c r="B859" s="112"/>
      <c r="C859" s="443"/>
      <c r="D859" s="448"/>
      <c r="E859" s="448"/>
      <c r="F859" s="448"/>
      <c r="G859" s="448"/>
      <c r="I859" s="135"/>
      <c r="J859" s="105"/>
      <c r="K859" s="135"/>
      <c r="L859" s="105"/>
      <c r="M859" s="135"/>
      <c r="N859" s="105"/>
      <c r="O859" s="135"/>
    </row>
    <row r="860" spans="1:15" s="453" customFormat="1" ht="12.75" customHeight="1" x14ac:dyDescent="0.2">
      <c r="A860" s="471">
        <v>25</v>
      </c>
      <c r="B860" s="112" t="s">
        <v>330</v>
      </c>
      <c r="C860" s="572" t="s">
        <v>359</v>
      </c>
      <c r="D860" s="572"/>
      <c r="E860" s="572"/>
      <c r="F860" s="572"/>
      <c r="G860" s="572"/>
      <c r="H860" s="285"/>
      <c r="I860" s="168" t="s">
        <v>211</v>
      </c>
      <c r="J860" s="166" t="s">
        <v>211</v>
      </c>
      <c r="K860" s="168" t="s">
        <v>211</v>
      </c>
      <c r="L860" s="166" t="s">
        <v>211</v>
      </c>
      <c r="M860" s="168" t="s">
        <v>211</v>
      </c>
      <c r="N860" s="166" t="s">
        <v>211</v>
      </c>
      <c r="O860" s="168" t="s">
        <v>211</v>
      </c>
    </row>
    <row r="861" spans="1:15" s="453" customFormat="1" ht="14" x14ac:dyDescent="0.2">
      <c r="A861" s="473"/>
      <c r="B861" s="112"/>
      <c r="C861" s="572"/>
      <c r="D861" s="572"/>
      <c r="E861" s="572"/>
      <c r="F861" s="572"/>
      <c r="G861" s="572"/>
      <c r="I861" s="169"/>
      <c r="J861" s="167"/>
      <c r="K861" s="169"/>
      <c r="L861" s="167"/>
      <c r="M861" s="169"/>
      <c r="N861" s="167"/>
      <c r="O861" s="169"/>
    </row>
    <row r="862" spans="1:15" s="453" customFormat="1" ht="14" x14ac:dyDescent="0.2">
      <c r="A862" s="473"/>
      <c r="B862" s="112" t="s">
        <v>331</v>
      </c>
      <c r="C862" s="572" t="s">
        <v>416</v>
      </c>
      <c r="D862" s="572"/>
      <c r="E862" s="572"/>
      <c r="F862" s="572"/>
      <c r="G862" s="572"/>
      <c r="H862" s="285"/>
      <c r="I862" s="168" t="s">
        <v>211</v>
      </c>
      <c r="J862" s="166" t="s">
        <v>211</v>
      </c>
      <c r="K862" s="168" t="s">
        <v>211</v>
      </c>
      <c r="L862" s="166" t="s">
        <v>211</v>
      </c>
      <c r="M862" s="168" t="s">
        <v>211</v>
      </c>
      <c r="N862" s="166" t="s">
        <v>211</v>
      </c>
      <c r="O862" s="168" t="s">
        <v>211</v>
      </c>
    </row>
    <row r="863" spans="1:15" s="453" customFormat="1" ht="14" x14ac:dyDescent="0.2">
      <c r="A863" s="473"/>
      <c r="B863" s="112"/>
      <c r="C863" s="572"/>
      <c r="D863" s="572"/>
      <c r="E863" s="572"/>
      <c r="F863" s="572"/>
      <c r="G863" s="572"/>
      <c r="I863" s="169"/>
      <c r="J863" s="167"/>
      <c r="K863" s="169"/>
      <c r="L863" s="167"/>
      <c r="M863" s="169"/>
      <c r="N863" s="167"/>
      <c r="O863" s="169"/>
    </row>
    <row r="864" spans="1:15" s="453" customFormat="1" ht="14" x14ac:dyDescent="0.2">
      <c r="A864" s="473"/>
      <c r="B864" s="112" t="s">
        <v>332</v>
      </c>
      <c r="C864" s="573" t="s">
        <v>417</v>
      </c>
      <c r="D864" s="573"/>
      <c r="E864" s="573"/>
      <c r="F864" s="573"/>
      <c r="G864" s="573"/>
      <c r="H864" s="285"/>
      <c r="I864" s="168" t="s">
        <v>211</v>
      </c>
      <c r="J864" s="166" t="s">
        <v>211</v>
      </c>
      <c r="K864" s="168" t="s">
        <v>211</v>
      </c>
      <c r="L864" s="166" t="s">
        <v>211</v>
      </c>
      <c r="M864" s="168" t="s">
        <v>211</v>
      </c>
      <c r="N864" s="166" t="s">
        <v>211</v>
      </c>
      <c r="O864" s="168" t="s">
        <v>211</v>
      </c>
    </row>
    <row r="865" spans="1:15" s="453" customFormat="1" ht="14" x14ac:dyDescent="0.2">
      <c r="A865" s="473"/>
      <c r="B865" s="112" t="s">
        <v>333</v>
      </c>
      <c r="C865" s="573" t="s">
        <v>418</v>
      </c>
      <c r="D865" s="573"/>
      <c r="E865" s="573"/>
      <c r="F865" s="573"/>
      <c r="G865" s="573"/>
      <c r="H865" s="285"/>
      <c r="I865" s="168" t="s">
        <v>211</v>
      </c>
      <c r="J865" s="166" t="s">
        <v>211</v>
      </c>
      <c r="K865" s="168" t="s">
        <v>211</v>
      </c>
      <c r="L865" s="166" t="s">
        <v>211</v>
      </c>
      <c r="M865" s="168" t="s">
        <v>211</v>
      </c>
      <c r="N865" s="166" t="s">
        <v>211</v>
      </c>
      <c r="O865" s="168" t="s">
        <v>211</v>
      </c>
    </row>
    <row r="866" spans="1:15" s="453" customFormat="1" ht="14" x14ac:dyDescent="0.2">
      <c r="A866" s="473"/>
      <c r="B866" s="112" t="s">
        <v>333</v>
      </c>
      <c r="C866" s="572" t="s">
        <v>339</v>
      </c>
      <c r="D866" s="572"/>
      <c r="E866" s="572"/>
      <c r="F866" s="572"/>
      <c r="G866" s="572"/>
      <c r="H866" s="285"/>
      <c r="I866" s="168" t="s">
        <v>211</v>
      </c>
      <c r="J866" s="166" t="s">
        <v>211</v>
      </c>
      <c r="K866" s="168" t="s">
        <v>211</v>
      </c>
      <c r="L866" s="166" t="s">
        <v>211</v>
      </c>
      <c r="M866" s="168" t="s">
        <v>211</v>
      </c>
      <c r="N866" s="166" t="s">
        <v>211</v>
      </c>
      <c r="O866" s="168" t="s">
        <v>211</v>
      </c>
    </row>
    <row r="867" spans="1:15" s="453" customFormat="1" ht="14" x14ac:dyDescent="0.2">
      <c r="A867" s="473"/>
      <c r="B867" s="112"/>
      <c r="C867" s="572"/>
      <c r="D867" s="572"/>
      <c r="E867" s="572"/>
      <c r="F867" s="572"/>
      <c r="G867" s="572"/>
      <c r="I867" s="169"/>
      <c r="J867" s="167"/>
      <c r="K867" s="169"/>
      <c r="L867" s="167"/>
      <c r="M867" s="169"/>
      <c r="N867" s="167"/>
      <c r="O867" s="169"/>
    </row>
    <row r="868" spans="1:15" s="453" customFormat="1" ht="14" x14ac:dyDescent="0.2">
      <c r="A868" s="473"/>
      <c r="B868" s="112" t="s">
        <v>333</v>
      </c>
      <c r="C868" s="573" t="s">
        <v>419</v>
      </c>
      <c r="D868" s="573"/>
      <c r="E868" s="573"/>
      <c r="F868" s="573"/>
      <c r="G868" s="573"/>
      <c r="H868" s="285"/>
      <c r="I868" s="168" t="s">
        <v>211</v>
      </c>
      <c r="J868" s="166" t="s">
        <v>211</v>
      </c>
      <c r="K868" s="168" t="s">
        <v>211</v>
      </c>
      <c r="L868" s="166" t="s">
        <v>211</v>
      </c>
      <c r="M868" s="168" t="s">
        <v>211</v>
      </c>
      <c r="N868" s="166" t="s">
        <v>211</v>
      </c>
      <c r="O868" s="168" t="s">
        <v>211</v>
      </c>
    </row>
    <row r="869" spans="1:15" s="453" customFormat="1" ht="14" x14ac:dyDescent="0.2">
      <c r="A869" s="473"/>
      <c r="B869" s="112" t="s">
        <v>333</v>
      </c>
      <c r="C869" s="572" t="s">
        <v>420</v>
      </c>
      <c r="D869" s="572"/>
      <c r="E869" s="572"/>
      <c r="F869" s="572"/>
      <c r="G869" s="572"/>
      <c r="H869" s="285"/>
      <c r="I869" s="168" t="s">
        <v>211</v>
      </c>
      <c r="J869" s="166" t="s">
        <v>211</v>
      </c>
      <c r="K869" s="168" t="s">
        <v>211</v>
      </c>
      <c r="L869" s="166" t="s">
        <v>211</v>
      </c>
      <c r="M869" s="168" t="s">
        <v>211</v>
      </c>
      <c r="N869" s="166" t="s">
        <v>211</v>
      </c>
      <c r="O869" s="168" t="s">
        <v>211</v>
      </c>
    </row>
    <row r="870" spans="1:15" s="453" customFormat="1" ht="14" x14ac:dyDescent="0.2">
      <c r="A870" s="473"/>
      <c r="B870" s="112"/>
      <c r="C870" s="572"/>
      <c r="D870" s="572"/>
      <c r="E870" s="572"/>
      <c r="F870" s="572"/>
      <c r="G870" s="572"/>
      <c r="I870" s="169"/>
      <c r="J870" s="167"/>
      <c r="K870" s="169"/>
      <c r="L870" s="167"/>
      <c r="M870" s="169"/>
      <c r="N870" s="167"/>
      <c r="O870" s="169"/>
    </row>
    <row r="871" spans="1:15" s="453" customFormat="1" ht="14" x14ac:dyDescent="0.2">
      <c r="A871" s="473"/>
      <c r="B871" s="112"/>
      <c r="C871" s="443"/>
      <c r="D871" s="448"/>
      <c r="E871" s="448"/>
      <c r="F871" s="448"/>
      <c r="G871" s="448"/>
      <c r="I871" s="135"/>
      <c r="J871" s="105"/>
      <c r="K871" s="135"/>
      <c r="L871" s="105"/>
      <c r="M871" s="135"/>
      <c r="N871" s="105"/>
      <c r="O871" s="135"/>
    </row>
    <row r="872" spans="1:15" s="453" customFormat="1" ht="12.75" customHeight="1" x14ac:dyDescent="0.2">
      <c r="A872" s="471">
        <v>26</v>
      </c>
      <c r="B872" s="112" t="s">
        <v>330</v>
      </c>
      <c r="C872" s="572" t="s">
        <v>359</v>
      </c>
      <c r="D872" s="572"/>
      <c r="E872" s="572"/>
      <c r="F872" s="572"/>
      <c r="G872" s="572"/>
      <c r="H872" s="285"/>
      <c r="I872" s="168" t="s">
        <v>211</v>
      </c>
      <c r="J872" s="166" t="s">
        <v>211</v>
      </c>
      <c r="K872" s="168" t="s">
        <v>211</v>
      </c>
      <c r="L872" s="166" t="s">
        <v>211</v>
      </c>
      <c r="M872" s="168" t="s">
        <v>211</v>
      </c>
      <c r="N872" s="166" t="s">
        <v>211</v>
      </c>
      <c r="O872" s="168" t="s">
        <v>211</v>
      </c>
    </row>
    <row r="873" spans="1:15" s="453" customFormat="1" ht="14" x14ac:dyDescent="0.2">
      <c r="A873" s="473"/>
      <c r="B873" s="112"/>
      <c r="C873" s="572"/>
      <c r="D873" s="572"/>
      <c r="E873" s="572"/>
      <c r="F873" s="572"/>
      <c r="G873" s="572"/>
      <c r="I873" s="169"/>
      <c r="J873" s="167"/>
      <c r="K873" s="169"/>
      <c r="L873" s="167"/>
      <c r="M873" s="169"/>
      <c r="N873" s="167"/>
      <c r="O873" s="169"/>
    </row>
    <row r="874" spans="1:15" s="453" customFormat="1" ht="14" x14ac:dyDescent="0.2">
      <c r="A874" s="473"/>
      <c r="B874" s="288" t="s">
        <v>333</v>
      </c>
      <c r="C874" s="597" t="s">
        <v>421</v>
      </c>
      <c r="D874" s="597"/>
      <c r="E874" s="597"/>
      <c r="F874" s="597"/>
      <c r="G874" s="597"/>
      <c r="H874" s="285"/>
      <c r="I874" s="168" t="s">
        <v>211</v>
      </c>
      <c r="J874" s="166" t="s">
        <v>211</v>
      </c>
      <c r="K874" s="168" t="s">
        <v>211</v>
      </c>
      <c r="L874" s="166" t="s">
        <v>211</v>
      </c>
      <c r="M874" s="168" t="s">
        <v>211</v>
      </c>
      <c r="N874" s="166" t="s">
        <v>211</v>
      </c>
      <c r="O874" s="168" t="s">
        <v>211</v>
      </c>
    </row>
    <row r="875" spans="1:15" s="453" customFormat="1" ht="14" x14ac:dyDescent="0.2">
      <c r="A875" s="473"/>
      <c r="B875" s="288"/>
      <c r="C875" s="597"/>
      <c r="D875" s="597"/>
      <c r="E875" s="597"/>
      <c r="F875" s="597"/>
      <c r="G875" s="597"/>
      <c r="I875" s="169"/>
      <c r="J875" s="167"/>
      <c r="K875" s="169"/>
      <c r="L875" s="167"/>
      <c r="M875" s="169"/>
      <c r="N875" s="167"/>
      <c r="O875" s="169"/>
    </row>
    <row r="876" spans="1:15" s="453" customFormat="1" ht="14" x14ac:dyDescent="0.2">
      <c r="A876" s="473"/>
      <c r="B876" s="288" t="s">
        <v>333</v>
      </c>
      <c r="C876" s="597" t="s">
        <v>422</v>
      </c>
      <c r="D876" s="597"/>
      <c r="E876" s="597"/>
      <c r="F876" s="597"/>
      <c r="G876" s="597"/>
      <c r="H876" s="285"/>
      <c r="I876" s="168" t="s">
        <v>211</v>
      </c>
      <c r="J876" s="166" t="s">
        <v>211</v>
      </c>
      <c r="K876" s="168" t="s">
        <v>211</v>
      </c>
      <c r="L876" s="166" t="s">
        <v>211</v>
      </c>
      <c r="M876" s="168" t="s">
        <v>211</v>
      </c>
      <c r="N876" s="166" t="s">
        <v>211</v>
      </c>
      <c r="O876" s="168" t="s">
        <v>211</v>
      </c>
    </row>
    <row r="877" spans="1:15" s="453" customFormat="1" ht="14" x14ac:dyDescent="0.2">
      <c r="A877" s="473"/>
      <c r="B877" s="288"/>
      <c r="C877" s="597"/>
      <c r="D877" s="597"/>
      <c r="E877" s="597"/>
      <c r="F877" s="597"/>
      <c r="G877" s="597"/>
      <c r="I877" s="169"/>
      <c r="J877" s="167"/>
      <c r="K877" s="169"/>
      <c r="L877" s="167"/>
      <c r="M877" s="169"/>
      <c r="N877" s="167"/>
      <c r="O877" s="169"/>
    </row>
    <row r="878" spans="1:15" s="453" customFormat="1" ht="14" x14ac:dyDescent="0.2">
      <c r="A878" s="473"/>
      <c r="B878" s="112"/>
      <c r="C878" s="443"/>
      <c r="D878" s="448"/>
      <c r="E878" s="448"/>
      <c r="F878" s="448"/>
      <c r="G878" s="448"/>
      <c r="I878" s="135"/>
      <c r="J878" s="105"/>
      <c r="K878" s="135"/>
      <c r="L878" s="105"/>
      <c r="M878" s="135"/>
      <c r="N878" s="105"/>
      <c r="O878" s="135"/>
    </row>
    <row r="879" spans="1:15" s="453" customFormat="1" ht="12.75" customHeight="1" x14ac:dyDescent="0.2">
      <c r="A879" s="471">
        <v>27</v>
      </c>
      <c r="B879" s="112" t="s">
        <v>330</v>
      </c>
      <c r="C879" s="572" t="s">
        <v>359</v>
      </c>
      <c r="D879" s="572"/>
      <c r="E879" s="572"/>
      <c r="F879" s="572"/>
      <c r="G879" s="572"/>
      <c r="H879" s="285"/>
      <c r="I879" s="168" t="s">
        <v>211</v>
      </c>
      <c r="J879" s="166" t="s">
        <v>211</v>
      </c>
      <c r="K879" s="168" t="s">
        <v>211</v>
      </c>
      <c r="L879" s="166" t="s">
        <v>211</v>
      </c>
      <c r="M879" s="168" t="s">
        <v>211</v>
      </c>
      <c r="N879" s="166" t="s">
        <v>211</v>
      </c>
      <c r="O879" s="168" t="s">
        <v>211</v>
      </c>
    </row>
    <row r="880" spans="1:15" s="453" customFormat="1" ht="14" x14ac:dyDescent="0.2">
      <c r="A880" s="473"/>
      <c r="B880" s="112"/>
      <c r="C880" s="572"/>
      <c r="D880" s="572"/>
      <c r="E880" s="572"/>
      <c r="F880" s="572"/>
      <c r="G880" s="572"/>
      <c r="I880" s="169"/>
      <c r="J880" s="167"/>
      <c r="K880" s="169"/>
      <c r="L880" s="167"/>
      <c r="M880" s="169"/>
      <c r="N880" s="167"/>
      <c r="O880" s="169"/>
    </row>
    <row r="881" spans="1:15" s="453" customFormat="1" ht="14" x14ac:dyDescent="0.2">
      <c r="A881" s="473"/>
      <c r="B881" s="112" t="s">
        <v>331</v>
      </c>
      <c r="C881" s="573" t="s">
        <v>390</v>
      </c>
      <c r="D881" s="573"/>
      <c r="E881" s="573"/>
      <c r="F881" s="573"/>
      <c r="G881" s="573"/>
      <c r="H881" s="285"/>
      <c r="I881" s="168" t="s">
        <v>211</v>
      </c>
      <c r="J881" s="166" t="s">
        <v>211</v>
      </c>
      <c r="K881" s="168" t="s">
        <v>211</v>
      </c>
      <c r="L881" s="166" t="s">
        <v>211</v>
      </c>
      <c r="M881" s="168" t="s">
        <v>211</v>
      </c>
      <c r="N881" s="166" t="s">
        <v>211</v>
      </c>
      <c r="O881" s="168" t="s">
        <v>211</v>
      </c>
    </row>
    <row r="882" spans="1:15" s="453" customFormat="1" ht="14" x14ac:dyDescent="0.2">
      <c r="A882" s="473"/>
      <c r="B882" s="112" t="s">
        <v>332</v>
      </c>
      <c r="C882" s="572" t="s">
        <v>423</v>
      </c>
      <c r="D882" s="572"/>
      <c r="E882" s="572"/>
      <c r="F882" s="572"/>
      <c r="G882" s="572"/>
      <c r="H882" s="285"/>
      <c r="I882" s="168" t="s">
        <v>211</v>
      </c>
      <c r="J882" s="166" t="s">
        <v>211</v>
      </c>
      <c r="K882" s="168" t="s">
        <v>211</v>
      </c>
      <c r="L882" s="166" t="s">
        <v>211</v>
      </c>
      <c r="M882" s="168" t="s">
        <v>211</v>
      </c>
      <c r="N882" s="166" t="s">
        <v>211</v>
      </c>
      <c r="O882" s="168" t="s">
        <v>211</v>
      </c>
    </row>
    <row r="883" spans="1:15" s="453" customFormat="1" ht="14" x14ac:dyDescent="0.2">
      <c r="A883" s="473"/>
      <c r="B883" s="112"/>
      <c r="C883" s="572"/>
      <c r="D883" s="572"/>
      <c r="E883" s="572"/>
      <c r="F883" s="572"/>
      <c r="G883" s="572"/>
      <c r="I883" s="169"/>
      <c r="J883" s="167"/>
      <c r="K883" s="169"/>
      <c r="L883" s="167"/>
      <c r="M883" s="169"/>
      <c r="N883" s="167"/>
      <c r="O883" s="169"/>
    </row>
    <row r="884" spans="1:15" s="453" customFormat="1" ht="14" x14ac:dyDescent="0.2">
      <c r="A884" s="473"/>
      <c r="B884" s="112"/>
      <c r="C884" s="572"/>
      <c r="D884" s="572"/>
      <c r="E884" s="572"/>
      <c r="F884" s="572"/>
      <c r="G884" s="572"/>
      <c r="I884" s="169"/>
      <c r="J884" s="167"/>
      <c r="K884" s="169"/>
      <c r="L884" s="167"/>
      <c r="M884" s="169"/>
      <c r="N884" s="167"/>
      <c r="O884" s="169"/>
    </row>
    <row r="885" spans="1:15" s="453" customFormat="1" ht="14" x14ac:dyDescent="0.2">
      <c r="A885" s="473"/>
      <c r="B885" s="288" t="s">
        <v>333</v>
      </c>
      <c r="C885" s="597" t="s">
        <v>339</v>
      </c>
      <c r="D885" s="597"/>
      <c r="E885" s="597"/>
      <c r="F885" s="597"/>
      <c r="G885" s="597"/>
      <c r="H885" s="285"/>
      <c r="I885" s="168" t="s">
        <v>211</v>
      </c>
      <c r="J885" s="166" t="s">
        <v>211</v>
      </c>
      <c r="K885" s="168" t="s">
        <v>211</v>
      </c>
      <c r="L885" s="166" t="s">
        <v>211</v>
      </c>
      <c r="M885" s="168" t="s">
        <v>211</v>
      </c>
      <c r="N885" s="166" t="s">
        <v>211</v>
      </c>
      <c r="O885" s="168" t="s">
        <v>211</v>
      </c>
    </row>
    <row r="886" spans="1:15" s="453" customFormat="1" ht="14" x14ac:dyDescent="0.2">
      <c r="A886" s="473"/>
      <c r="B886" s="288"/>
      <c r="C886" s="597"/>
      <c r="D886" s="597"/>
      <c r="E886" s="597"/>
      <c r="F886" s="597"/>
      <c r="G886" s="597"/>
      <c r="I886" s="170"/>
      <c r="J886" s="167"/>
      <c r="K886" s="170"/>
      <c r="L886" s="167"/>
      <c r="M886" s="170"/>
      <c r="N886" s="167"/>
      <c r="O886" s="170"/>
    </row>
    <row r="887" spans="1:15" s="453" customFormat="1" ht="14" x14ac:dyDescent="0.2">
      <c r="A887" s="473"/>
      <c r="B887" s="288" t="s">
        <v>333</v>
      </c>
      <c r="C887" s="591" t="s">
        <v>424</v>
      </c>
      <c r="D887" s="591"/>
      <c r="E887" s="591"/>
      <c r="F887" s="591"/>
      <c r="G887" s="591"/>
      <c r="H887" s="285"/>
      <c r="I887" s="168" t="s">
        <v>211</v>
      </c>
      <c r="J887" s="166" t="s">
        <v>211</v>
      </c>
      <c r="K887" s="168" t="s">
        <v>211</v>
      </c>
      <c r="L887" s="166" t="s">
        <v>211</v>
      </c>
      <c r="M887" s="168" t="s">
        <v>211</v>
      </c>
      <c r="N887" s="166" t="s">
        <v>211</v>
      </c>
      <c r="O887" s="168" t="s">
        <v>211</v>
      </c>
    </row>
    <row r="888" spans="1:15" s="453" customFormat="1" ht="14" x14ac:dyDescent="0.2">
      <c r="A888" s="473"/>
      <c r="B888" s="112"/>
      <c r="C888" s="443"/>
      <c r="D888" s="448"/>
      <c r="E888" s="448"/>
      <c r="F888" s="448"/>
      <c r="G888" s="448"/>
      <c r="I888" s="135"/>
      <c r="J888" s="105"/>
      <c r="K888" s="135"/>
      <c r="L888" s="105"/>
      <c r="M888" s="135"/>
      <c r="N888" s="105"/>
      <c r="O888" s="135"/>
    </row>
    <row r="889" spans="1:15" s="453" customFormat="1" ht="12.75" customHeight="1" x14ac:dyDescent="0.2">
      <c r="A889" s="471">
        <v>28</v>
      </c>
      <c r="B889" s="112" t="s">
        <v>330</v>
      </c>
      <c r="C889" s="572" t="s">
        <v>359</v>
      </c>
      <c r="D889" s="572"/>
      <c r="E889" s="572"/>
      <c r="F889" s="572"/>
      <c r="G889" s="572"/>
      <c r="H889" s="285"/>
      <c r="I889" s="168" t="s">
        <v>211</v>
      </c>
      <c r="J889" s="166" t="s">
        <v>211</v>
      </c>
      <c r="K889" s="168" t="s">
        <v>211</v>
      </c>
      <c r="L889" s="166" t="s">
        <v>211</v>
      </c>
      <c r="M889" s="168" t="s">
        <v>211</v>
      </c>
      <c r="N889" s="166" t="s">
        <v>211</v>
      </c>
      <c r="O889" s="168" t="s">
        <v>211</v>
      </c>
    </row>
    <row r="890" spans="1:15" s="453" customFormat="1" ht="14" x14ac:dyDescent="0.2">
      <c r="A890" s="473"/>
      <c r="B890" s="112"/>
      <c r="C890" s="572"/>
      <c r="D890" s="572"/>
      <c r="E890" s="572"/>
      <c r="F890" s="572"/>
      <c r="G890" s="572"/>
      <c r="I890" s="169"/>
      <c r="J890" s="167"/>
      <c r="K890" s="169"/>
      <c r="L890" s="167"/>
      <c r="M890" s="169"/>
      <c r="N890" s="167"/>
      <c r="O890" s="169"/>
    </row>
    <row r="891" spans="1:15" s="453" customFormat="1" ht="12.75" customHeight="1" x14ac:dyDescent="0.2">
      <c r="A891" s="473"/>
      <c r="B891" s="288" t="s">
        <v>333</v>
      </c>
      <c r="C891" s="814" t="s">
        <v>425</v>
      </c>
      <c r="D891" s="814"/>
      <c r="E891" s="814"/>
      <c r="F891" s="814"/>
      <c r="G891" s="814"/>
      <c r="H891" s="285"/>
      <c r="I891" s="168" t="s">
        <v>211</v>
      </c>
      <c r="J891" s="166" t="s">
        <v>211</v>
      </c>
      <c r="K891" s="168" t="s">
        <v>211</v>
      </c>
      <c r="L891" s="166" t="s">
        <v>211</v>
      </c>
      <c r="M891" s="168" t="s">
        <v>211</v>
      </c>
      <c r="N891" s="166" t="s">
        <v>211</v>
      </c>
      <c r="O891" s="168" t="s">
        <v>211</v>
      </c>
    </row>
    <row r="892" spans="1:15" s="453" customFormat="1" ht="14" x14ac:dyDescent="0.2">
      <c r="A892" s="473"/>
      <c r="B892" s="288"/>
      <c r="C892" s="814"/>
      <c r="D892" s="814"/>
      <c r="E892" s="814"/>
      <c r="F892" s="814"/>
      <c r="G892" s="814"/>
      <c r="I892" s="169"/>
      <c r="J892" s="167"/>
      <c r="K892" s="169"/>
      <c r="L892" s="167"/>
      <c r="M892" s="169"/>
      <c r="N892" s="167"/>
      <c r="O892" s="169"/>
    </row>
    <row r="893" spans="1:15" s="453" customFormat="1" ht="14" x14ac:dyDescent="0.2">
      <c r="A893" s="473"/>
      <c r="B893" s="288"/>
      <c r="C893" s="814"/>
      <c r="D893" s="814"/>
      <c r="E893" s="814"/>
      <c r="F893" s="814"/>
      <c r="G893" s="814"/>
      <c r="I893" s="169"/>
      <c r="J893" s="167"/>
      <c r="K893" s="169"/>
      <c r="L893" s="167"/>
      <c r="M893" s="169"/>
      <c r="N893" s="167"/>
      <c r="O893" s="169"/>
    </row>
    <row r="894" spans="1:15" s="453" customFormat="1" ht="14" x14ac:dyDescent="0.2">
      <c r="A894" s="473"/>
      <c r="B894" s="112"/>
      <c r="C894" s="443"/>
      <c r="D894" s="448"/>
      <c r="E894" s="448"/>
      <c r="F894" s="448"/>
      <c r="G894" s="448"/>
      <c r="I894" s="135"/>
      <c r="J894" s="105"/>
      <c r="K894" s="135"/>
      <c r="L894" s="105"/>
      <c r="M894" s="135"/>
      <c r="N894" s="105"/>
      <c r="O894" s="135"/>
    </row>
    <row r="895" spans="1:15" s="453" customFormat="1" ht="12.75" customHeight="1" x14ac:dyDescent="0.2">
      <c r="A895" s="471">
        <v>29</v>
      </c>
      <c r="B895" s="112" t="s">
        <v>330</v>
      </c>
      <c r="C895" s="572" t="s">
        <v>359</v>
      </c>
      <c r="D895" s="572"/>
      <c r="E895" s="572"/>
      <c r="F895" s="572"/>
      <c r="G895" s="572"/>
      <c r="H895" s="285"/>
      <c r="I895" s="168" t="s">
        <v>211</v>
      </c>
      <c r="J895" s="166" t="s">
        <v>211</v>
      </c>
      <c r="K895" s="168" t="s">
        <v>211</v>
      </c>
      <c r="L895" s="166" t="s">
        <v>211</v>
      </c>
      <c r="M895" s="168" t="s">
        <v>211</v>
      </c>
      <c r="N895" s="166" t="s">
        <v>211</v>
      </c>
      <c r="O895" s="168" t="s">
        <v>211</v>
      </c>
    </row>
    <row r="896" spans="1:15" s="453" customFormat="1" ht="14" x14ac:dyDescent="0.2">
      <c r="A896" s="473"/>
      <c r="B896" s="112"/>
      <c r="C896" s="572"/>
      <c r="D896" s="572"/>
      <c r="E896" s="572"/>
      <c r="F896" s="572"/>
      <c r="G896" s="572"/>
      <c r="I896" s="169"/>
      <c r="J896" s="167"/>
      <c r="K896" s="169"/>
      <c r="L896" s="167"/>
      <c r="M896" s="169"/>
      <c r="N896" s="167"/>
      <c r="O896" s="169"/>
    </row>
    <row r="897" spans="1:15" s="453" customFormat="1" ht="14" x14ac:dyDescent="0.2">
      <c r="A897" s="473"/>
      <c r="B897" s="112" t="s">
        <v>331</v>
      </c>
      <c r="C897" s="573" t="s">
        <v>426</v>
      </c>
      <c r="D897" s="573"/>
      <c r="E897" s="573"/>
      <c r="F897" s="573"/>
      <c r="G897" s="573"/>
      <c r="H897" s="285"/>
      <c r="I897" s="168" t="s">
        <v>211</v>
      </c>
      <c r="J897" s="166" t="s">
        <v>211</v>
      </c>
      <c r="K897" s="168" t="s">
        <v>211</v>
      </c>
      <c r="L897" s="166" t="s">
        <v>211</v>
      </c>
      <c r="M897" s="168" t="s">
        <v>211</v>
      </c>
      <c r="N897" s="166" t="s">
        <v>211</v>
      </c>
      <c r="O897" s="168" t="s">
        <v>211</v>
      </c>
    </row>
    <row r="898" spans="1:15" s="453" customFormat="1" ht="14" x14ac:dyDescent="0.2">
      <c r="A898" s="473"/>
      <c r="B898" s="112" t="s">
        <v>332</v>
      </c>
      <c r="C898" s="573" t="s">
        <v>392</v>
      </c>
      <c r="D898" s="573"/>
      <c r="E898" s="573"/>
      <c r="F898" s="573"/>
      <c r="G898" s="573"/>
      <c r="H898" s="285"/>
      <c r="I898" s="168" t="s">
        <v>211</v>
      </c>
      <c r="J898" s="166" t="s">
        <v>211</v>
      </c>
      <c r="K898" s="168" t="s">
        <v>211</v>
      </c>
      <c r="L898" s="166" t="s">
        <v>211</v>
      </c>
      <c r="M898" s="168" t="s">
        <v>211</v>
      </c>
      <c r="N898" s="166" t="s">
        <v>211</v>
      </c>
      <c r="O898" s="168" t="s">
        <v>211</v>
      </c>
    </row>
    <row r="899" spans="1:15" s="453" customFormat="1" ht="14" x14ac:dyDescent="0.2">
      <c r="A899" s="473"/>
      <c r="B899" s="112" t="s">
        <v>343</v>
      </c>
      <c r="C899" s="573" t="s">
        <v>427</v>
      </c>
      <c r="D899" s="573"/>
      <c r="E899" s="573"/>
      <c r="F899" s="573"/>
      <c r="G899" s="573"/>
      <c r="H899" s="285"/>
      <c r="I899" s="168" t="s">
        <v>211</v>
      </c>
      <c r="J899" s="166" t="s">
        <v>211</v>
      </c>
      <c r="K899" s="168" t="s">
        <v>211</v>
      </c>
      <c r="L899" s="166" t="s">
        <v>211</v>
      </c>
      <c r="M899" s="168" t="s">
        <v>211</v>
      </c>
      <c r="N899" s="166" t="s">
        <v>211</v>
      </c>
      <c r="O899" s="168" t="s">
        <v>211</v>
      </c>
    </row>
    <row r="900" spans="1:15" s="453" customFormat="1" ht="14" x14ac:dyDescent="0.2">
      <c r="A900" s="473"/>
      <c r="B900" s="112" t="s">
        <v>344</v>
      </c>
      <c r="C900" s="572" t="s">
        <v>428</v>
      </c>
      <c r="D900" s="572"/>
      <c r="E900" s="572"/>
      <c r="F900" s="572"/>
      <c r="G900" s="572"/>
      <c r="H900" s="285"/>
      <c r="I900" s="168" t="s">
        <v>211</v>
      </c>
      <c r="J900" s="166" t="s">
        <v>211</v>
      </c>
      <c r="K900" s="168" t="s">
        <v>211</v>
      </c>
      <c r="L900" s="166" t="s">
        <v>211</v>
      </c>
      <c r="M900" s="168" t="s">
        <v>211</v>
      </c>
      <c r="N900" s="166" t="s">
        <v>211</v>
      </c>
      <c r="O900" s="168" t="s">
        <v>211</v>
      </c>
    </row>
    <row r="901" spans="1:15" s="453" customFormat="1" ht="14" x14ac:dyDescent="0.2">
      <c r="A901" s="473"/>
      <c r="B901" s="112"/>
      <c r="C901" s="572"/>
      <c r="D901" s="572"/>
      <c r="E901" s="572"/>
      <c r="F901" s="572"/>
      <c r="G901" s="572"/>
      <c r="I901" s="169"/>
      <c r="J901" s="167"/>
      <c r="K901" s="169"/>
      <c r="L901" s="167"/>
      <c r="M901" s="169"/>
      <c r="N901" s="167"/>
      <c r="O901" s="169"/>
    </row>
    <row r="902" spans="1:15" s="453" customFormat="1" ht="14" x14ac:dyDescent="0.2">
      <c r="A902" s="473"/>
      <c r="B902" s="112"/>
      <c r="C902" s="572"/>
      <c r="D902" s="572"/>
      <c r="E902" s="572"/>
      <c r="F902" s="572"/>
      <c r="G902" s="572"/>
      <c r="I902" s="169"/>
      <c r="J902" s="167"/>
      <c r="K902" s="169"/>
      <c r="L902" s="167"/>
      <c r="M902" s="169"/>
      <c r="N902" s="167"/>
      <c r="O902" s="169"/>
    </row>
    <row r="903" spans="1:15" s="453" customFormat="1" ht="14" x14ac:dyDescent="0.2">
      <c r="A903" s="473"/>
      <c r="B903" s="112"/>
      <c r="C903" s="443"/>
      <c r="D903" s="448"/>
      <c r="E903" s="448"/>
      <c r="F903" s="448"/>
      <c r="G903" s="448"/>
      <c r="I903" s="135"/>
      <c r="J903" s="105"/>
      <c r="K903" s="135"/>
      <c r="L903" s="105"/>
      <c r="M903" s="135"/>
      <c r="N903" s="105"/>
      <c r="O903" s="135"/>
    </row>
    <row r="904" spans="1:15" s="453" customFormat="1" ht="12.75" customHeight="1" x14ac:dyDescent="0.2">
      <c r="A904" s="471">
        <v>30</v>
      </c>
      <c r="B904" s="112" t="s">
        <v>330</v>
      </c>
      <c r="C904" s="572" t="s">
        <v>359</v>
      </c>
      <c r="D904" s="572"/>
      <c r="E904" s="572"/>
      <c r="F904" s="572"/>
      <c r="G904" s="572"/>
      <c r="H904" s="285"/>
      <c r="I904" s="168" t="s">
        <v>211</v>
      </c>
      <c r="J904" s="166" t="s">
        <v>211</v>
      </c>
      <c r="K904" s="168" t="s">
        <v>211</v>
      </c>
      <c r="L904" s="166" t="s">
        <v>211</v>
      </c>
      <c r="M904" s="168" t="s">
        <v>211</v>
      </c>
      <c r="N904" s="166" t="s">
        <v>211</v>
      </c>
      <c r="O904" s="168" t="s">
        <v>211</v>
      </c>
    </row>
    <row r="905" spans="1:15" s="453" customFormat="1" ht="14" x14ac:dyDescent="0.2">
      <c r="A905" s="473"/>
      <c r="B905" s="112"/>
      <c r="C905" s="572"/>
      <c r="D905" s="572"/>
      <c r="E905" s="572"/>
      <c r="F905" s="572"/>
      <c r="G905" s="572"/>
      <c r="I905" s="169"/>
      <c r="J905" s="167"/>
      <c r="K905" s="169"/>
      <c r="L905" s="167"/>
      <c r="M905" s="169"/>
      <c r="N905" s="167"/>
      <c r="O905" s="169"/>
    </row>
    <row r="906" spans="1:15" s="453" customFormat="1" ht="14" x14ac:dyDescent="0.2">
      <c r="A906" s="473"/>
      <c r="B906" s="112" t="s">
        <v>331</v>
      </c>
      <c r="C906" s="573" t="s">
        <v>392</v>
      </c>
      <c r="D906" s="573"/>
      <c r="E906" s="573"/>
      <c r="F906" s="573"/>
      <c r="G906" s="573"/>
      <c r="H906" s="285"/>
      <c r="I906" s="168" t="s">
        <v>211</v>
      </c>
      <c r="J906" s="166" t="s">
        <v>211</v>
      </c>
      <c r="K906" s="168" t="s">
        <v>211</v>
      </c>
      <c r="L906" s="166" t="s">
        <v>211</v>
      </c>
      <c r="M906" s="168" t="s">
        <v>211</v>
      </c>
      <c r="N906" s="166" t="s">
        <v>211</v>
      </c>
      <c r="O906" s="168" t="s">
        <v>211</v>
      </c>
    </row>
    <row r="907" spans="1:15" s="453" customFormat="1" ht="14" x14ac:dyDescent="0.2">
      <c r="A907" s="473"/>
      <c r="B907" s="112" t="s">
        <v>332</v>
      </c>
      <c r="C907" s="609" t="s">
        <v>426</v>
      </c>
      <c r="D907" s="609"/>
      <c r="E907" s="609"/>
      <c r="F907" s="609"/>
      <c r="G907" s="609"/>
      <c r="H907" s="285"/>
      <c r="I907" s="168" t="s">
        <v>211</v>
      </c>
      <c r="J907" s="166" t="s">
        <v>211</v>
      </c>
      <c r="K907" s="168" t="s">
        <v>211</v>
      </c>
      <c r="L907" s="166" t="s">
        <v>211</v>
      </c>
      <c r="M907" s="168" t="s">
        <v>211</v>
      </c>
      <c r="N907" s="166" t="s">
        <v>211</v>
      </c>
      <c r="O907" s="168" t="s">
        <v>211</v>
      </c>
    </row>
    <row r="908" spans="1:15" s="453" customFormat="1" ht="14" x14ac:dyDescent="0.2">
      <c r="A908" s="473"/>
      <c r="B908" s="112"/>
      <c r="C908" s="443"/>
      <c r="D908" s="448"/>
      <c r="E908" s="448"/>
      <c r="F908" s="448"/>
      <c r="G908" s="448"/>
      <c r="I908" s="135"/>
      <c r="J908" s="105"/>
      <c r="K908" s="135"/>
      <c r="L908" s="105"/>
      <c r="M908" s="135"/>
      <c r="N908" s="105"/>
      <c r="O908" s="135"/>
    </row>
    <row r="909" spans="1:15" s="453" customFormat="1" ht="12.75" customHeight="1" x14ac:dyDescent="0.2">
      <c r="A909" s="471">
        <v>31</v>
      </c>
      <c r="B909" s="112" t="s">
        <v>330</v>
      </c>
      <c r="C909" s="572" t="s">
        <v>359</v>
      </c>
      <c r="D909" s="572"/>
      <c r="E909" s="572"/>
      <c r="F909" s="572"/>
      <c r="G909" s="572"/>
      <c r="H909" s="285"/>
      <c r="I909" s="168" t="s">
        <v>211</v>
      </c>
      <c r="J909" s="166" t="s">
        <v>211</v>
      </c>
      <c r="K909" s="168" t="s">
        <v>211</v>
      </c>
      <c r="L909" s="166" t="s">
        <v>211</v>
      </c>
      <c r="M909" s="168" t="s">
        <v>211</v>
      </c>
      <c r="N909" s="166" t="s">
        <v>211</v>
      </c>
      <c r="O909" s="168" t="s">
        <v>211</v>
      </c>
    </row>
    <row r="910" spans="1:15" s="453" customFormat="1" ht="14" x14ac:dyDescent="0.2">
      <c r="A910" s="473"/>
      <c r="B910" s="112"/>
      <c r="C910" s="572"/>
      <c r="D910" s="572"/>
      <c r="E910" s="572"/>
      <c r="F910" s="572"/>
      <c r="G910" s="572"/>
      <c r="I910" s="169"/>
      <c r="J910" s="167"/>
      <c r="K910" s="169"/>
      <c r="L910" s="167"/>
      <c r="M910" s="169"/>
      <c r="N910" s="167"/>
      <c r="O910" s="169"/>
    </row>
    <row r="911" spans="1:15" s="453" customFormat="1" ht="14" x14ac:dyDescent="0.2">
      <c r="A911" s="473"/>
      <c r="B911" s="112" t="s">
        <v>331</v>
      </c>
      <c r="C911" s="572" t="s">
        <v>429</v>
      </c>
      <c r="D911" s="572"/>
      <c r="E911" s="572"/>
      <c r="F911" s="572"/>
      <c r="G911" s="572"/>
      <c r="H911" s="285"/>
      <c r="I911" s="168" t="s">
        <v>211</v>
      </c>
      <c r="J911" s="166" t="s">
        <v>211</v>
      </c>
      <c r="K911" s="168" t="s">
        <v>211</v>
      </c>
      <c r="L911" s="166" t="s">
        <v>211</v>
      </c>
      <c r="M911" s="168" t="s">
        <v>211</v>
      </c>
      <c r="N911" s="166" t="s">
        <v>211</v>
      </c>
      <c r="O911" s="168" t="s">
        <v>211</v>
      </c>
    </row>
    <row r="912" spans="1:15" s="453" customFormat="1" ht="14" x14ac:dyDescent="0.2">
      <c r="A912" s="473"/>
      <c r="B912" s="112"/>
      <c r="C912" s="572"/>
      <c r="D912" s="572"/>
      <c r="E912" s="572"/>
      <c r="F912" s="572"/>
      <c r="G912" s="572"/>
      <c r="I912" s="169"/>
      <c r="J912" s="167"/>
      <c r="K912" s="169"/>
      <c r="L912" s="167"/>
      <c r="M912" s="169"/>
      <c r="N912" s="167"/>
      <c r="O912" s="169"/>
    </row>
    <row r="913" spans="1:15" s="453" customFormat="1" ht="14" x14ac:dyDescent="0.2">
      <c r="A913" s="473"/>
      <c r="B913" s="112" t="s">
        <v>332</v>
      </c>
      <c r="C913" s="572" t="s">
        <v>430</v>
      </c>
      <c r="D913" s="572"/>
      <c r="E913" s="572"/>
      <c r="F913" s="572"/>
      <c r="G913" s="572"/>
      <c r="H913" s="285"/>
      <c r="I913" s="168" t="s">
        <v>211</v>
      </c>
      <c r="J913" s="166" t="s">
        <v>211</v>
      </c>
      <c r="K913" s="168" t="s">
        <v>211</v>
      </c>
      <c r="L913" s="166" t="s">
        <v>211</v>
      </c>
      <c r="M913" s="168" t="s">
        <v>211</v>
      </c>
      <c r="N913" s="166" t="s">
        <v>211</v>
      </c>
      <c r="O913" s="168" t="s">
        <v>211</v>
      </c>
    </row>
    <row r="914" spans="1:15" s="453" customFormat="1" ht="14" x14ac:dyDescent="0.2">
      <c r="A914" s="473"/>
      <c r="B914" s="112"/>
      <c r="C914" s="572"/>
      <c r="D914" s="572"/>
      <c r="E914" s="572"/>
      <c r="F914" s="572"/>
      <c r="G914" s="572"/>
      <c r="I914" s="169"/>
      <c r="J914" s="167"/>
      <c r="K914" s="169"/>
      <c r="L914" s="167"/>
      <c r="M914" s="169"/>
      <c r="N914" s="167"/>
      <c r="O914" s="169"/>
    </row>
    <row r="915" spans="1:15" s="453" customFormat="1" ht="14" x14ac:dyDescent="0.2">
      <c r="A915" s="473"/>
      <c r="B915" s="112" t="s">
        <v>343</v>
      </c>
      <c r="C915" s="572" t="s">
        <v>407</v>
      </c>
      <c r="D915" s="572"/>
      <c r="E915" s="572"/>
      <c r="F915" s="572"/>
      <c r="G915" s="572"/>
      <c r="H915" s="285"/>
      <c r="I915" s="168" t="s">
        <v>211</v>
      </c>
      <c r="J915" s="166" t="s">
        <v>211</v>
      </c>
      <c r="K915" s="168" t="s">
        <v>211</v>
      </c>
      <c r="L915" s="166" t="s">
        <v>211</v>
      </c>
      <c r="M915" s="168" t="s">
        <v>211</v>
      </c>
      <c r="N915" s="166" t="s">
        <v>211</v>
      </c>
      <c r="O915" s="168" t="s">
        <v>211</v>
      </c>
    </row>
    <row r="916" spans="1:15" s="453" customFormat="1" ht="14" x14ac:dyDescent="0.2">
      <c r="A916" s="473"/>
      <c r="B916" s="112"/>
      <c r="C916" s="572"/>
      <c r="D916" s="572"/>
      <c r="E916" s="572"/>
      <c r="F916" s="572"/>
      <c r="G916" s="572"/>
      <c r="I916" s="169"/>
      <c r="J916" s="167"/>
      <c r="K916" s="169"/>
      <c r="L916" s="167"/>
      <c r="M916" s="169"/>
      <c r="N916" s="167"/>
      <c r="O916" s="169"/>
    </row>
    <row r="917" spans="1:15" s="453" customFormat="1" ht="14" x14ac:dyDescent="0.2">
      <c r="A917" s="473"/>
      <c r="B917" s="288" t="s">
        <v>333</v>
      </c>
      <c r="C917" s="597" t="s">
        <v>431</v>
      </c>
      <c r="D917" s="597"/>
      <c r="E917" s="597"/>
      <c r="F917" s="597"/>
      <c r="G917" s="597"/>
      <c r="H917" s="285"/>
      <c r="I917" s="168" t="s">
        <v>211</v>
      </c>
      <c r="J917" s="166" t="s">
        <v>211</v>
      </c>
      <c r="K917" s="168" t="s">
        <v>211</v>
      </c>
      <c r="L917" s="166" t="s">
        <v>211</v>
      </c>
      <c r="M917" s="168" t="s">
        <v>211</v>
      </c>
      <c r="N917" s="166" t="s">
        <v>211</v>
      </c>
      <c r="O917" s="168" t="s">
        <v>211</v>
      </c>
    </row>
    <row r="918" spans="1:15" s="453" customFormat="1" ht="14" x14ac:dyDescent="0.2">
      <c r="A918" s="473"/>
      <c r="B918" s="288"/>
      <c r="C918" s="597"/>
      <c r="D918" s="597"/>
      <c r="E918" s="597"/>
      <c r="F918" s="597"/>
      <c r="G918" s="597"/>
      <c r="I918" s="169"/>
      <c r="J918" s="167"/>
      <c r="K918" s="169"/>
      <c r="L918" s="167"/>
      <c r="M918" s="169"/>
      <c r="N918" s="167"/>
      <c r="O918" s="169"/>
    </row>
    <row r="919" spans="1:15" s="453" customFormat="1" ht="14" x14ac:dyDescent="0.2">
      <c r="A919" s="473"/>
      <c r="B919" s="288" t="s">
        <v>333</v>
      </c>
      <c r="C919" s="597" t="s">
        <v>410</v>
      </c>
      <c r="D919" s="597"/>
      <c r="E919" s="597"/>
      <c r="F919" s="597"/>
      <c r="G919" s="597"/>
      <c r="H919" s="285"/>
      <c r="I919" s="168" t="s">
        <v>211</v>
      </c>
      <c r="J919" s="166" t="s">
        <v>211</v>
      </c>
      <c r="K919" s="168" t="s">
        <v>211</v>
      </c>
      <c r="L919" s="166" t="s">
        <v>211</v>
      </c>
      <c r="M919" s="168" t="s">
        <v>211</v>
      </c>
      <c r="N919" s="166" t="s">
        <v>211</v>
      </c>
      <c r="O919" s="168" t="s">
        <v>211</v>
      </c>
    </row>
    <row r="920" spans="1:15" s="453" customFormat="1" ht="14" x14ac:dyDescent="0.2">
      <c r="A920" s="473"/>
      <c r="B920" s="288"/>
      <c r="C920" s="597"/>
      <c r="D920" s="597"/>
      <c r="E920" s="597"/>
      <c r="F920" s="597"/>
      <c r="G920" s="597"/>
      <c r="I920" s="169"/>
      <c r="J920" s="167"/>
      <c r="K920" s="169"/>
      <c r="L920" s="167"/>
      <c r="M920" s="169"/>
      <c r="N920" s="167"/>
      <c r="O920" s="169"/>
    </row>
    <row r="921" spans="1:15" s="453" customFormat="1" ht="14" x14ac:dyDescent="0.2">
      <c r="A921" s="473"/>
      <c r="B921" s="112"/>
      <c r="C921" s="443"/>
      <c r="D921" s="448"/>
      <c r="E921" s="448"/>
      <c r="F921" s="448"/>
      <c r="G921" s="448"/>
      <c r="I921" s="135"/>
      <c r="J921" s="105"/>
      <c r="K921" s="135"/>
      <c r="L921" s="105"/>
      <c r="M921" s="135"/>
      <c r="N921" s="105"/>
      <c r="O921" s="135"/>
    </row>
    <row r="922" spans="1:15" s="453" customFormat="1" ht="12.75" customHeight="1" x14ac:dyDescent="0.2">
      <c r="A922" s="471">
        <v>32</v>
      </c>
      <c r="B922" s="112" t="s">
        <v>330</v>
      </c>
      <c r="C922" s="572" t="s">
        <v>359</v>
      </c>
      <c r="D922" s="572"/>
      <c r="E922" s="572"/>
      <c r="F922" s="572"/>
      <c r="G922" s="572"/>
      <c r="H922" s="285"/>
      <c r="I922" s="168" t="s">
        <v>211</v>
      </c>
      <c r="J922" s="166" t="s">
        <v>211</v>
      </c>
      <c r="K922" s="168" t="s">
        <v>211</v>
      </c>
      <c r="L922" s="166" t="s">
        <v>211</v>
      </c>
      <c r="M922" s="168" t="s">
        <v>211</v>
      </c>
      <c r="N922" s="166" t="s">
        <v>211</v>
      </c>
      <c r="O922" s="168" t="s">
        <v>211</v>
      </c>
    </row>
    <row r="923" spans="1:15" s="453" customFormat="1" ht="14" x14ac:dyDescent="0.2">
      <c r="A923" s="473"/>
      <c r="B923" s="112"/>
      <c r="C923" s="572"/>
      <c r="D923" s="572"/>
      <c r="E923" s="572"/>
      <c r="F923" s="572"/>
      <c r="G923" s="572"/>
      <c r="I923" s="169"/>
      <c r="J923" s="167"/>
      <c r="K923" s="169"/>
      <c r="L923" s="167"/>
      <c r="M923" s="169"/>
      <c r="N923" s="167"/>
      <c r="O923" s="169"/>
    </row>
    <row r="924" spans="1:15" s="453" customFormat="1" ht="12.75" customHeight="1" x14ac:dyDescent="0.2">
      <c r="A924" s="473"/>
      <c r="B924" s="112" t="s">
        <v>331</v>
      </c>
      <c r="C924" s="572" t="s">
        <v>432</v>
      </c>
      <c r="D924" s="572"/>
      <c r="E924" s="572"/>
      <c r="F924" s="572"/>
      <c r="G924" s="572"/>
      <c r="H924" s="285"/>
      <c r="I924" s="168" t="s">
        <v>211</v>
      </c>
      <c r="J924" s="166" t="s">
        <v>211</v>
      </c>
      <c r="K924" s="168" t="s">
        <v>211</v>
      </c>
      <c r="L924" s="166" t="s">
        <v>211</v>
      </c>
      <c r="M924" s="168" t="s">
        <v>211</v>
      </c>
      <c r="N924" s="166" t="s">
        <v>211</v>
      </c>
      <c r="O924" s="168" t="s">
        <v>211</v>
      </c>
    </row>
    <row r="925" spans="1:15" s="453" customFormat="1" ht="14" x14ac:dyDescent="0.2">
      <c r="A925" s="473"/>
      <c r="B925" s="112"/>
      <c r="C925" s="572"/>
      <c r="D925" s="572"/>
      <c r="E925" s="572"/>
      <c r="F925" s="572"/>
      <c r="G925" s="572"/>
      <c r="I925" s="169"/>
      <c r="J925" s="167"/>
      <c r="K925" s="169"/>
      <c r="L925" s="167"/>
      <c r="M925" s="169"/>
      <c r="N925" s="167"/>
      <c r="O925" s="169"/>
    </row>
    <row r="926" spans="1:15" s="453" customFormat="1" ht="14" x14ac:dyDescent="0.2">
      <c r="A926" s="473"/>
      <c r="B926" s="288" t="s">
        <v>333</v>
      </c>
      <c r="C926" s="597" t="s">
        <v>433</v>
      </c>
      <c r="D926" s="597"/>
      <c r="E926" s="597"/>
      <c r="F926" s="597"/>
      <c r="G926" s="597"/>
      <c r="H926" s="285"/>
      <c r="I926" s="168" t="s">
        <v>211</v>
      </c>
      <c r="J926" s="166" t="s">
        <v>211</v>
      </c>
      <c r="K926" s="168" t="s">
        <v>211</v>
      </c>
      <c r="L926" s="166" t="s">
        <v>211</v>
      </c>
      <c r="M926" s="168" t="s">
        <v>211</v>
      </c>
      <c r="N926" s="166" t="s">
        <v>211</v>
      </c>
      <c r="O926" s="168" t="s">
        <v>211</v>
      </c>
    </row>
    <row r="927" spans="1:15" s="453" customFormat="1" ht="14" x14ac:dyDescent="0.2">
      <c r="A927" s="473"/>
      <c r="B927" s="288"/>
      <c r="C927" s="597"/>
      <c r="D927" s="597"/>
      <c r="E927" s="597"/>
      <c r="F927" s="597"/>
      <c r="G927" s="597"/>
      <c r="I927" s="169"/>
      <c r="J927" s="167"/>
      <c r="K927" s="169"/>
      <c r="L927" s="167"/>
      <c r="M927" s="169"/>
      <c r="N927" s="167"/>
      <c r="O927" s="169"/>
    </row>
    <row r="928" spans="1:15" s="453" customFormat="1" ht="14" x14ac:dyDescent="0.2">
      <c r="A928" s="473"/>
      <c r="B928" s="288" t="s">
        <v>333</v>
      </c>
      <c r="C928" s="597" t="s">
        <v>434</v>
      </c>
      <c r="D928" s="597"/>
      <c r="E928" s="597"/>
      <c r="F928" s="597"/>
      <c r="G928" s="597"/>
      <c r="H928" s="285"/>
      <c r="I928" s="168" t="s">
        <v>211</v>
      </c>
      <c r="J928" s="166" t="s">
        <v>211</v>
      </c>
      <c r="K928" s="168" t="s">
        <v>211</v>
      </c>
      <c r="L928" s="166" t="s">
        <v>211</v>
      </c>
      <c r="M928" s="168" t="s">
        <v>211</v>
      </c>
      <c r="N928" s="166" t="s">
        <v>211</v>
      </c>
      <c r="O928" s="168" t="s">
        <v>211</v>
      </c>
    </row>
    <row r="929" spans="1:16" s="453" customFormat="1" ht="14" x14ac:dyDescent="0.2">
      <c r="A929" s="473"/>
      <c r="B929" s="288"/>
      <c r="C929" s="597"/>
      <c r="D929" s="597"/>
      <c r="E929" s="597"/>
      <c r="F929" s="597"/>
      <c r="G929" s="597"/>
      <c r="I929" s="169"/>
      <c r="J929" s="167"/>
      <c r="K929" s="169"/>
      <c r="L929" s="167"/>
      <c r="M929" s="169"/>
      <c r="N929" s="167"/>
      <c r="O929" s="169"/>
    </row>
    <row r="930" spans="1:16" s="453" customFormat="1" ht="14" x14ac:dyDescent="0.2">
      <c r="A930" s="473"/>
      <c r="B930" s="112"/>
      <c r="C930" s="290"/>
      <c r="D930" s="290"/>
      <c r="E930" s="290"/>
      <c r="F930" s="290"/>
      <c r="G930" s="290"/>
      <c r="I930" s="135"/>
      <c r="J930" s="105"/>
      <c r="K930" s="135"/>
      <c r="L930" s="105"/>
      <c r="M930" s="135"/>
      <c r="N930" s="105"/>
      <c r="O930" s="135"/>
    </row>
    <row r="931" spans="1:16" s="453" customFormat="1" ht="14" x14ac:dyDescent="0.2">
      <c r="A931" s="471">
        <v>33</v>
      </c>
      <c r="B931" s="112" t="s">
        <v>330</v>
      </c>
      <c r="C931" s="573" t="s">
        <v>1872</v>
      </c>
      <c r="D931" s="573"/>
      <c r="E931" s="573"/>
      <c r="F931" s="573"/>
      <c r="G931" s="573"/>
      <c r="H931" s="285"/>
      <c r="I931" s="168" t="s">
        <v>211</v>
      </c>
      <c r="J931" s="166" t="s">
        <v>211</v>
      </c>
      <c r="K931" s="168" t="s">
        <v>211</v>
      </c>
      <c r="L931" s="166" t="s">
        <v>211</v>
      </c>
      <c r="M931" s="168" t="s">
        <v>211</v>
      </c>
      <c r="N931" s="166" t="s">
        <v>211</v>
      </c>
      <c r="O931" s="168" t="s">
        <v>211</v>
      </c>
    </row>
    <row r="932" spans="1:16" s="453" customFormat="1" ht="14" x14ac:dyDescent="0.2">
      <c r="A932" s="473"/>
      <c r="B932" s="112" t="s">
        <v>331</v>
      </c>
      <c r="C932" s="572" t="s">
        <v>435</v>
      </c>
      <c r="D932" s="572"/>
      <c r="E932" s="572"/>
      <c r="F932" s="572"/>
      <c r="G932" s="572"/>
      <c r="H932" s="285"/>
      <c r="I932" s="168" t="s">
        <v>211</v>
      </c>
      <c r="J932" s="166" t="s">
        <v>211</v>
      </c>
      <c r="K932" s="168" t="s">
        <v>211</v>
      </c>
      <c r="L932" s="166" t="s">
        <v>211</v>
      </c>
      <c r="M932" s="168" t="s">
        <v>211</v>
      </c>
      <c r="N932" s="166" t="s">
        <v>211</v>
      </c>
      <c r="O932" s="168" t="s">
        <v>211</v>
      </c>
    </row>
    <row r="933" spans="1:16" s="453" customFormat="1" ht="12.75" customHeight="1" x14ac:dyDescent="0.2">
      <c r="A933" s="473"/>
      <c r="B933" s="112" t="s">
        <v>332</v>
      </c>
      <c r="C933" s="572" t="s">
        <v>436</v>
      </c>
      <c r="D933" s="572"/>
      <c r="E933" s="572"/>
      <c r="F933" s="572"/>
      <c r="G933" s="572"/>
      <c r="H933" s="285"/>
      <c r="I933" s="168" t="s">
        <v>211</v>
      </c>
      <c r="J933" s="166" t="s">
        <v>211</v>
      </c>
      <c r="K933" s="168" t="s">
        <v>211</v>
      </c>
      <c r="L933" s="166" t="s">
        <v>211</v>
      </c>
      <c r="M933" s="168" t="s">
        <v>211</v>
      </c>
      <c r="N933" s="166" t="s">
        <v>211</v>
      </c>
      <c r="O933" s="168" t="s">
        <v>211</v>
      </c>
    </row>
    <row r="934" spans="1:16" s="453" customFormat="1" ht="14" x14ac:dyDescent="0.2">
      <c r="A934" s="473"/>
      <c r="B934" s="112"/>
      <c r="C934" s="443"/>
      <c r="D934" s="448"/>
      <c r="E934" s="448"/>
      <c r="F934" s="448"/>
      <c r="G934" s="448"/>
      <c r="I934" s="165">
        <f>COUNTIF(I628:I933,Data!$A$1)</f>
        <v>0</v>
      </c>
      <c r="J934" s="206">
        <f>COUNTIF(J628:J933,Data!$A$1)</f>
        <v>0</v>
      </c>
      <c r="K934" s="165">
        <f>COUNTIF(K628:K933,Data!$A$1)</f>
        <v>0</v>
      </c>
      <c r="L934" s="206">
        <f>COUNTIF(L628:L933,Data!$A$1)</f>
        <v>0</v>
      </c>
      <c r="M934" s="165">
        <f>COUNTIF(M628:M933,Data!$A$1)</f>
        <v>0</v>
      </c>
      <c r="N934" s="206">
        <f>COUNTIF(N628:N933,Data!$A$1)</f>
        <v>0</v>
      </c>
      <c r="O934" s="165">
        <f>COUNTIF(O628:O933,Data!$A$1)</f>
        <v>0</v>
      </c>
      <c r="P934" s="107">
        <f>SUM(I934:K934,M934:N934)</f>
        <v>0</v>
      </c>
    </row>
    <row r="935" spans="1:16" s="453" customFormat="1" ht="14" x14ac:dyDescent="0.2">
      <c r="A935" s="471" t="s">
        <v>437</v>
      </c>
      <c r="B935" s="291">
        <v>1</v>
      </c>
      <c r="C935" s="602" t="s">
        <v>438</v>
      </c>
      <c r="D935" s="602"/>
      <c r="E935" s="602"/>
      <c r="F935" s="602"/>
      <c r="G935" s="602"/>
      <c r="H935" s="292"/>
      <c r="I935" s="168" t="s">
        <v>211</v>
      </c>
      <c r="J935" s="185" t="s">
        <v>211</v>
      </c>
      <c r="K935" s="168" t="s">
        <v>211</v>
      </c>
      <c r="L935" s="185" t="s">
        <v>211</v>
      </c>
      <c r="M935" s="168" t="s">
        <v>211</v>
      </c>
      <c r="N935" s="185" t="s">
        <v>211</v>
      </c>
      <c r="O935" s="168" t="s">
        <v>211</v>
      </c>
    </row>
    <row r="936" spans="1:16" s="453" customFormat="1" ht="14" x14ac:dyDescent="0.2">
      <c r="A936" s="473"/>
      <c r="B936" s="293"/>
      <c r="C936" s="572"/>
      <c r="D936" s="572"/>
      <c r="E936" s="572"/>
      <c r="F936" s="572"/>
      <c r="G936" s="572"/>
      <c r="H936" s="294"/>
      <c r="I936" s="172">
        <f>SUM(I934*5)</f>
        <v>0</v>
      </c>
      <c r="J936" s="202"/>
      <c r="K936" s="172">
        <f>SUM(K934*4)</f>
        <v>0</v>
      </c>
      <c r="L936" s="208"/>
      <c r="M936" s="172">
        <f>SUM(M934*5)</f>
        <v>0</v>
      </c>
      <c r="N936" s="202">
        <f>SUM(N934*5)</f>
        <v>0</v>
      </c>
      <c r="O936" s="172">
        <f>SUM(I936:N936)</f>
        <v>0</v>
      </c>
      <c r="P936" s="107">
        <f>SUM(P934*5)</f>
        <v>0</v>
      </c>
    </row>
    <row r="937" spans="1:16" s="453" customFormat="1" ht="14" x14ac:dyDescent="0.2">
      <c r="A937" s="473"/>
      <c r="B937" s="293"/>
      <c r="C937" s="572"/>
      <c r="D937" s="572"/>
      <c r="E937" s="572"/>
      <c r="F937" s="572"/>
      <c r="G937" s="572"/>
      <c r="H937" s="294"/>
      <c r="I937" s="169"/>
      <c r="J937" s="167"/>
      <c r="K937" s="169"/>
      <c r="L937" s="167"/>
      <c r="M937" s="169"/>
      <c r="N937" s="167"/>
      <c r="O937" s="169"/>
    </row>
    <row r="938" spans="1:16" s="453" customFormat="1" ht="14" x14ac:dyDescent="0.2">
      <c r="A938" s="473"/>
      <c r="B938" s="295" t="s">
        <v>333</v>
      </c>
      <c r="C938" s="591" t="s">
        <v>439</v>
      </c>
      <c r="D938" s="591"/>
      <c r="E938" s="591"/>
      <c r="F938" s="591"/>
      <c r="G938" s="591"/>
      <c r="H938" s="296"/>
      <c r="I938" s="168" t="s">
        <v>211</v>
      </c>
      <c r="J938" s="166" t="s">
        <v>211</v>
      </c>
      <c r="K938" s="168" t="s">
        <v>211</v>
      </c>
      <c r="L938" s="166" t="s">
        <v>211</v>
      </c>
      <c r="M938" s="168" t="s">
        <v>211</v>
      </c>
      <c r="N938" s="166" t="s">
        <v>211</v>
      </c>
      <c r="O938" s="168" t="s">
        <v>211</v>
      </c>
      <c r="P938" s="255"/>
    </row>
    <row r="939" spans="1:16" s="453" customFormat="1" ht="14" x14ac:dyDescent="0.2">
      <c r="A939" s="473"/>
      <c r="B939" s="293">
        <v>2</v>
      </c>
      <c r="C939" s="572" t="s">
        <v>440</v>
      </c>
      <c r="D939" s="572"/>
      <c r="E939" s="572"/>
      <c r="F939" s="572"/>
      <c r="G939" s="572"/>
      <c r="H939" s="296"/>
      <c r="I939" s="168" t="s">
        <v>211</v>
      </c>
      <c r="J939" s="166" t="s">
        <v>211</v>
      </c>
      <c r="K939" s="168" t="s">
        <v>211</v>
      </c>
      <c r="L939" s="166" t="s">
        <v>211</v>
      </c>
      <c r="M939" s="168" t="s">
        <v>211</v>
      </c>
      <c r="N939" s="166" t="s">
        <v>211</v>
      </c>
      <c r="O939" s="168" t="s">
        <v>211</v>
      </c>
    </row>
    <row r="940" spans="1:16" s="453" customFormat="1" ht="14" x14ac:dyDescent="0.2">
      <c r="A940" s="473"/>
      <c r="B940" s="293"/>
      <c r="C940" s="572"/>
      <c r="D940" s="572"/>
      <c r="E940" s="572"/>
      <c r="F940" s="572"/>
      <c r="G940" s="572"/>
      <c r="H940" s="294"/>
      <c r="I940" s="169"/>
      <c r="J940" s="167"/>
      <c r="K940" s="169"/>
      <c r="L940" s="167"/>
      <c r="M940" s="169"/>
      <c r="N940" s="167"/>
      <c r="O940" s="169"/>
    </row>
    <row r="941" spans="1:16" s="453" customFormat="1" ht="14" x14ac:dyDescent="0.2">
      <c r="A941" s="473"/>
      <c r="B941" s="293"/>
      <c r="C941" s="572"/>
      <c r="D941" s="572"/>
      <c r="E941" s="572"/>
      <c r="F941" s="572"/>
      <c r="G941" s="572"/>
      <c r="H941" s="294"/>
      <c r="I941" s="169"/>
      <c r="J941" s="167"/>
      <c r="K941" s="169"/>
      <c r="L941" s="167"/>
      <c r="M941" s="169"/>
      <c r="N941" s="167"/>
      <c r="O941" s="169"/>
    </row>
    <row r="942" spans="1:16" s="453" customFormat="1" ht="14" x14ac:dyDescent="0.2">
      <c r="A942" s="473"/>
      <c r="B942" s="293">
        <v>3</v>
      </c>
      <c r="C942" s="573" t="s">
        <v>441</v>
      </c>
      <c r="D942" s="573"/>
      <c r="E942" s="573"/>
      <c r="F942" s="573"/>
      <c r="G942" s="573"/>
      <c r="H942" s="296"/>
      <c r="I942" s="168" t="s">
        <v>211</v>
      </c>
      <c r="J942" s="166" t="s">
        <v>211</v>
      </c>
      <c r="K942" s="168" t="s">
        <v>211</v>
      </c>
      <c r="L942" s="166" t="s">
        <v>211</v>
      </c>
      <c r="M942" s="168" t="s">
        <v>211</v>
      </c>
      <c r="N942" s="166" t="s">
        <v>211</v>
      </c>
      <c r="O942" s="168" t="s">
        <v>211</v>
      </c>
    </row>
    <row r="943" spans="1:16" s="453" customFormat="1" ht="14" x14ac:dyDescent="0.2">
      <c r="A943" s="473"/>
      <c r="B943" s="295" t="s">
        <v>333</v>
      </c>
      <c r="C943" s="591" t="s">
        <v>442</v>
      </c>
      <c r="D943" s="591"/>
      <c r="E943" s="591"/>
      <c r="F943" s="591"/>
      <c r="G943" s="591"/>
      <c r="H943" s="296"/>
      <c r="I943" s="168" t="s">
        <v>211</v>
      </c>
      <c r="J943" s="166" t="s">
        <v>211</v>
      </c>
      <c r="K943" s="168" t="s">
        <v>211</v>
      </c>
      <c r="L943" s="166" t="s">
        <v>211</v>
      </c>
      <c r="M943" s="168" t="s">
        <v>211</v>
      </c>
      <c r="N943" s="166" t="s">
        <v>211</v>
      </c>
      <c r="O943" s="168" t="s">
        <v>211</v>
      </c>
    </row>
    <row r="944" spans="1:16" s="453" customFormat="1" ht="14" x14ac:dyDescent="0.2">
      <c r="A944" s="473"/>
      <c r="B944" s="293">
        <v>4</v>
      </c>
      <c r="C944" s="572" t="s">
        <v>1927</v>
      </c>
      <c r="D944" s="572"/>
      <c r="E944" s="572"/>
      <c r="F944" s="572"/>
      <c r="G944" s="572"/>
      <c r="H944" s="296"/>
      <c r="I944" s="168" t="s">
        <v>211</v>
      </c>
      <c r="J944" s="166" t="s">
        <v>211</v>
      </c>
      <c r="K944" s="168" t="s">
        <v>211</v>
      </c>
      <c r="L944" s="166" t="s">
        <v>211</v>
      </c>
      <c r="M944" s="168" t="s">
        <v>211</v>
      </c>
      <c r="N944" s="166" t="s">
        <v>211</v>
      </c>
      <c r="O944" s="168" t="s">
        <v>211</v>
      </c>
    </row>
    <row r="945" spans="1:16" s="453" customFormat="1" ht="14" x14ac:dyDescent="0.2">
      <c r="A945" s="473"/>
      <c r="B945" s="293"/>
      <c r="C945" s="572"/>
      <c r="D945" s="572"/>
      <c r="E945" s="572"/>
      <c r="F945" s="572"/>
      <c r="G945" s="572"/>
      <c r="H945" s="294"/>
      <c r="I945" s="169"/>
      <c r="J945" s="167"/>
      <c r="K945" s="169"/>
      <c r="L945" s="167"/>
      <c r="M945" s="169"/>
      <c r="N945" s="167"/>
      <c r="O945" s="169"/>
    </row>
    <row r="946" spans="1:16" s="453" customFormat="1" ht="14" x14ac:dyDescent="0.2">
      <c r="A946" s="473"/>
      <c r="B946" s="295" t="s">
        <v>333</v>
      </c>
      <c r="C946" s="591" t="s">
        <v>442</v>
      </c>
      <c r="D946" s="591"/>
      <c r="E946" s="591"/>
      <c r="F946" s="591"/>
      <c r="G946" s="591"/>
      <c r="H946" s="296"/>
      <c r="I946" s="168" t="s">
        <v>211</v>
      </c>
      <c r="J946" s="166" t="s">
        <v>211</v>
      </c>
      <c r="K946" s="168" t="s">
        <v>211</v>
      </c>
      <c r="L946" s="166" t="s">
        <v>211</v>
      </c>
      <c r="M946" s="168" t="s">
        <v>211</v>
      </c>
      <c r="N946" s="166" t="s">
        <v>211</v>
      </c>
      <c r="O946" s="168" t="s">
        <v>211</v>
      </c>
    </row>
    <row r="947" spans="1:16" s="453" customFormat="1" ht="12.75" customHeight="1" x14ac:dyDescent="0.2">
      <c r="A947" s="473"/>
      <c r="B947" s="293">
        <v>5</v>
      </c>
      <c r="C947" s="595" t="s">
        <v>443</v>
      </c>
      <c r="D947" s="595"/>
      <c r="E947" s="595"/>
      <c r="F947" s="595"/>
      <c r="G947" s="595"/>
      <c r="H947" s="296"/>
      <c r="I947" s="168" t="s">
        <v>211</v>
      </c>
      <c r="J947" s="166" t="s">
        <v>211</v>
      </c>
      <c r="K947" s="168" t="s">
        <v>211</v>
      </c>
      <c r="L947" s="166" t="s">
        <v>211</v>
      </c>
      <c r="M947" s="168" t="s">
        <v>211</v>
      </c>
      <c r="N947" s="166" t="s">
        <v>211</v>
      </c>
      <c r="O947" s="168" t="s">
        <v>211</v>
      </c>
    </row>
    <row r="948" spans="1:16" s="453" customFormat="1" ht="0.75" customHeight="1" x14ac:dyDescent="0.2">
      <c r="A948" s="473"/>
      <c r="B948" s="293"/>
      <c r="C948" s="290"/>
      <c r="D948" s="290"/>
      <c r="E948" s="290"/>
      <c r="F948" s="290"/>
      <c r="G948" s="290"/>
      <c r="H948" s="294"/>
      <c r="I948" s="436"/>
      <c r="J948" s="166"/>
      <c r="K948" s="436"/>
      <c r="L948" s="166"/>
      <c r="M948" s="436"/>
      <c r="N948" s="166"/>
      <c r="O948" s="436"/>
    </row>
    <row r="949" spans="1:16" s="453" customFormat="1" ht="14" x14ac:dyDescent="0.2">
      <c r="A949" s="473"/>
      <c r="B949" s="295" t="s">
        <v>333</v>
      </c>
      <c r="C949" s="591" t="s">
        <v>442</v>
      </c>
      <c r="D949" s="591"/>
      <c r="E949" s="591"/>
      <c r="F949" s="591"/>
      <c r="G949" s="591"/>
      <c r="H949" s="296"/>
      <c r="I949" s="168" t="s">
        <v>211</v>
      </c>
      <c r="J949" s="166" t="s">
        <v>211</v>
      </c>
      <c r="K949" s="168" t="s">
        <v>211</v>
      </c>
      <c r="L949" s="166" t="s">
        <v>211</v>
      </c>
      <c r="M949" s="168" t="s">
        <v>211</v>
      </c>
      <c r="N949" s="166" t="s">
        <v>211</v>
      </c>
      <c r="O949" s="168" t="s">
        <v>211</v>
      </c>
    </row>
    <row r="950" spans="1:16" s="453" customFormat="1" ht="14" x14ac:dyDescent="0.2">
      <c r="A950" s="473"/>
      <c r="B950" s="293">
        <v>6</v>
      </c>
      <c r="C950" s="572" t="s">
        <v>444</v>
      </c>
      <c r="D950" s="572"/>
      <c r="E950" s="572"/>
      <c r="F950" s="572"/>
      <c r="G950" s="572"/>
      <c r="H950" s="296"/>
      <c r="I950" s="168" t="s">
        <v>211</v>
      </c>
      <c r="J950" s="166" t="s">
        <v>211</v>
      </c>
      <c r="K950" s="168" t="s">
        <v>211</v>
      </c>
      <c r="L950" s="166" t="s">
        <v>211</v>
      </c>
      <c r="M950" s="168" t="s">
        <v>211</v>
      </c>
      <c r="N950" s="166" t="s">
        <v>211</v>
      </c>
      <c r="O950" s="168" t="s">
        <v>211</v>
      </c>
      <c r="P950" s="255"/>
    </row>
    <row r="951" spans="1:16" s="453" customFormat="1" ht="14" x14ac:dyDescent="0.2">
      <c r="A951" s="473"/>
      <c r="B951" s="293"/>
      <c r="C951" s="572"/>
      <c r="D951" s="572"/>
      <c r="E951" s="572"/>
      <c r="F951" s="572"/>
      <c r="G951" s="572"/>
      <c r="H951" s="294"/>
      <c r="I951" s="169"/>
      <c r="J951" s="167"/>
      <c r="K951" s="169"/>
      <c r="L951" s="167"/>
      <c r="M951" s="169"/>
      <c r="N951" s="167"/>
      <c r="O951" s="169"/>
      <c r="P951" s="255"/>
    </row>
    <row r="952" spans="1:16" s="453" customFormat="1" ht="14" x14ac:dyDescent="0.2">
      <c r="A952" s="473"/>
      <c r="B952" s="293">
        <v>7</v>
      </c>
      <c r="C952" s="573" t="s">
        <v>445</v>
      </c>
      <c r="D952" s="573"/>
      <c r="E952" s="573"/>
      <c r="F952" s="573"/>
      <c r="G952" s="573"/>
      <c r="H952" s="296"/>
      <c r="I952" s="168" t="s">
        <v>211</v>
      </c>
      <c r="J952" s="166" t="s">
        <v>211</v>
      </c>
      <c r="K952" s="168" t="s">
        <v>211</v>
      </c>
      <c r="L952" s="166" t="s">
        <v>211</v>
      </c>
      <c r="M952" s="168" t="s">
        <v>211</v>
      </c>
      <c r="N952" s="166" t="s">
        <v>211</v>
      </c>
      <c r="O952" s="168" t="s">
        <v>211</v>
      </c>
      <c r="P952" s="255"/>
    </row>
    <row r="953" spans="1:16" s="453" customFormat="1" ht="12.75" customHeight="1" x14ac:dyDescent="0.2">
      <c r="B953" s="293" t="s">
        <v>330</v>
      </c>
      <c r="C953" s="595" t="s">
        <v>361</v>
      </c>
      <c r="D953" s="595"/>
      <c r="E953" s="595"/>
      <c r="F953" s="595"/>
      <c r="G953" s="595"/>
      <c r="H953" s="296"/>
      <c r="I953" s="168" t="s">
        <v>211</v>
      </c>
      <c r="J953" s="166" t="s">
        <v>211</v>
      </c>
      <c r="K953" s="168" t="s">
        <v>211</v>
      </c>
      <c r="L953" s="166" t="s">
        <v>211</v>
      </c>
      <c r="M953" s="168" t="s">
        <v>211</v>
      </c>
      <c r="N953" s="185" t="s">
        <v>211</v>
      </c>
      <c r="O953" s="168" t="s">
        <v>211</v>
      </c>
      <c r="P953" s="255"/>
    </row>
    <row r="954" spans="1:16" s="453" customFormat="1" ht="14" x14ac:dyDescent="0.2">
      <c r="B954" s="293"/>
      <c r="C954" s="595"/>
      <c r="D954" s="595"/>
      <c r="E954" s="595"/>
      <c r="F954" s="595"/>
      <c r="G954" s="595"/>
      <c r="H954" s="294"/>
      <c r="I954" s="169"/>
      <c r="J954" s="167"/>
      <c r="K954" s="169"/>
      <c r="L954" s="167"/>
      <c r="M954" s="169"/>
      <c r="N954" s="167"/>
      <c r="O954" s="169"/>
      <c r="P954" s="255"/>
    </row>
    <row r="955" spans="1:16" s="453" customFormat="1" ht="14" x14ac:dyDescent="0.2">
      <c r="B955" s="293" t="s">
        <v>331</v>
      </c>
      <c r="C955" s="572" t="s">
        <v>446</v>
      </c>
      <c r="D955" s="572"/>
      <c r="E955" s="572"/>
      <c r="F955" s="572"/>
      <c r="G955" s="572"/>
      <c r="H955" s="296"/>
      <c r="I955" s="168" t="s">
        <v>211</v>
      </c>
      <c r="J955" s="166" t="s">
        <v>211</v>
      </c>
      <c r="K955" s="168" t="s">
        <v>211</v>
      </c>
      <c r="L955" s="166" t="s">
        <v>211</v>
      </c>
      <c r="M955" s="168" t="s">
        <v>211</v>
      </c>
      <c r="N955" s="166" t="s">
        <v>211</v>
      </c>
      <c r="O955" s="168" t="s">
        <v>211</v>
      </c>
      <c r="P955" s="255"/>
    </row>
    <row r="956" spans="1:16" s="453" customFormat="1" ht="14" x14ac:dyDescent="0.2">
      <c r="B956" s="293"/>
      <c r="C956" s="572"/>
      <c r="D956" s="572"/>
      <c r="E956" s="572"/>
      <c r="F956" s="572"/>
      <c r="G956" s="572"/>
      <c r="H956" s="294"/>
      <c r="I956" s="169"/>
      <c r="J956" s="167"/>
      <c r="K956" s="169"/>
      <c r="L956" s="167"/>
      <c r="M956" s="169"/>
      <c r="N956" s="167"/>
      <c r="O956" s="169"/>
      <c r="P956" s="255"/>
    </row>
    <row r="957" spans="1:16" s="453" customFormat="1" ht="14" x14ac:dyDescent="0.2">
      <c r="B957" s="293" t="s">
        <v>332</v>
      </c>
      <c r="C957" s="572" t="s">
        <v>447</v>
      </c>
      <c r="D957" s="572"/>
      <c r="E957" s="572"/>
      <c r="F957" s="572"/>
      <c r="G957" s="572"/>
      <c r="H957" s="296"/>
      <c r="I957" s="168" t="s">
        <v>211</v>
      </c>
      <c r="J957" s="166" t="s">
        <v>211</v>
      </c>
      <c r="K957" s="168" t="s">
        <v>211</v>
      </c>
      <c r="L957" s="166" t="s">
        <v>211</v>
      </c>
      <c r="M957" s="168" t="s">
        <v>211</v>
      </c>
      <c r="N957" s="166" t="s">
        <v>211</v>
      </c>
      <c r="O957" s="168" t="s">
        <v>211</v>
      </c>
      <c r="P957" s="255"/>
    </row>
    <row r="958" spans="1:16" s="453" customFormat="1" ht="14" x14ac:dyDescent="0.2">
      <c r="B958" s="293"/>
      <c r="C958" s="572"/>
      <c r="D958" s="572"/>
      <c r="E958" s="572"/>
      <c r="F958" s="572"/>
      <c r="G958" s="572"/>
      <c r="H958" s="294"/>
      <c r="I958" s="169"/>
      <c r="J958" s="167"/>
      <c r="K958" s="169"/>
      <c r="L958" s="167"/>
      <c r="M958" s="169"/>
      <c r="N958" s="167"/>
      <c r="O958" s="169"/>
      <c r="P958" s="255"/>
    </row>
    <row r="959" spans="1:16" s="453" customFormat="1" ht="14" x14ac:dyDescent="0.2">
      <c r="B959" s="293" t="s">
        <v>343</v>
      </c>
      <c r="C959" s="572" t="s">
        <v>448</v>
      </c>
      <c r="D959" s="572"/>
      <c r="E959" s="572"/>
      <c r="F959" s="572"/>
      <c r="G959" s="572"/>
      <c r="H959" s="296"/>
      <c r="I959" s="168" t="s">
        <v>211</v>
      </c>
      <c r="J959" s="166" t="s">
        <v>211</v>
      </c>
      <c r="K959" s="168" t="s">
        <v>211</v>
      </c>
      <c r="L959" s="166" t="s">
        <v>211</v>
      </c>
      <c r="M959" s="168" t="s">
        <v>211</v>
      </c>
      <c r="N959" s="166" t="s">
        <v>211</v>
      </c>
      <c r="O959" s="168" t="s">
        <v>211</v>
      </c>
      <c r="P959" s="255"/>
    </row>
    <row r="960" spans="1:16" s="453" customFormat="1" ht="14" x14ac:dyDescent="0.2">
      <c r="B960" s="293"/>
      <c r="C960" s="572"/>
      <c r="D960" s="572"/>
      <c r="E960" s="572"/>
      <c r="F960" s="572"/>
      <c r="G960" s="572"/>
      <c r="H960" s="294"/>
      <c r="I960" s="169"/>
      <c r="J960" s="167"/>
      <c r="K960" s="169"/>
      <c r="L960" s="167"/>
      <c r="M960" s="169"/>
      <c r="N960" s="167"/>
      <c r="O960" s="169"/>
      <c r="P960" s="255"/>
    </row>
    <row r="961" spans="2:17" s="453" customFormat="1" ht="14" x14ac:dyDescent="0.2">
      <c r="B961" s="293" t="s">
        <v>344</v>
      </c>
      <c r="C961" s="572" t="s">
        <v>449</v>
      </c>
      <c r="D961" s="572"/>
      <c r="E961" s="572"/>
      <c r="F961" s="572"/>
      <c r="G961" s="572"/>
      <c r="H961" s="296"/>
      <c r="I961" s="168" t="s">
        <v>211</v>
      </c>
      <c r="J961" s="166" t="s">
        <v>211</v>
      </c>
      <c r="K961" s="168" t="s">
        <v>211</v>
      </c>
      <c r="L961" s="166" t="s">
        <v>211</v>
      </c>
      <c r="M961" s="168" t="s">
        <v>211</v>
      </c>
      <c r="N961" s="166" t="s">
        <v>211</v>
      </c>
      <c r="O961" s="168" t="s">
        <v>211</v>
      </c>
      <c r="P961" s="255"/>
    </row>
    <row r="962" spans="2:17" s="453" customFormat="1" ht="14" x14ac:dyDescent="0.2">
      <c r="B962" s="293"/>
      <c r="C962" s="572"/>
      <c r="D962" s="572"/>
      <c r="E962" s="572"/>
      <c r="F962" s="572"/>
      <c r="G962" s="572"/>
      <c r="H962" s="294"/>
      <c r="I962" s="169"/>
      <c r="J962" s="167"/>
      <c r="K962" s="169"/>
      <c r="L962" s="167"/>
      <c r="M962" s="169"/>
      <c r="N962" s="167"/>
      <c r="O962" s="169"/>
      <c r="P962" s="255"/>
    </row>
    <row r="963" spans="2:17" s="453" customFormat="1" ht="14" x14ac:dyDescent="0.2">
      <c r="B963" s="295" t="s">
        <v>333</v>
      </c>
      <c r="C963" s="597" t="s">
        <v>431</v>
      </c>
      <c r="D963" s="597"/>
      <c r="E963" s="597"/>
      <c r="F963" s="597"/>
      <c r="G963" s="597"/>
      <c r="H963" s="296"/>
      <c r="I963" s="168" t="s">
        <v>211</v>
      </c>
      <c r="J963" s="166" t="s">
        <v>211</v>
      </c>
      <c r="K963" s="168" t="s">
        <v>211</v>
      </c>
      <c r="L963" s="166" t="s">
        <v>211</v>
      </c>
      <c r="M963" s="168" t="s">
        <v>211</v>
      </c>
      <c r="N963" s="166" t="s">
        <v>211</v>
      </c>
      <c r="O963" s="168" t="s">
        <v>211</v>
      </c>
      <c r="P963" s="255"/>
    </row>
    <row r="964" spans="2:17" s="453" customFormat="1" ht="14" x14ac:dyDescent="0.2">
      <c r="B964" s="297"/>
      <c r="C964" s="641"/>
      <c r="D964" s="641"/>
      <c r="E964" s="641"/>
      <c r="F964" s="641"/>
      <c r="G964" s="641"/>
      <c r="H964" s="298"/>
      <c r="I964" s="172">
        <f>COUNTIF(I935:I963,Data!$A$1)</f>
        <v>0</v>
      </c>
      <c r="J964" s="203">
        <f>COUNTIF(J935:J963,Data!$A$1)</f>
        <v>0</v>
      </c>
      <c r="K964" s="172">
        <f>COUNTIF(K935:K963,Data!$A$1)</f>
        <v>0</v>
      </c>
      <c r="L964" s="203">
        <f>COUNTIF(L935:L963,Data!$A$1)</f>
        <v>0</v>
      </c>
      <c r="M964" s="172">
        <f>COUNTIF(M935:M963,Data!$A$1)</f>
        <v>0</v>
      </c>
      <c r="N964" s="203">
        <f>COUNTIF(N935:N963,Data!$A$1)</f>
        <v>0</v>
      </c>
      <c r="O964" s="172">
        <f>COUNTIF(O935:O963,Data!$A$1)</f>
        <v>0</v>
      </c>
      <c r="P964" s="107">
        <f>SUM(I964:K964, M964:N964)</f>
        <v>0</v>
      </c>
    </row>
    <row r="965" spans="2:17" s="453" customFormat="1" ht="14" x14ac:dyDescent="0.2">
      <c r="I965" s="107">
        <f>SUM(I964*15)</f>
        <v>0</v>
      </c>
      <c r="J965" s="107"/>
      <c r="K965" s="107">
        <f>SUM(K964*10)</f>
        <v>0</v>
      </c>
      <c r="L965" s="107"/>
      <c r="M965" s="107">
        <f>SUM(M964*15)</f>
        <v>0</v>
      </c>
      <c r="N965" s="107">
        <f>SUM(N964*15)</f>
        <v>0</v>
      </c>
      <c r="O965" s="107">
        <f>SUM(I965:N965)</f>
        <v>0</v>
      </c>
      <c r="P965" s="107">
        <f>SUM(P964*15)</f>
        <v>0</v>
      </c>
      <c r="Q965" s="107"/>
    </row>
    <row r="966" spans="2:17" s="434" customFormat="1" ht="14" hidden="1" x14ac:dyDescent="0.2"/>
    <row r="967" spans="2:17" s="434" customFormat="1" ht="14" hidden="1" x14ac:dyDescent="0.2">
      <c r="B967" s="433"/>
      <c r="J967" s="435"/>
      <c r="L967" s="435" t="s">
        <v>216</v>
      </c>
      <c r="N967" s="435"/>
    </row>
    <row r="968" spans="2:17" s="434" customFormat="1" ht="14" hidden="1" x14ac:dyDescent="0.2">
      <c r="B968" s="433"/>
      <c r="J968" s="435"/>
      <c r="L968" s="435" t="s">
        <v>216</v>
      </c>
      <c r="N968" s="435"/>
    </row>
    <row r="969" spans="2:17" s="453" customFormat="1" ht="14" x14ac:dyDescent="0.2">
      <c r="B969" s="112"/>
      <c r="I969" s="189">
        <v>1</v>
      </c>
      <c r="J969" s="190">
        <v>2</v>
      </c>
      <c r="K969" s="189">
        <v>3</v>
      </c>
      <c r="L969" s="190">
        <v>4</v>
      </c>
      <c r="M969" s="189">
        <v>5</v>
      </c>
      <c r="N969" s="190">
        <v>6</v>
      </c>
      <c r="O969" s="189" t="s">
        <v>1549</v>
      </c>
      <c r="P969" s="106"/>
    </row>
    <row r="970" spans="2:17" s="453" customFormat="1" ht="14" x14ac:dyDescent="0.2">
      <c r="B970" s="299" t="s">
        <v>450</v>
      </c>
      <c r="C970" s="300" t="s">
        <v>451</v>
      </c>
      <c r="D970" s="300"/>
      <c r="E970" s="300"/>
      <c r="F970" s="300"/>
      <c r="G970" s="300"/>
      <c r="H970" s="301"/>
      <c r="I970" s="135"/>
      <c r="J970" s="105"/>
      <c r="K970" s="135"/>
      <c r="L970" s="105"/>
      <c r="M970" s="135"/>
      <c r="N970" s="105"/>
      <c r="O970" s="135"/>
    </row>
    <row r="971" spans="2:17" s="453" customFormat="1" ht="14" x14ac:dyDescent="0.2">
      <c r="B971" s="291">
        <v>1</v>
      </c>
      <c r="C971" s="738" t="s">
        <v>452</v>
      </c>
      <c r="D971" s="738"/>
      <c r="E971" s="738"/>
      <c r="F971" s="738"/>
      <c r="G971" s="738"/>
      <c r="H971" s="292"/>
      <c r="I971" s="168" t="s">
        <v>211</v>
      </c>
      <c r="J971" s="166" t="s">
        <v>211</v>
      </c>
      <c r="K971" s="168" t="s">
        <v>211</v>
      </c>
      <c r="L971" s="166" t="s">
        <v>211</v>
      </c>
      <c r="M971" s="168" t="s">
        <v>211</v>
      </c>
      <c r="N971" s="166" t="s">
        <v>211</v>
      </c>
      <c r="O971" s="168" t="s">
        <v>211</v>
      </c>
    </row>
    <row r="972" spans="2:17" s="453" customFormat="1" ht="14" x14ac:dyDescent="0.2">
      <c r="B972" s="293"/>
      <c r="C972" s="606" t="s">
        <v>453</v>
      </c>
      <c r="D972" s="606"/>
      <c r="E972" s="606"/>
      <c r="F972" s="606"/>
      <c r="G972" s="606"/>
      <c r="H972" s="296"/>
      <c r="I972" s="168" t="s">
        <v>211</v>
      </c>
      <c r="J972" s="166" t="s">
        <v>211</v>
      </c>
      <c r="K972" s="168" t="s">
        <v>211</v>
      </c>
      <c r="L972" s="166" t="s">
        <v>211</v>
      </c>
      <c r="M972" s="168" t="s">
        <v>211</v>
      </c>
      <c r="N972" s="166" t="s">
        <v>211</v>
      </c>
      <c r="O972" s="168" t="s">
        <v>211</v>
      </c>
    </row>
    <row r="973" spans="2:17" s="453" customFormat="1" ht="14" x14ac:dyDescent="0.2">
      <c r="B973" s="293"/>
      <c r="C973" s="606"/>
      <c r="D973" s="606"/>
      <c r="E973" s="606"/>
      <c r="F973" s="606"/>
      <c r="G973" s="606"/>
      <c r="H973" s="294"/>
      <c r="I973" s="169"/>
      <c r="J973" s="167"/>
      <c r="K973" s="169"/>
      <c r="L973" s="167"/>
      <c r="M973" s="169"/>
      <c r="N973" s="167"/>
      <c r="O973" s="169"/>
    </row>
    <row r="974" spans="2:17" s="453" customFormat="1" ht="14" x14ac:dyDescent="0.2">
      <c r="B974" s="293"/>
      <c r="C974" s="569" t="s">
        <v>454</v>
      </c>
      <c r="D974" s="569"/>
      <c r="E974" s="569"/>
      <c r="F974" s="569"/>
      <c r="G974" s="569"/>
      <c r="H974" s="296"/>
      <c r="I974" s="168" t="s">
        <v>211</v>
      </c>
      <c r="J974" s="166" t="s">
        <v>211</v>
      </c>
      <c r="K974" s="168" t="s">
        <v>211</v>
      </c>
      <c r="L974" s="166" t="s">
        <v>211</v>
      </c>
      <c r="M974" s="168" t="s">
        <v>211</v>
      </c>
      <c r="N974" s="166" t="s">
        <v>211</v>
      </c>
      <c r="O974" s="168" t="s">
        <v>211</v>
      </c>
    </row>
    <row r="975" spans="2:17" s="453" customFormat="1" ht="14" x14ac:dyDescent="0.2">
      <c r="B975" s="293"/>
      <c r="F975" s="586" t="s">
        <v>455</v>
      </c>
      <c r="G975" s="586"/>
      <c r="H975" s="587"/>
      <c r="I975" s="169"/>
      <c r="J975" s="167"/>
      <c r="K975" s="169"/>
      <c r="L975" s="167"/>
      <c r="M975" s="169"/>
      <c r="N975" s="167"/>
      <c r="O975" s="169"/>
    </row>
    <row r="976" spans="2:17" s="453" customFormat="1" ht="14" x14ac:dyDescent="0.2">
      <c r="B976" s="302"/>
      <c r="C976" s="303"/>
      <c r="D976" s="303"/>
      <c r="E976" s="303" t="s">
        <v>89</v>
      </c>
      <c r="F976" s="797" t="s">
        <v>456</v>
      </c>
      <c r="G976" s="797"/>
      <c r="H976" s="798"/>
      <c r="I976" s="169"/>
      <c r="J976" s="167"/>
      <c r="K976" s="169"/>
      <c r="L976" s="167"/>
      <c r="M976" s="169"/>
      <c r="N976" s="167"/>
      <c r="O976" s="169"/>
    </row>
    <row r="977" spans="2:15" s="453" customFormat="1" ht="14" x14ac:dyDescent="0.2">
      <c r="B977" s="291" t="s">
        <v>10</v>
      </c>
      <c r="C977" s="738" t="s">
        <v>457</v>
      </c>
      <c r="D977" s="738"/>
      <c r="E977" s="738"/>
      <c r="F977" s="738"/>
      <c r="G977" s="738"/>
      <c r="H977" s="292"/>
      <c r="I977" s="168" t="s">
        <v>211</v>
      </c>
      <c r="J977" s="166" t="s">
        <v>211</v>
      </c>
      <c r="K977" s="168" t="s">
        <v>211</v>
      </c>
      <c r="L977" s="166" t="s">
        <v>211</v>
      </c>
      <c r="M977" s="168" t="s">
        <v>211</v>
      </c>
      <c r="N977" s="166" t="s">
        <v>211</v>
      </c>
      <c r="O977" s="168" t="s">
        <v>211</v>
      </c>
    </row>
    <row r="978" spans="2:15" s="453" customFormat="1" ht="14" x14ac:dyDescent="0.2">
      <c r="B978" s="293"/>
      <c r="F978" s="631" t="s">
        <v>458</v>
      </c>
      <c r="G978" s="631"/>
      <c r="H978" s="632"/>
      <c r="I978" s="169"/>
      <c r="J978" s="167"/>
      <c r="K978" s="169"/>
      <c r="L978" s="167"/>
      <c r="M978" s="169"/>
      <c r="N978" s="167"/>
      <c r="O978" s="169"/>
    </row>
    <row r="979" spans="2:15" s="453" customFormat="1" ht="14" x14ac:dyDescent="0.2">
      <c r="B979" s="293"/>
      <c r="F979" s="631" t="s">
        <v>459</v>
      </c>
      <c r="G979" s="631"/>
      <c r="H979" s="632"/>
      <c r="I979" s="169"/>
      <c r="J979" s="167"/>
      <c r="K979" s="169"/>
      <c r="L979" s="167"/>
      <c r="M979" s="169"/>
      <c r="N979" s="167"/>
      <c r="O979" s="169"/>
    </row>
    <row r="980" spans="2:15" s="453" customFormat="1" ht="14" x14ac:dyDescent="0.2">
      <c r="B980" s="293"/>
      <c r="F980" s="631" t="s">
        <v>460</v>
      </c>
      <c r="G980" s="631"/>
      <c r="H980" s="632"/>
      <c r="I980" s="169"/>
      <c r="J980" s="167"/>
      <c r="K980" s="169"/>
      <c r="L980" s="167"/>
      <c r="M980" s="169"/>
      <c r="N980" s="167"/>
      <c r="O980" s="169"/>
    </row>
    <row r="981" spans="2:15" s="453" customFormat="1" ht="14" x14ac:dyDescent="0.2">
      <c r="B981" s="293"/>
      <c r="F981" s="846" t="s">
        <v>461</v>
      </c>
      <c r="G981" s="846"/>
      <c r="H981" s="847"/>
      <c r="I981" s="169"/>
      <c r="J981" s="167"/>
      <c r="K981" s="169"/>
      <c r="L981" s="167"/>
      <c r="M981" s="169"/>
      <c r="N981" s="167"/>
      <c r="O981" s="169"/>
    </row>
    <row r="982" spans="2:15" s="453" customFormat="1" ht="14" x14ac:dyDescent="0.2">
      <c r="B982" s="293"/>
      <c r="F982" s="607" t="s">
        <v>462</v>
      </c>
      <c r="G982" s="607"/>
      <c r="H982" s="608"/>
      <c r="I982" s="169"/>
      <c r="J982" s="167"/>
      <c r="K982" s="169"/>
      <c r="L982" s="167"/>
      <c r="M982" s="169"/>
      <c r="N982" s="167"/>
      <c r="O982" s="169"/>
    </row>
    <row r="983" spans="2:15" s="453" customFormat="1" ht="14" x14ac:dyDescent="0.2">
      <c r="B983" s="295" t="s">
        <v>333</v>
      </c>
      <c r="C983" s="628" t="s">
        <v>463</v>
      </c>
      <c r="D983" s="628"/>
      <c r="E983" s="628"/>
      <c r="F983" s="628"/>
      <c r="G983" s="628"/>
      <c r="H983" s="304"/>
      <c r="I983" s="174"/>
      <c r="J983" s="175"/>
      <c r="K983" s="174"/>
      <c r="L983" s="167"/>
      <c r="M983" s="169"/>
      <c r="N983" s="167"/>
      <c r="O983" s="169"/>
    </row>
    <row r="984" spans="2:15" s="453" customFormat="1" ht="14" x14ac:dyDescent="0.2">
      <c r="B984" s="295"/>
      <c r="C984" s="628"/>
      <c r="D984" s="628"/>
      <c r="E984" s="628"/>
      <c r="F984" s="628"/>
      <c r="G984" s="628"/>
      <c r="H984" s="305"/>
      <c r="I984" s="176"/>
      <c r="J984" s="177"/>
      <c r="K984" s="176"/>
      <c r="L984" s="167"/>
      <c r="M984" s="169"/>
      <c r="N984" s="167"/>
      <c r="O984" s="169"/>
    </row>
    <row r="985" spans="2:15" s="453" customFormat="1" ht="14" x14ac:dyDescent="0.2">
      <c r="B985" s="295"/>
      <c r="C985" s="628" t="s">
        <v>464</v>
      </c>
      <c r="D985" s="628"/>
      <c r="E985" s="628"/>
      <c r="F985" s="628"/>
      <c r="G985" s="628"/>
      <c r="H985" s="306"/>
      <c r="I985" s="178"/>
      <c r="J985" s="179"/>
      <c r="K985" s="178"/>
      <c r="L985" s="167"/>
      <c r="M985" s="169"/>
      <c r="N985" s="167"/>
      <c r="O985" s="169"/>
    </row>
    <row r="986" spans="2:15" s="453" customFormat="1" ht="14" x14ac:dyDescent="0.2">
      <c r="B986" s="295"/>
      <c r="C986" s="628"/>
      <c r="D986" s="628"/>
      <c r="E986" s="628"/>
      <c r="F986" s="628"/>
      <c r="G986" s="628"/>
      <c r="H986" s="306"/>
      <c r="I986" s="178"/>
      <c r="J986" s="179"/>
      <c r="K986" s="178"/>
      <c r="L986" s="167"/>
      <c r="M986" s="169"/>
      <c r="N986" s="167"/>
      <c r="O986" s="169"/>
    </row>
    <row r="987" spans="2:15" s="453" customFormat="1" ht="14" x14ac:dyDescent="0.2">
      <c r="B987" s="295"/>
      <c r="C987" s="628"/>
      <c r="D987" s="628"/>
      <c r="E987" s="628"/>
      <c r="F987" s="628"/>
      <c r="G987" s="628"/>
      <c r="H987" s="307"/>
      <c r="I987" s="180"/>
      <c r="J987" s="181"/>
      <c r="K987" s="180"/>
      <c r="L987" s="167"/>
      <c r="M987" s="169"/>
      <c r="N987" s="167"/>
      <c r="O987" s="169"/>
    </row>
    <row r="988" spans="2:15" s="453" customFormat="1" ht="14" x14ac:dyDescent="0.2">
      <c r="B988" s="295"/>
      <c r="C988" s="634" t="s">
        <v>465</v>
      </c>
      <c r="D988" s="634"/>
      <c r="E988" s="634"/>
      <c r="F988" s="634"/>
      <c r="G988" s="634"/>
      <c r="H988" s="304"/>
      <c r="I988" s="174"/>
      <c r="J988" s="175"/>
      <c r="K988" s="174"/>
      <c r="L988" s="167"/>
      <c r="M988" s="169"/>
      <c r="N988" s="167"/>
      <c r="O988" s="169"/>
    </row>
    <row r="989" spans="2:15" s="453" customFormat="1" ht="14" x14ac:dyDescent="0.2">
      <c r="B989" s="295"/>
      <c r="C989" s="634" t="s">
        <v>466</v>
      </c>
      <c r="D989" s="634"/>
      <c r="E989" s="634"/>
      <c r="F989" s="634"/>
      <c r="G989" s="634"/>
      <c r="H989" s="304"/>
      <c r="I989" s="174"/>
      <c r="J989" s="175"/>
      <c r="K989" s="174"/>
      <c r="L989" s="167"/>
      <c r="M989" s="169"/>
      <c r="N989" s="167"/>
      <c r="O989" s="169"/>
    </row>
    <row r="990" spans="2:15" s="453" customFormat="1" ht="12.75" customHeight="1" x14ac:dyDescent="0.2">
      <c r="B990" s="291">
        <v>2</v>
      </c>
      <c r="C990" s="568" t="s">
        <v>467</v>
      </c>
      <c r="D990" s="568"/>
      <c r="E990" s="568"/>
      <c r="F990" s="568"/>
      <c r="G990" s="568"/>
      <c r="H990" s="292"/>
      <c r="I990" s="168" t="s">
        <v>211</v>
      </c>
      <c r="J990" s="166" t="s">
        <v>211</v>
      </c>
      <c r="K990" s="168" t="s">
        <v>211</v>
      </c>
      <c r="L990" s="166" t="s">
        <v>211</v>
      </c>
      <c r="M990" s="168" t="s">
        <v>211</v>
      </c>
      <c r="N990" s="166" t="s">
        <v>211</v>
      </c>
      <c r="O990" s="168" t="s">
        <v>211</v>
      </c>
    </row>
    <row r="991" spans="2:15" s="453" customFormat="1" ht="14" x14ac:dyDescent="0.2">
      <c r="B991" s="293"/>
      <c r="C991" s="606" t="s">
        <v>468</v>
      </c>
      <c r="D991" s="606"/>
      <c r="E991" s="606"/>
      <c r="F991" s="606"/>
      <c r="G991" s="606"/>
      <c r="H991" s="296"/>
      <c r="I991" s="168" t="s">
        <v>211</v>
      </c>
      <c r="J991" s="166" t="s">
        <v>211</v>
      </c>
      <c r="K991" s="168" t="s">
        <v>211</v>
      </c>
      <c r="L991" s="166" t="s">
        <v>211</v>
      </c>
      <c r="M991" s="168" t="s">
        <v>211</v>
      </c>
      <c r="N991" s="166" t="s">
        <v>211</v>
      </c>
      <c r="O991" s="168" t="s">
        <v>211</v>
      </c>
    </row>
    <row r="992" spans="2:15" s="453" customFormat="1" ht="14" x14ac:dyDescent="0.2">
      <c r="B992" s="293"/>
      <c r="C992" s="606"/>
      <c r="D992" s="606"/>
      <c r="E992" s="606"/>
      <c r="F992" s="606"/>
      <c r="G992" s="606"/>
      <c r="H992" s="294"/>
      <c r="I992" s="169"/>
      <c r="J992" s="167"/>
      <c r="K992" s="169"/>
      <c r="L992" s="167"/>
      <c r="M992" s="169"/>
      <c r="N992" s="167"/>
      <c r="O992" s="169"/>
    </row>
    <row r="993" spans="2:15" s="453" customFormat="1" ht="14" x14ac:dyDescent="0.2">
      <c r="B993" s="293"/>
      <c r="F993" s="629" t="s">
        <v>469</v>
      </c>
      <c r="G993" s="629"/>
      <c r="H993" s="630"/>
      <c r="I993" s="169"/>
      <c r="J993" s="167"/>
      <c r="K993" s="169"/>
      <c r="L993" s="167"/>
      <c r="M993" s="169"/>
      <c r="N993" s="167"/>
      <c r="O993" s="169"/>
    </row>
    <row r="994" spans="2:15" s="453" customFormat="1" ht="14" x14ac:dyDescent="0.2">
      <c r="B994" s="293"/>
      <c r="C994" s="606" t="s">
        <v>470</v>
      </c>
      <c r="D994" s="606"/>
      <c r="E994" s="606"/>
      <c r="F994" s="606"/>
      <c r="G994" s="606"/>
      <c r="H994" s="296"/>
      <c r="I994" s="168" t="s">
        <v>211</v>
      </c>
      <c r="J994" s="166" t="s">
        <v>211</v>
      </c>
      <c r="K994" s="168" t="s">
        <v>211</v>
      </c>
      <c r="L994" s="166" t="s">
        <v>211</v>
      </c>
      <c r="M994" s="168" t="s">
        <v>211</v>
      </c>
      <c r="N994" s="166" t="s">
        <v>211</v>
      </c>
      <c r="O994" s="168" t="s">
        <v>211</v>
      </c>
    </row>
    <row r="995" spans="2:15" s="453" customFormat="1" ht="14" x14ac:dyDescent="0.2">
      <c r="B995" s="293"/>
      <c r="C995" s="606"/>
      <c r="D995" s="606"/>
      <c r="E995" s="606"/>
      <c r="F995" s="606"/>
      <c r="G995" s="606"/>
      <c r="H995" s="294"/>
      <c r="I995" s="169"/>
      <c r="J995" s="167"/>
      <c r="K995" s="169"/>
      <c r="L995" s="167"/>
      <c r="M995" s="169"/>
      <c r="N995" s="167"/>
      <c r="O995" s="169"/>
    </row>
    <row r="996" spans="2:15" s="453" customFormat="1" ht="14" x14ac:dyDescent="0.2">
      <c r="B996" s="293"/>
      <c r="C996" s="606"/>
      <c r="D996" s="606"/>
      <c r="E996" s="606"/>
      <c r="F996" s="606"/>
      <c r="G996" s="606"/>
      <c r="H996" s="294"/>
      <c r="I996" s="169"/>
      <c r="J996" s="167"/>
      <c r="K996" s="169"/>
      <c r="L996" s="167"/>
      <c r="M996" s="169"/>
      <c r="N996" s="167"/>
      <c r="O996" s="169"/>
    </row>
    <row r="997" spans="2:15" s="453" customFormat="1" ht="14" x14ac:dyDescent="0.2">
      <c r="B997" s="293"/>
      <c r="C997" s="569" t="s">
        <v>471</v>
      </c>
      <c r="D997" s="569"/>
      <c r="E997" s="569"/>
      <c r="F997" s="569"/>
      <c r="G997" s="569"/>
      <c r="H997" s="296"/>
      <c r="I997" s="168" t="s">
        <v>211</v>
      </c>
      <c r="J997" s="166" t="s">
        <v>211</v>
      </c>
      <c r="K997" s="168" t="s">
        <v>211</v>
      </c>
      <c r="L997" s="166" t="s">
        <v>211</v>
      </c>
      <c r="M997" s="168" t="s">
        <v>211</v>
      </c>
      <c r="N997" s="166" t="s">
        <v>211</v>
      </c>
      <c r="O997" s="168" t="s">
        <v>211</v>
      </c>
    </row>
    <row r="998" spans="2:15" s="453" customFormat="1" ht="12.75" customHeight="1" x14ac:dyDescent="0.2">
      <c r="B998" s="293"/>
      <c r="C998" s="606" t="s">
        <v>472</v>
      </c>
      <c r="D998" s="606"/>
      <c r="E998" s="606"/>
      <c r="F998" s="606"/>
      <c r="G998" s="606"/>
      <c r="H998" s="296"/>
      <c r="I998" s="168" t="s">
        <v>211</v>
      </c>
      <c r="J998" s="166" t="s">
        <v>211</v>
      </c>
      <c r="K998" s="168" t="s">
        <v>211</v>
      </c>
      <c r="L998" s="166" t="s">
        <v>211</v>
      </c>
      <c r="M998" s="168" t="s">
        <v>211</v>
      </c>
      <c r="N998" s="166" t="s">
        <v>211</v>
      </c>
      <c r="O998" s="168" t="s">
        <v>211</v>
      </c>
    </row>
    <row r="999" spans="2:15" s="453" customFormat="1" ht="14" x14ac:dyDescent="0.2">
      <c r="B999" s="293"/>
      <c r="C999" s="606"/>
      <c r="D999" s="606"/>
      <c r="E999" s="606"/>
      <c r="F999" s="606"/>
      <c r="G999" s="606"/>
      <c r="H999" s="294"/>
      <c r="I999" s="169"/>
      <c r="J999" s="167"/>
      <c r="K999" s="169"/>
      <c r="L999" s="167"/>
      <c r="M999" s="169"/>
      <c r="N999" s="167"/>
      <c r="O999" s="169"/>
    </row>
    <row r="1000" spans="2:15" s="453" customFormat="1" ht="14" x14ac:dyDescent="0.2">
      <c r="B1000" s="293"/>
      <c r="C1000" s="569" t="s">
        <v>473</v>
      </c>
      <c r="D1000" s="569"/>
      <c r="E1000" s="569"/>
      <c r="F1000" s="569"/>
      <c r="G1000" s="569"/>
      <c r="H1000" s="296"/>
      <c r="I1000" s="168" t="s">
        <v>211</v>
      </c>
      <c r="J1000" s="166" t="s">
        <v>211</v>
      </c>
      <c r="K1000" s="168" t="s">
        <v>211</v>
      </c>
      <c r="L1000" s="166" t="s">
        <v>211</v>
      </c>
      <c r="M1000" s="168" t="s">
        <v>211</v>
      </c>
      <c r="N1000" s="166" t="s">
        <v>211</v>
      </c>
      <c r="O1000" s="168" t="s">
        <v>211</v>
      </c>
    </row>
    <row r="1001" spans="2:15" s="453" customFormat="1" ht="14" x14ac:dyDescent="0.2">
      <c r="B1001" s="293"/>
      <c r="F1001" s="795" t="s">
        <v>474</v>
      </c>
      <c r="G1001" s="795"/>
      <c r="H1001" s="800"/>
      <c r="I1001" s="169"/>
      <c r="J1001" s="167"/>
      <c r="K1001" s="169"/>
      <c r="L1001" s="167"/>
      <c r="M1001" s="169"/>
      <c r="N1001" s="167"/>
      <c r="O1001" s="169"/>
    </row>
    <row r="1002" spans="2:15" s="453" customFormat="1" ht="14" x14ac:dyDescent="0.2">
      <c r="B1002" s="293"/>
      <c r="C1002" s="606" t="s">
        <v>475</v>
      </c>
      <c r="D1002" s="606"/>
      <c r="E1002" s="606"/>
      <c r="F1002" s="606"/>
      <c r="G1002" s="606"/>
      <c r="H1002" s="296"/>
      <c r="I1002" s="168" t="s">
        <v>211</v>
      </c>
      <c r="J1002" s="166" t="s">
        <v>211</v>
      </c>
      <c r="K1002" s="168" t="s">
        <v>211</v>
      </c>
      <c r="L1002" s="166" t="s">
        <v>211</v>
      </c>
      <c r="M1002" s="168" t="s">
        <v>211</v>
      </c>
      <c r="N1002" s="166" t="s">
        <v>211</v>
      </c>
      <c r="O1002" s="168" t="s">
        <v>211</v>
      </c>
    </row>
    <row r="1003" spans="2:15" s="453" customFormat="1" ht="14" x14ac:dyDescent="0.2">
      <c r="B1003" s="293"/>
      <c r="C1003" s="606"/>
      <c r="D1003" s="606"/>
      <c r="E1003" s="606"/>
      <c r="F1003" s="606"/>
      <c r="G1003" s="606"/>
      <c r="H1003" s="294"/>
      <c r="I1003" s="169"/>
      <c r="J1003" s="167"/>
      <c r="K1003" s="169"/>
      <c r="L1003" s="167"/>
      <c r="M1003" s="169"/>
      <c r="N1003" s="167"/>
      <c r="O1003" s="169"/>
    </row>
    <row r="1004" spans="2:15" s="453" customFormat="1" ht="12.75" customHeight="1" x14ac:dyDescent="0.2">
      <c r="B1004" s="293"/>
      <c r="C1004" s="633" t="s">
        <v>476</v>
      </c>
      <c r="D1004" s="633"/>
      <c r="E1004" s="633"/>
      <c r="F1004" s="633"/>
      <c r="G1004" s="633"/>
      <c r="H1004" s="296"/>
      <c r="I1004" s="168" t="s">
        <v>211</v>
      </c>
      <c r="J1004" s="166" t="s">
        <v>211</v>
      </c>
      <c r="K1004" s="168" t="s">
        <v>211</v>
      </c>
      <c r="L1004" s="166" t="s">
        <v>211</v>
      </c>
      <c r="M1004" s="168" t="s">
        <v>211</v>
      </c>
      <c r="N1004" s="166" t="s">
        <v>211</v>
      </c>
      <c r="O1004" s="168" t="s">
        <v>211</v>
      </c>
    </row>
    <row r="1005" spans="2:15" s="453" customFormat="1" ht="14" x14ac:dyDescent="0.2">
      <c r="B1005" s="293"/>
      <c r="C1005" s="633"/>
      <c r="D1005" s="633"/>
      <c r="E1005" s="633"/>
      <c r="F1005" s="633"/>
      <c r="G1005" s="633"/>
      <c r="H1005" s="294"/>
      <c r="I1005" s="169"/>
      <c r="J1005" s="167"/>
      <c r="K1005" s="169"/>
      <c r="L1005" s="167"/>
      <c r="M1005" s="169"/>
      <c r="N1005" s="167"/>
      <c r="O1005" s="169"/>
    </row>
    <row r="1006" spans="2:15" s="453" customFormat="1" ht="12.75" customHeight="1" x14ac:dyDescent="0.2">
      <c r="B1006" s="293"/>
      <c r="C1006" s="606" t="s">
        <v>477</v>
      </c>
      <c r="D1006" s="606"/>
      <c r="E1006" s="606"/>
      <c r="F1006" s="606"/>
      <c r="G1006" s="606"/>
      <c r="H1006" s="296"/>
      <c r="I1006" s="168" t="s">
        <v>211</v>
      </c>
      <c r="J1006" s="166" t="s">
        <v>211</v>
      </c>
      <c r="K1006" s="168" t="s">
        <v>211</v>
      </c>
      <c r="L1006" s="166" t="s">
        <v>211</v>
      </c>
      <c r="M1006" s="168" t="s">
        <v>211</v>
      </c>
      <c r="N1006" s="166" t="s">
        <v>211</v>
      </c>
      <c r="O1006" s="168" t="s">
        <v>211</v>
      </c>
    </row>
    <row r="1007" spans="2:15" s="453" customFormat="1" ht="14" x14ac:dyDescent="0.2">
      <c r="B1007" s="293"/>
      <c r="C1007" s="606"/>
      <c r="D1007" s="606"/>
      <c r="E1007" s="606"/>
      <c r="F1007" s="606"/>
      <c r="G1007" s="606"/>
      <c r="H1007" s="294"/>
      <c r="I1007" s="169"/>
      <c r="J1007" s="167"/>
      <c r="K1007" s="169"/>
      <c r="L1007" s="167"/>
      <c r="M1007" s="169"/>
      <c r="N1007" s="167"/>
      <c r="O1007" s="169"/>
    </row>
    <row r="1008" spans="2:15" s="453" customFormat="1" ht="14" x14ac:dyDescent="0.2">
      <c r="B1008" s="293"/>
      <c r="C1008" s="606" t="s">
        <v>478</v>
      </c>
      <c r="D1008" s="606"/>
      <c r="E1008" s="606"/>
      <c r="F1008" s="606"/>
      <c r="G1008" s="606"/>
      <c r="H1008" s="296"/>
      <c r="I1008" s="168" t="s">
        <v>211</v>
      </c>
      <c r="J1008" s="166" t="s">
        <v>211</v>
      </c>
      <c r="K1008" s="168" t="s">
        <v>211</v>
      </c>
      <c r="L1008" s="166" t="s">
        <v>211</v>
      </c>
      <c r="M1008" s="168" t="s">
        <v>211</v>
      </c>
      <c r="N1008" s="166" t="s">
        <v>211</v>
      </c>
      <c r="O1008" s="168" t="s">
        <v>211</v>
      </c>
    </row>
    <row r="1009" spans="2:15" s="453" customFormat="1" ht="14" x14ac:dyDescent="0.2">
      <c r="B1009" s="293"/>
      <c r="C1009" s="606"/>
      <c r="D1009" s="606"/>
      <c r="E1009" s="606"/>
      <c r="F1009" s="606"/>
      <c r="G1009" s="606"/>
      <c r="H1009" s="294"/>
      <c r="I1009" s="169"/>
      <c r="J1009" s="167"/>
      <c r="K1009" s="169"/>
      <c r="L1009" s="167"/>
      <c r="M1009" s="169"/>
      <c r="N1009" s="167"/>
      <c r="O1009" s="169"/>
    </row>
    <row r="1010" spans="2:15" s="453" customFormat="1" ht="14" x14ac:dyDescent="0.2">
      <c r="B1010" s="293"/>
      <c r="C1010" s="606"/>
      <c r="D1010" s="606"/>
      <c r="E1010" s="606"/>
      <c r="F1010" s="606"/>
      <c r="G1010" s="606"/>
      <c r="H1010" s="294"/>
      <c r="I1010" s="169"/>
      <c r="J1010" s="167"/>
      <c r="K1010" s="169"/>
      <c r="L1010" s="167"/>
      <c r="M1010" s="169"/>
      <c r="N1010" s="167"/>
      <c r="O1010" s="169"/>
    </row>
    <row r="1011" spans="2:15" s="453" customFormat="1" ht="14" x14ac:dyDescent="0.2">
      <c r="B1011" s="293"/>
      <c r="C1011" s="569" t="s">
        <v>479</v>
      </c>
      <c r="D1011" s="569"/>
      <c r="E1011" s="569"/>
      <c r="F1011" s="569"/>
      <c r="G1011" s="569"/>
      <c r="H1011" s="296"/>
      <c r="I1011" s="168" t="s">
        <v>211</v>
      </c>
      <c r="J1011" s="166" t="s">
        <v>211</v>
      </c>
      <c r="K1011" s="168" t="s">
        <v>211</v>
      </c>
      <c r="L1011" s="166" t="s">
        <v>211</v>
      </c>
      <c r="M1011" s="168" t="s">
        <v>211</v>
      </c>
      <c r="N1011" s="166" t="s">
        <v>211</v>
      </c>
      <c r="O1011" s="168" t="s">
        <v>211</v>
      </c>
    </row>
    <row r="1012" spans="2:15" s="453" customFormat="1" ht="14" x14ac:dyDescent="0.2">
      <c r="B1012" s="308" t="s">
        <v>333</v>
      </c>
      <c r="C1012" s="628" t="s">
        <v>480</v>
      </c>
      <c r="D1012" s="628"/>
      <c r="E1012" s="628"/>
      <c r="F1012" s="628"/>
      <c r="G1012" s="628"/>
      <c r="H1012" s="294"/>
      <c r="I1012" s="169"/>
      <c r="J1012" s="167"/>
      <c r="K1012" s="169"/>
      <c r="L1012" s="167"/>
      <c r="M1012" s="169"/>
      <c r="N1012" s="167"/>
      <c r="O1012" s="169"/>
    </row>
    <row r="1013" spans="2:15" s="453" customFormat="1" ht="14" x14ac:dyDescent="0.2">
      <c r="B1013" s="308"/>
      <c r="C1013" s="628"/>
      <c r="D1013" s="628"/>
      <c r="E1013" s="628"/>
      <c r="F1013" s="628"/>
      <c r="G1013" s="628"/>
      <c r="H1013" s="294"/>
      <c r="I1013" s="169"/>
      <c r="J1013" s="167"/>
      <c r="K1013" s="169"/>
      <c r="L1013" s="167"/>
      <c r="M1013" s="169"/>
      <c r="N1013" s="167"/>
      <c r="O1013" s="169"/>
    </row>
    <row r="1014" spans="2:15" s="453" customFormat="1" ht="14" x14ac:dyDescent="0.2">
      <c r="B1014" s="309"/>
      <c r="C1014" s="310"/>
      <c r="F1014" s="629" t="s">
        <v>481</v>
      </c>
      <c r="G1014" s="629"/>
      <c r="H1014" s="630"/>
      <c r="I1014" s="169"/>
      <c r="J1014" s="167"/>
      <c r="K1014" s="169"/>
      <c r="L1014" s="167"/>
      <c r="M1014" s="169"/>
      <c r="N1014" s="167"/>
      <c r="O1014" s="169"/>
    </row>
    <row r="1015" spans="2:15" s="453" customFormat="1" ht="14" x14ac:dyDescent="0.2">
      <c r="B1015" s="309"/>
      <c r="C1015" s="310"/>
      <c r="F1015" s="631" t="s">
        <v>482</v>
      </c>
      <c r="G1015" s="631"/>
      <c r="H1015" s="632"/>
      <c r="I1015" s="169"/>
      <c r="J1015" s="167"/>
      <c r="K1015" s="169"/>
      <c r="L1015" s="167"/>
      <c r="M1015" s="169"/>
      <c r="N1015" s="167"/>
      <c r="O1015" s="169"/>
    </row>
    <row r="1016" spans="2:15" s="453" customFormat="1" ht="12.75" customHeight="1" x14ac:dyDescent="0.2">
      <c r="B1016" s="311">
        <v>3</v>
      </c>
      <c r="C1016" s="568" t="s">
        <v>467</v>
      </c>
      <c r="D1016" s="568"/>
      <c r="E1016" s="568"/>
      <c r="F1016" s="568"/>
      <c r="G1016" s="568"/>
      <c r="H1016" s="292"/>
      <c r="I1016" s="168" t="s">
        <v>211</v>
      </c>
      <c r="J1016" s="166" t="s">
        <v>211</v>
      </c>
      <c r="K1016" s="168" t="s">
        <v>211</v>
      </c>
      <c r="L1016" s="166" t="s">
        <v>211</v>
      </c>
      <c r="M1016" s="168" t="s">
        <v>211</v>
      </c>
      <c r="N1016" s="166" t="s">
        <v>211</v>
      </c>
      <c r="O1016" s="168" t="s">
        <v>211</v>
      </c>
    </row>
    <row r="1017" spans="2:15" s="453" customFormat="1" ht="14" x14ac:dyDescent="0.2">
      <c r="B1017" s="309"/>
      <c r="C1017" s="606" t="s">
        <v>483</v>
      </c>
      <c r="D1017" s="606"/>
      <c r="E1017" s="606"/>
      <c r="F1017" s="606"/>
      <c r="G1017" s="606"/>
      <c r="H1017" s="296"/>
      <c r="I1017" s="168" t="s">
        <v>211</v>
      </c>
      <c r="J1017" s="166" t="s">
        <v>211</v>
      </c>
      <c r="K1017" s="168" t="s">
        <v>211</v>
      </c>
      <c r="L1017" s="166" t="s">
        <v>211</v>
      </c>
      <c r="M1017" s="168" t="s">
        <v>211</v>
      </c>
      <c r="N1017" s="166" t="s">
        <v>211</v>
      </c>
      <c r="O1017" s="168" t="s">
        <v>211</v>
      </c>
    </row>
    <row r="1018" spans="2:15" s="453" customFormat="1" ht="14" x14ac:dyDescent="0.2">
      <c r="B1018" s="309"/>
      <c r="C1018" s="606"/>
      <c r="D1018" s="606"/>
      <c r="E1018" s="606"/>
      <c r="F1018" s="606"/>
      <c r="G1018" s="606"/>
      <c r="H1018" s="294"/>
      <c r="I1018" s="169"/>
      <c r="J1018" s="167"/>
      <c r="K1018" s="169"/>
      <c r="L1018" s="167"/>
      <c r="M1018" s="169"/>
      <c r="N1018" s="167"/>
      <c r="O1018" s="169"/>
    </row>
    <row r="1019" spans="2:15" s="453" customFormat="1" ht="14" x14ac:dyDescent="0.2">
      <c r="B1019" s="309"/>
      <c r="C1019" s="310"/>
      <c r="F1019" s="629" t="s">
        <v>484</v>
      </c>
      <c r="G1019" s="629"/>
      <c r="H1019" s="630"/>
      <c r="I1019" s="169"/>
      <c r="J1019" s="167"/>
      <c r="K1019" s="169"/>
      <c r="L1019" s="167"/>
      <c r="M1019" s="169"/>
      <c r="N1019" s="167"/>
      <c r="O1019" s="169"/>
    </row>
    <row r="1020" spans="2:15" s="453" customFormat="1" ht="12.75" customHeight="1" x14ac:dyDescent="0.2">
      <c r="B1020" s="309"/>
      <c r="C1020" s="606" t="s">
        <v>485</v>
      </c>
      <c r="D1020" s="606"/>
      <c r="E1020" s="606"/>
      <c r="F1020" s="606"/>
      <c r="G1020" s="606"/>
      <c r="H1020" s="296"/>
      <c r="I1020" s="168" t="s">
        <v>211</v>
      </c>
      <c r="J1020" s="166" t="s">
        <v>211</v>
      </c>
      <c r="K1020" s="168" t="s">
        <v>211</v>
      </c>
      <c r="L1020" s="166" t="s">
        <v>211</v>
      </c>
      <c r="M1020" s="168" t="s">
        <v>211</v>
      </c>
      <c r="N1020" s="166" t="s">
        <v>211</v>
      </c>
      <c r="O1020" s="168" t="s">
        <v>211</v>
      </c>
    </row>
    <row r="1021" spans="2:15" s="453" customFormat="1" ht="14" x14ac:dyDescent="0.2">
      <c r="B1021" s="309"/>
      <c r="C1021" s="606"/>
      <c r="D1021" s="606"/>
      <c r="E1021" s="606"/>
      <c r="F1021" s="606"/>
      <c r="G1021" s="606"/>
      <c r="H1021" s="294"/>
      <c r="I1021" s="169"/>
      <c r="J1021" s="167"/>
      <c r="K1021" s="169"/>
      <c r="L1021" s="167"/>
      <c r="M1021" s="169"/>
      <c r="N1021" s="167"/>
      <c r="O1021" s="169"/>
    </row>
    <row r="1022" spans="2:15" s="453" customFormat="1" ht="14" x14ac:dyDescent="0.2">
      <c r="B1022" s="309"/>
      <c r="C1022" s="606"/>
      <c r="D1022" s="606"/>
      <c r="E1022" s="606"/>
      <c r="F1022" s="606"/>
      <c r="G1022" s="606"/>
      <c r="H1022" s="294"/>
      <c r="I1022" s="169"/>
      <c r="J1022" s="167"/>
      <c r="K1022" s="169"/>
      <c r="L1022" s="167"/>
      <c r="M1022" s="169"/>
      <c r="N1022" s="167"/>
      <c r="O1022" s="169"/>
    </row>
    <row r="1023" spans="2:15" s="453" customFormat="1" ht="14" x14ac:dyDescent="0.2">
      <c r="B1023" s="309"/>
      <c r="C1023" s="606"/>
      <c r="D1023" s="606"/>
      <c r="E1023" s="606"/>
      <c r="F1023" s="606"/>
      <c r="G1023" s="606"/>
      <c r="H1023" s="294"/>
      <c r="I1023" s="169"/>
      <c r="J1023" s="167"/>
      <c r="K1023" s="169"/>
      <c r="L1023" s="167"/>
      <c r="M1023" s="169"/>
      <c r="N1023" s="167"/>
      <c r="O1023" s="169"/>
    </row>
    <row r="1024" spans="2:15" s="453" customFormat="1" ht="14" x14ac:dyDescent="0.2">
      <c r="B1024" s="309"/>
      <c r="C1024" s="606" t="s">
        <v>486</v>
      </c>
      <c r="D1024" s="606"/>
      <c r="E1024" s="606"/>
      <c r="F1024" s="606"/>
      <c r="G1024" s="606"/>
      <c r="H1024" s="296"/>
      <c r="I1024" s="168" t="s">
        <v>211</v>
      </c>
      <c r="J1024" s="166" t="s">
        <v>211</v>
      </c>
      <c r="K1024" s="168" t="s">
        <v>211</v>
      </c>
      <c r="L1024" s="166" t="s">
        <v>211</v>
      </c>
      <c r="M1024" s="168" t="s">
        <v>211</v>
      </c>
      <c r="N1024" s="166" t="s">
        <v>211</v>
      </c>
      <c r="O1024" s="168" t="s">
        <v>211</v>
      </c>
    </row>
    <row r="1025" spans="2:15" s="453" customFormat="1" ht="14" x14ac:dyDescent="0.2">
      <c r="B1025" s="309"/>
      <c r="C1025" s="606"/>
      <c r="D1025" s="606"/>
      <c r="E1025" s="606"/>
      <c r="F1025" s="606"/>
      <c r="G1025" s="606"/>
      <c r="H1025" s="294"/>
      <c r="I1025" s="169"/>
      <c r="J1025" s="167"/>
      <c r="K1025" s="169"/>
      <c r="L1025" s="167"/>
      <c r="M1025" s="169"/>
      <c r="N1025" s="167"/>
      <c r="O1025" s="169"/>
    </row>
    <row r="1026" spans="2:15" s="453" customFormat="1" ht="14" x14ac:dyDescent="0.2">
      <c r="B1026" s="309"/>
      <c r="C1026" s="606"/>
      <c r="D1026" s="606"/>
      <c r="E1026" s="606"/>
      <c r="F1026" s="606"/>
      <c r="G1026" s="606"/>
      <c r="H1026" s="294"/>
      <c r="I1026" s="169"/>
      <c r="J1026" s="167"/>
      <c r="K1026" s="169"/>
      <c r="L1026" s="167"/>
      <c r="M1026" s="169"/>
      <c r="N1026" s="167"/>
      <c r="O1026" s="169"/>
    </row>
    <row r="1027" spans="2:15" s="453" customFormat="1" ht="14" x14ac:dyDescent="0.2">
      <c r="B1027" s="309"/>
      <c r="C1027" s="606"/>
      <c r="D1027" s="606"/>
      <c r="E1027" s="606"/>
      <c r="F1027" s="606"/>
      <c r="G1027" s="606"/>
      <c r="H1027" s="294"/>
      <c r="I1027" s="169"/>
      <c r="J1027" s="167"/>
      <c r="K1027" s="169"/>
      <c r="L1027" s="167"/>
      <c r="M1027" s="169"/>
      <c r="N1027" s="167"/>
      <c r="O1027" s="169"/>
    </row>
    <row r="1028" spans="2:15" s="453" customFormat="1" ht="12.75" customHeight="1" x14ac:dyDescent="0.2">
      <c r="B1028" s="309"/>
      <c r="C1028" s="606" t="s">
        <v>487</v>
      </c>
      <c r="D1028" s="606"/>
      <c r="E1028" s="606"/>
      <c r="F1028" s="606"/>
      <c r="G1028" s="606"/>
      <c r="H1028" s="296"/>
      <c r="I1028" s="168" t="s">
        <v>211</v>
      </c>
      <c r="J1028" s="166" t="s">
        <v>211</v>
      </c>
      <c r="K1028" s="168" t="s">
        <v>211</v>
      </c>
      <c r="L1028" s="166" t="s">
        <v>211</v>
      </c>
      <c r="M1028" s="168" t="s">
        <v>211</v>
      </c>
      <c r="N1028" s="166" t="s">
        <v>211</v>
      </c>
      <c r="O1028" s="168" t="s">
        <v>211</v>
      </c>
    </row>
    <row r="1029" spans="2:15" s="453" customFormat="1" ht="14" x14ac:dyDescent="0.2">
      <c r="B1029" s="309"/>
      <c r="C1029" s="606"/>
      <c r="D1029" s="606"/>
      <c r="E1029" s="606"/>
      <c r="F1029" s="606"/>
      <c r="G1029" s="606"/>
      <c r="H1029" s="294"/>
      <c r="I1029" s="169"/>
      <c r="J1029" s="167"/>
      <c r="K1029" s="169"/>
      <c r="L1029" s="167"/>
      <c r="M1029" s="169"/>
      <c r="N1029" s="167"/>
      <c r="O1029" s="169"/>
    </row>
    <row r="1030" spans="2:15" s="453" customFormat="1" ht="14" x14ac:dyDescent="0.2">
      <c r="B1030" s="309"/>
      <c r="C1030" s="606"/>
      <c r="D1030" s="606"/>
      <c r="E1030" s="606"/>
      <c r="F1030" s="606"/>
      <c r="G1030" s="606"/>
      <c r="H1030" s="294"/>
      <c r="I1030" s="169"/>
      <c r="J1030" s="167"/>
      <c r="K1030" s="169"/>
      <c r="L1030" s="167"/>
      <c r="M1030" s="169"/>
      <c r="N1030" s="167"/>
      <c r="O1030" s="169"/>
    </row>
    <row r="1031" spans="2:15" s="453" customFormat="1" ht="14" x14ac:dyDescent="0.2">
      <c r="B1031" s="309"/>
      <c r="C1031" s="569" t="s">
        <v>488</v>
      </c>
      <c r="D1031" s="569"/>
      <c r="E1031" s="569"/>
      <c r="F1031" s="569"/>
      <c r="G1031" s="569"/>
      <c r="H1031" s="296"/>
      <c r="I1031" s="168" t="s">
        <v>211</v>
      </c>
      <c r="J1031" s="166" t="s">
        <v>211</v>
      </c>
      <c r="K1031" s="168" t="s">
        <v>211</v>
      </c>
      <c r="L1031" s="166" t="s">
        <v>211</v>
      </c>
      <c r="M1031" s="168" t="s">
        <v>211</v>
      </c>
      <c r="N1031" s="166" t="s">
        <v>211</v>
      </c>
      <c r="O1031" s="168" t="s">
        <v>211</v>
      </c>
    </row>
    <row r="1032" spans="2:15" s="453" customFormat="1" ht="14" x14ac:dyDescent="0.2">
      <c r="B1032" s="309"/>
      <c r="C1032" s="310"/>
      <c r="F1032" s="607" t="s">
        <v>489</v>
      </c>
      <c r="G1032" s="607"/>
      <c r="H1032" s="608"/>
      <c r="I1032" s="169"/>
      <c r="J1032" s="167"/>
      <c r="K1032" s="169"/>
      <c r="L1032" s="167"/>
      <c r="M1032" s="169"/>
      <c r="N1032" s="167"/>
      <c r="O1032" s="169"/>
    </row>
    <row r="1033" spans="2:15" s="453" customFormat="1" ht="12.75" customHeight="1" x14ac:dyDescent="0.2">
      <c r="B1033" s="309"/>
      <c r="C1033" s="606" t="s">
        <v>490</v>
      </c>
      <c r="D1033" s="606"/>
      <c r="E1033" s="606"/>
      <c r="F1033" s="606"/>
      <c r="G1033" s="606"/>
      <c r="H1033" s="296"/>
      <c r="I1033" s="168" t="s">
        <v>211</v>
      </c>
      <c r="J1033" s="166" t="s">
        <v>211</v>
      </c>
      <c r="K1033" s="168" t="s">
        <v>211</v>
      </c>
      <c r="L1033" s="166" t="s">
        <v>211</v>
      </c>
      <c r="M1033" s="168" t="s">
        <v>211</v>
      </c>
      <c r="N1033" s="166" t="s">
        <v>211</v>
      </c>
      <c r="O1033" s="168" t="s">
        <v>211</v>
      </c>
    </row>
    <row r="1034" spans="2:15" s="453" customFormat="1" ht="14" x14ac:dyDescent="0.2">
      <c r="B1034" s="309"/>
      <c r="C1034" s="606"/>
      <c r="D1034" s="606"/>
      <c r="E1034" s="606"/>
      <c r="F1034" s="606"/>
      <c r="G1034" s="606"/>
      <c r="H1034" s="294"/>
      <c r="I1034" s="169"/>
      <c r="J1034" s="167"/>
      <c r="K1034" s="169"/>
      <c r="L1034" s="167"/>
      <c r="M1034" s="169"/>
      <c r="N1034" s="167"/>
      <c r="O1034" s="169"/>
    </row>
    <row r="1035" spans="2:15" s="453" customFormat="1" ht="14" x14ac:dyDescent="0.2">
      <c r="B1035" s="309"/>
      <c r="C1035" s="606"/>
      <c r="D1035" s="606"/>
      <c r="E1035" s="606"/>
      <c r="F1035" s="606"/>
      <c r="G1035" s="606"/>
      <c r="H1035" s="294"/>
      <c r="I1035" s="169"/>
      <c r="J1035" s="167"/>
      <c r="K1035" s="169"/>
      <c r="L1035" s="167"/>
      <c r="M1035" s="169"/>
      <c r="N1035" s="167"/>
      <c r="O1035" s="169"/>
    </row>
    <row r="1036" spans="2:15" s="453" customFormat="1" ht="14" x14ac:dyDescent="0.2">
      <c r="B1036" s="309"/>
      <c r="C1036" s="606"/>
      <c r="D1036" s="606"/>
      <c r="E1036" s="606"/>
      <c r="F1036" s="606"/>
      <c r="G1036" s="606"/>
      <c r="H1036" s="294"/>
      <c r="I1036" s="169"/>
      <c r="J1036" s="167"/>
      <c r="K1036" s="169"/>
      <c r="L1036" s="167"/>
      <c r="M1036" s="169"/>
      <c r="N1036" s="167"/>
      <c r="O1036" s="169"/>
    </row>
    <row r="1037" spans="2:15" s="453" customFormat="1" ht="12.75" customHeight="1" x14ac:dyDescent="0.2">
      <c r="B1037" s="309"/>
      <c r="C1037" s="606" t="s">
        <v>491</v>
      </c>
      <c r="D1037" s="606"/>
      <c r="E1037" s="606"/>
      <c r="F1037" s="606"/>
      <c r="G1037" s="606"/>
      <c r="H1037" s="296"/>
      <c r="I1037" s="168" t="s">
        <v>211</v>
      </c>
      <c r="J1037" s="166" t="s">
        <v>211</v>
      </c>
      <c r="K1037" s="168" t="s">
        <v>211</v>
      </c>
      <c r="L1037" s="166" t="s">
        <v>211</v>
      </c>
      <c r="M1037" s="168" t="s">
        <v>211</v>
      </c>
      <c r="N1037" s="166" t="s">
        <v>211</v>
      </c>
      <c r="O1037" s="168" t="s">
        <v>211</v>
      </c>
    </row>
    <row r="1038" spans="2:15" s="453" customFormat="1" ht="14" x14ac:dyDescent="0.2">
      <c r="B1038" s="309"/>
      <c r="C1038" s="606"/>
      <c r="D1038" s="606"/>
      <c r="E1038" s="606"/>
      <c r="F1038" s="606"/>
      <c r="G1038" s="606"/>
      <c r="H1038" s="294"/>
      <c r="I1038" s="169"/>
      <c r="J1038" s="167"/>
      <c r="K1038" s="169"/>
      <c r="L1038" s="167"/>
      <c r="M1038" s="169"/>
      <c r="N1038" s="167"/>
      <c r="O1038" s="169"/>
    </row>
    <row r="1039" spans="2:15" s="453" customFormat="1" ht="14" x14ac:dyDescent="0.2">
      <c r="B1039" s="309"/>
      <c r="C1039" s="606"/>
      <c r="D1039" s="606"/>
      <c r="E1039" s="606"/>
      <c r="F1039" s="606"/>
      <c r="G1039" s="606"/>
      <c r="H1039" s="294"/>
      <c r="I1039" s="169"/>
      <c r="J1039" s="167"/>
      <c r="K1039" s="169"/>
      <c r="L1039" s="167"/>
      <c r="M1039" s="169"/>
      <c r="N1039" s="167"/>
      <c r="O1039" s="169"/>
    </row>
    <row r="1040" spans="2:15" s="453" customFormat="1" ht="12.75" customHeight="1" x14ac:dyDescent="0.2">
      <c r="B1040" s="309"/>
      <c r="C1040" s="606" t="s">
        <v>492</v>
      </c>
      <c r="D1040" s="606"/>
      <c r="E1040" s="606"/>
      <c r="F1040" s="606"/>
      <c r="G1040" s="606"/>
      <c r="H1040" s="296"/>
      <c r="I1040" s="168" t="s">
        <v>211</v>
      </c>
      <c r="J1040" s="166" t="s">
        <v>211</v>
      </c>
      <c r="K1040" s="168" t="s">
        <v>211</v>
      </c>
      <c r="L1040" s="166" t="s">
        <v>211</v>
      </c>
      <c r="M1040" s="168" t="s">
        <v>211</v>
      </c>
      <c r="N1040" s="166" t="s">
        <v>211</v>
      </c>
      <c r="O1040" s="168" t="s">
        <v>211</v>
      </c>
    </row>
    <row r="1041" spans="2:15" s="453" customFormat="1" ht="14" x14ac:dyDescent="0.2">
      <c r="B1041" s="309"/>
      <c r="C1041" s="606"/>
      <c r="D1041" s="606"/>
      <c r="E1041" s="606"/>
      <c r="F1041" s="606"/>
      <c r="G1041" s="606"/>
      <c r="H1041" s="294"/>
      <c r="I1041" s="169"/>
      <c r="J1041" s="167"/>
      <c r="K1041" s="169"/>
      <c r="L1041" s="167"/>
      <c r="M1041" s="169"/>
      <c r="N1041" s="167"/>
      <c r="O1041" s="169"/>
    </row>
    <row r="1042" spans="2:15" s="453" customFormat="1" ht="12.75" customHeight="1" x14ac:dyDescent="0.2">
      <c r="B1042" s="309"/>
      <c r="C1042" s="606" t="s">
        <v>493</v>
      </c>
      <c r="D1042" s="606"/>
      <c r="E1042" s="606"/>
      <c r="F1042" s="606"/>
      <c r="G1042" s="606"/>
      <c r="H1042" s="296"/>
      <c r="I1042" s="168" t="s">
        <v>211</v>
      </c>
      <c r="J1042" s="166" t="s">
        <v>211</v>
      </c>
      <c r="K1042" s="168" t="s">
        <v>211</v>
      </c>
      <c r="L1042" s="166" t="s">
        <v>211</v>
      </c>
      <c r="M1042" s="168" t="s">
        <v>211</v>
      </c>
      <c r="N1042" s="166" t="s">
        <v>211</v>
      </c>
      <c r="O1042" s="168" t="s">
        <v>211</v>
      </c>
    </row>
    <row r="1043" spans="2:15" s="453" customFormat="1" ht="14" x14ac:dyDescent="0.2">
      <c r="B1043" s="309"/>
      <c r="C1043" s="606"/>
      <c r="D1043" s="606"/>
      <c r="E1043" s="606"/>
      <c r="F1043" s="606"/>
      <c r="G1043" s="606"/>
      <c r="H1043" s="294"/>
      <c r="I1043" s="169"/>
      <c r="J1043" s="167"/>
      <c r="K1043" s="169"/>
      <c r="L1043" s="167"/>
      <c r="M1043" s="169"/>
      <c r="N1043" s="167"/>
      <c r="O1043" s="169"/>
    </row>
    <row r="1044" spans="2:15" s="453" customFormat="1" ht="14" x14ac:dyDescent="0.2">
      <c r="B1044" s="309"/>
      <c r="C1044" s="569" t="s">
        <v>494</v>
      </c>
      <c r="D1044" s="569"/>
      <c r="E1044" s="569"/>
      <c r="F1044" s="569"/>
      <c r="G1044" s="569"/>
      <c r="H1044" s="296"/>
      <c r="I1044" s="168" t="s">
        <v>211</v>
      </c>
      <c r="J1044" s="166" t="s">
        <v>211</v>
      </c>
      <c r="K1044" s="168" t="s">
        <v>211</v>
      </c>
      <c r="L1044" s="166" t="s">
        <v>211</v>
      </c>
      <c r="M1044" s="168" t="s">
        <v>211</v>
      </c>
      <c r="N1044" s="166" t="s">
        <v>211</v>
      </c>
      <c r="O1044" s="168" t="s">
        <v>211</v>
      </c>
    </row>
    <row r="1045" spans="2:15" s="453" customFormat="1" ht="14" x14ac:dyDescent="0.2">
      <c r="B1045" s="312"/>
      <c r="C1045" s="313"/>
      <c r="F1045" s="607" t="s">
        <v>506</v>
      </c>
      <c r="G1045" s="607"/>
      <c r="H1045" s="608"/>
      <c r="I1045" s="174"/>
      <c r="J1045" s="167"/>
      <c r="K1045" s="169"/>
      <c r="L1045" s="167"/>
      <c r="M1045" s="169"/>
      <c r="N1045" s="167"/>
      <c r="O1045" s="169"/>
    </row>
    <row r="1046" spans="2:15" s="453" customFormat="1" ht="14" x14ac:dyDescent="0.2">
      <c r="B1046" s="312"/>
      <c r="C1046" s="313"/>
      <c r="F1046" s="631" t="s">
        <v>495</v>
      </c>
      <c r="G1046" s="631"/>
      <c r="H1046" s="632"/>
      <c r="I1046" s="169"/>
      <c r="J1046" s="167"/>
      <c r="K1046" s="169"/>
      <c r="L1046" s="167"/>
      <c r="M1046" s="169"/>
      <c r="N1046" s="167"/>
      <c r="O1046" s="169"/>
    </row>
    <row r="1047" spans="2:15" s="453" customFormat="1" ht="14" x14ac:dyDescent="0.2">
      <c r="B1047" s="314"/>
      <c r="C1047" s="315"/>
      <c r="D1047" s="315"/>
      <c r="E1047" s="303"/>
      <c r="F1047" s="303"/>
      <c r="G1047" s="303"/>
      <c r="H1047" s="298"/>
      <c r="I1047" s="169"/>
      <c r="J1047" s="167"/>
      <c r="K1047" s="169"/>
      <c r="L1047" s="167"/>
      <c r="M1047" s="169"/>
      <c r="N1047" s="167"/>
      <c r="O1047" s="169"/>
    </row>
    <row r="1048" spans="2:15" s="453" customFormat="1" ht="12.75" customHeight="1" x14ac:dyDescent="0.2">
      <c r="B1048" s="311">
        <v>4</v>
      </c>
      <c r="C1048" s="568" t="s">
        <v>467</v>
      </c>
      <c r="D1048" s="568"/>
      <c r="E1048" s="568"/>
      <c r="F1048" s="568"/>
      <c r="G1048" s="568"/>
      <c r="H1048" s="292"/>
      <c r="I1048" s="168" t="s">
        <v>211</v>
      </c>
      <c r="J1048" s="166" t="s">
        <v>211</v>
      </c>
      <c r="K1048" s="168" t="s">
        <v>211</v>
      </c>
      <c r="L1048" s="166" t="s">
        <v>211</v>
      </c>
      <c r="M1048" s="168" t="s">
        <v>211</v>
      </c>
      <c r="N1048" s="166" t="s">
        <v>211</v>
      </c>
      <c r="O1048" s="168" t="s">
        <v>211</v>
      </c>
    </row>
    <row r="1049" spans="2:15" s="453" customFormat="1" ht="14" x14ac:dyDescent="0.2">
      <c r="B1049" s="309"/>
      <c r="C1049" s="606" t="s">
        <v>496</v>
      </c>
      <c r="D1049" s="606"/>
      <c r="E1049" s="606"/>
      <c r="F1049" s="606"/>
      <c r="G1049" s="606"/>
      <c r="H1049" s="296"/>
      <c r="I1049" s="168" t="s">
        <v>211</v>
      </c>
      <c r="J1049" s="166" t="s">
        <v>211</v>
      </c>
      <c r="K1049" s="168" t="s">
        <v>211</v>
      </c>
      <c r="L1049" s="166" t="s">
        <v>211</v>
      </c>
      <c r="M1049" s="168" t="s">
        <v>211</v>
      </c>
      <c r="N1049" s="166" t="s">
        <v>211</v>
      </c>
      <c r="O1049" s="168" t="s">
        <v>211</v>
      </c>
    </row>
    <row r="1050" spans="2:15" s="453" customFormat="1" ht="14" x14ac:dyDescent="0.2">
      <c r="B1050" s="309"/>
      <c r="C1050" s="606"/>
      <c r="D1050" s="606"/>
      <c r="E1050" s="606"/>
      <c r="F1050" s="606"/>
      <c r="G1050" s="606"/>
      <c r="H1050" s="294"/>
      <c r="I1050" s="169"/>
      <c r="J1050" s="167"/>
      <c r="K1050" s="169"/>
      <c r="L1050" s="167"/>
      <c r="M1050" s="169"/>
      <c r="N1050" s="167"/>
      <c r="O1050" s="169"/>
    </row>
    <row r="1051" spans="2:15" s="453" customFormat="1" ht="14" x14ac:dyDescent="0.2">
      <c r="B1051" s="309"/>
      <c r="C1051" s="310"/>
      <c r="F1051" s="629" t="s">
        <v>497</v>
      </c>
      <c r="G1051" s="629"/>
      <c r="H1051" s="630"/>
      <c r="I1051" s="169"/>
      <c r="J1051" s="167"/>
      <c r="K1051" s="169"/>
      <c r="L1051" s="167"/>
      <c r="M1051" s="169"/>
      <c r="N1051" s="167"/>
      <c r="O1051" s="169"/>
    </row>
    <row r="1052" spans="2:15" s="453" customFormat="1" ht="12.75" customHeight="1" x14ac:dyDescent="0.2">
      <c r="B1052" s="309"/>
      <c r="C1052" s="606" t="s">
        <v>498</v>
      </c>
      <c r="D1052" s="606"/>
      <c r="E1052" s="606"/>
      <c r="F1052" s="606"/>
      <c r="G1052" s="606"/>
      <c r="H1052" s="296"/>
      <c r="I1052" s="168" t="s">
        <v>211</v>
      </c>
      <c r="J1052" s="166" t="s">
        <v>211</v>
      </c>
      <c r="K1052" s="168" t="s">
        <v>211</v>
      </c>
      <c r="L1052" s="166" t="s">
        <v>211</v>
      </c>
      <c r="M1052" s="168" t="s">
        <v>211</v>
      </c>
      <c r="N1052" s="166" t="s">
        <v>211</v>
      </c>
      <c r="O1052" s="168" t="s">
        <v>211</v>
      </c>
    </row>
    <row r="1053" spans="2:15" s="453" customFormat="1" ht="14" x14ac:dyDescent="0.2">
      <c r="B1053" s="309"/>
      <c r="C1053" s="606"/>
      <c r="D1053" s="606"/>
      <c r="E1053" s="606"/>
      <c r="F1053" s="606"/>
      <c r="G1053" s="606"/>
      <c r="H1053" s="294"/>
      <c r="I1053" s="169"/>
      <c r="J1053" s="167"/>
      <c r="K1053" s="169"/>
      <c r="L1053" s="167"/>
      <c r="M1053" s="169"/>
      <c r="N1053" s="167"/>
      <c r="O1053" s="169"/>
    </row>
    <row r="1054" spans="2:15" s="453" customFormat="1" ht="14" x14ac:dyDescent="0.2">
      <c r="B1054" s="309"/>
      <c r="C1054" s="606"/>
      <c r="D1054" s="606"/>
      <c r="E1054" s="606"/>
      <c r="F1054" s="606"/>
      <c r="G1054" s="606"/>
      <c r="H1054" s="294"/>
      <c r="I1054" s="169"/>
      <c r="J1054" s="167"/>
      <c r="K1054" s="169"/>
      <c r="L1054" s="167"/>
      <c r="M1054" s="169"/>
      <c r="N1054" s="167"/>
      <c r="O1054" s="169"/>
    </row>
    <row r="1055" spans="2:15" s="453" customFormat="1" ht="14" x14ac:dyDescent="0.2">
      <c r="B1055" s="309"/>
      <c r="C1055" s="569" t="s">
        <v>499</v>
      </c>
      <c r="D1055" s="569"/>
      <c r="E1055" s="569"/>
      <c r="F1055" s="569"/>
      <c r="G1055" s="569"/>
      <c r="H1055" s="296"/>
      <c r="I1055" s="168" t="s">
        <v>211</v>
      </c>
      <c r="J1055" s="166" t="s">
        <v>211</v>
      </c>
      <c r="K1055" s="168" t="s">
        <v>211</v>
      </c>
      <c r="L1055" s="166" t="s">
        <v>211</v>
      </c>
      <c r="M1055" s="168" t="s">
        <v>211</v>
      </c>
      <c r="N1055" s="166" t="s">
        <v>211</v>
      </c>
      <c r="O1055" s="168" t="s">
        <v>211</v>
      </c>
    </row>
    <row r="1056" spans="2:15" s="453" customFormat="1" ht="14" x14ac:dyDescent="0.2">
      <c r="B1056" s="309"/>
      <c r="C1056" s="569" t="s">
        <v>473</v>
      </c>
      <c r="D1056" s="569"/>
      <c r="E1056" s="569"/>
      <c r="F1056" s="569"/>
      <c r="G1056" s="569"/>
      <c r="H1056" s="296"/>
      <c r="I1056" s="168" t="s">
        <v>211</v>
      </c>
      <c r="J1056" s="166" t="s">
        <v>211</v>
      </c>
      <c r="K1056" s="168" t="s">
        <v>211</v>
      </c>
      <c r="L1056" s="166" t="s">
        <v>211</v>
      </c>
      <c r="M1056" s="168" t="s">
        <v>211</v>
      </c>
      <c r="N1056" s="166" t="s">
        <v>211</v>
      </c>
      <c r="O1056" s="168" t="s">
        <v>211</v>
      </c>
    </row>
    <row r="1057" spans="2:15" s="453" customFormat="1" ht="14" x14ac:dyDescent="0.2">
      <c r="B1057" s="309"/>
      <c r="C1057" s="310"/>
      <c r="F1057" s="607" t="s">
        <v>500</v>
      </c>
      <c r="G1057" s="607"/>
      <c r="H1057" s="608"/>
      <c r="I1057" s="169"/>
      <c r="J1057" s="167"/>
      <c r="K1057" s="169"/>
      <c r="L1057" s="167"/>
      <c r="M1057" s="169"/>
      <c r="N1057" s="167"/>
      <c r="O1057" s="169"/>
    </row>
    <row r="1058" spans="2:15" s="453" customFormat="1" ht="12.75" customHeight="1" x14ac:dyDescent="0.2">
      <c r="B1058" s="309"/>
      <c r="C1058" s="606" t="s">
        <v>501</v>
      </c>
      <c r="D1058" s="606"/>
      <c r="E1058" s="606"/>
      <c r="F1058" s="606"/>
      <c r="G1058" s="606"/>
      <c r="H1058" s="296"/>
      <c r="I1058" s="168" t="s">
        <v>211</v>
      </c>
      <c r="J1058" s="166" t="s">
        <v>211</v>
      </c>
      <c r="K1058" s="168" t="s">
        <v>211</v>
      </c>
      <c r="L1058" s="166" t="s">
        <v>211</v>
      </c>
      <c r="M1058" s="168" t="s">
        <v>211</v>
      </c>
      <c r="N1058" s="166" t="s">
        <v>211</v>
      </c>
      <c r="O1058" s="168" t="s">
        <v>211</v>
      </c>
    </row>
    <row r="1059" spans="2:15" s="453" customFormat="1" ht="14" x14ac:dyDescent="0.2">
      <c r="B1059" s="309"/>
      <c r="C1059" s="606"/>
      <c r="D1059" s="606"/>
      <c r="E1059" s="606"/>
      <c r="F1059" s="606"/>
      <c r="G1059" s="606"/>
      <c r="H1059" s="294"/>
      <c r="I1059" s="169"/>
      <c r="J1059" s="167"/>
      <c r="K1059" s="169"/>
      <c r="L1059" s="167"/>
      <c r="M1059" s="169"/>
      <c r="N1059" s="167"/>
      <c r="O1059" s="169"/>
    </row>
    <row r="1060" spans="2:15" s="453" customFormat="1" ht="14" x14ac:dyDescent="0.2">
      <c r="B1060" s="309"/>
      <c r="C1060" s="606"/>
      <c r="D1060" s="606"/>
      <c r="E1060" s="606"/>
      <c r="F1060" s="606"/>
      <c r="G1060" s="606"/>
      <c r="H1060" s="294"/>
      <c r="I1060" s="169"/>
      <c r="J1060" s="167"/>
      <c r="K1060" s="169"/>
      <c r="L1060" s="167"/>
      <c r="M1060" s="169"/>
      <c r="N1060" s="167"/>
      <c r="O1060" s="169"/>
    </row>
    <row r="1061" spans="2:15" s="453" customFormat="1" ht="14" x14ac:dyDescent="0.2">
      <c r="B1061" s="309"/>
      <c r="C1061" s="606"/>
      <c r="D1061" s="606"/>
      <c r="E1061" s="606"/>
      <c r="F1061" s="606"/>
      <c r="G1061" s="606"/>
      <c r="H1061" s="294"/>
      <c r="I1061" s="169"/>
      <c r="J1061" s="167"/>
      <c r="K1061" s="169"/>
      <c r="L1061" s="167"/>
      <c r="M1061" s="169"/>
      <c r="N1061" s="167"/>
      <c r="O1061" s="169"/>
    </row>
    <row r="1062" spans="2:15" s="453" customFormat="1" ht="14" x14ac:dyDescent="0.2">
      <c r="B1062" s="309"/>
      <c r="C1062" s="606" t="s">
        <v>502</v>
      </c>
      <c r="D1062" s="606"/>
      <c r="E1062" s="606"/>
      <c r="F1062" s="606"/>
      <c r="G1062" s="606"/>
      <c r="H1062" s="296"/>
      <c r="I1062" s="168" t="s">
        <v>211</v>
      </c>
      <c r="J1062" s="166" t="s">
        <v>211</v>
      </c>
      <c r="K1062" s="168" t="s">
        <v>211</v>
      </c>
      <c r="L1062" s="166" t="s">
        <v>211</v>
      </c>
      <c r="M1062" s="168" t="s">
        <v>211</v>
      </c>
      <c r="N1062" s="166" t="s">
        <v>211</v>
      </c>
      <c r="O1062" s="168" t="s">
        <v>211</v>
      </c>
    </row>
    <row r="1063" spans="2:15" s="453" customFormat="1" ht="14" x14ac:dyDescent="0.2">
      <c r="B1063" s="309"/>
      <c r="C1063" s="606"/>
      <c r="D1063" s="606"/>
      <c r="E1063" s="606"/>
      <c r="F1063" s="606"/>
      <c r="G1063" s="606"/>
      <c r="H1063" s="294"/>
      <c r="I1063" s="169"/>
      <c r="J1063" s="167"/>
      <c r="K1063" s="169"/>
      <c r="L1063" s="167"/>
      <c r="M1063" s="169"/>
      <c r="N1063" s="167"/>
      <c r="O1063" s="169"/>
    </row>
    <row r="1064" spans="2:15" s="453" customFormat="1" ht="14" x14ac:dyDescent="0.2">
      <c r="B1064" s="309"/>
      <c r="C1064" s="569" t="s">
        <v>503</v>
      </c>
      <c r="D1064" s="569"/>
      <c r="E1064" s="569"/>
      <c r="F1064" s="569"/>
      <c r="G1064" s="569"/>
      <c r="H1064" s="296"/>
      <c r="I1064" s="168" t="s">
        <v>211</v>
      </c>
      <c r="J1064" s="166" t="s">
        <v>211</v>
      </c>
      <c r="K1064" s="168" t="s">
        <v>211</v>
      </c>
      <c r="L1064" s="166" t="s">
        <v>211</v>
      </c>
      <c r="M1064" s="168" t="s">
        <v>211</v>
      </c>
      <c r="N1064" s="166" t="s">
        <v>211</v>
      </c>
      <c r="O1064" s="168" t="s">
        <v>211</v>
      </c>
    </row>
    <row r="1065" spans="2:15" s="453" customFormat="1" ht="14" x14ac:dyDescent="0.2">
      <c r="B1065" s="309"/>
      <c r="C1065" s="310"/>
      <c r="F1065" s="607" t="s">
        <v>504</v>
      </c>
      <c r="G1065" s="607"/>
      <c r="H1065" s="608"/>
      <c r="I1065" s="169"/>
      <c r="J1065" s="167"/>
      <c r="K1065" s="169"/>
      <c r="L1065" s="167"/>
      <c r="M1065" s="169"/>
      <c r="N1065" s="167"/>
      <c r="O1065" s="169"/>
    </row>
    <row r="1066" spans="2:15" s="453" customFormat="1" ht="12.75" customHeight="1" x14ac:dyDescent="0.2">
      <c r="B1066" s="309"/>
      <c r="C1066" s="606" t="s">
        <v>505</v>
      </c>
      <c r="D1066" s="606"/>
      <c r="E1066" s="606"/>
      <c r="F1066" s="606"/>
      <c r="G1066" s="606"/>
      <c r="H1066" s="296"/>
      <c r="I1066" s="168" t="s">
        <v>211</v>
      </c>
      <c r="J1066" s="166" t="s">
        <v>211</v>
      </c>
      <c r="K1066" s="168" t="s">
        <v>211</v>
      </c>
      <c r="L1066" s="166" t="s">
        <v>211</v>
      </c>
      <c r="M1066" s="168" t="s">
        <v>211</v>
      </c>
      <c r="N1066" s="166" t="s">
        <v>211</v>
      </c>
      <c r="O1066" s="168" t="s">
        <v>211</v>
      </c>
    </row>
    <row r="1067" spans="2:15" s="453" customFormat="1" ht="14" x14ac:dyDescent="0.2">
      <c r="B1067" s="309"/>
      <c r="C1067" s="606"/>
      <c r="D1067" s="606"/>
      <c r="E1067" s="606"/>
      <c r="F1067" s="606"/>
      <c r="G1067" s="606"/>
      <c r="H1067" s="294"/>
      <c r="I1067" s="169"/>
      <c r="J1067" s="167"/>
      <c r="K1067" s="169"/>
      <c r="L1067" s="167"/>
      <c r="M1067" s="169"/>
      <c r="N1067" s="167"/>
      <c r="O1067" s="169"/>
    </row>
    <row r="1068" spans="2:15" s="453" customFormat="1" ht="14" x14ac:dyDescent="0.2">
      <c r="B1068" s="309"/>
      <c r="C1068" s="606"/>
      <c r="D1068" s="606"/>
      <c r="E1068" s="606"/>
      <c r="F1068" s="606"/>
      <c r="G1068" s="606"/>
      <c r="H1068" s="294"/>
      <c r="I1068" s="169"/>
      <c r="J1068" s="167"/>
      <c r="K1068" s="169"/>
      <c r="L1068" s="167"/>
      <c r="M1068" s="169"/>
      <c r="N1068" s="167"/>
      <c r="O1068" s="169"/>
    </row>
    <row r="1069" spans="2:15" s="453" customFormat="1" ht="14" x14ac:dyDescent="0.2">
      <c r="B1069" s="309"/>
      <c r="C1069" s="310"/>
      <c r="F1069" s="607" t="s">
        <v>506</v>
      </c>
      <c r="G1069" s="607"/>
      <c r="H1069" s="608"/>
      <c r="I1069" s="174"/>
      <c r="J1069" s="167"/>
      <c r="K1069" s="169"/>
      <c r="L1069" s="167"/>
      <c r="M1069" s="169"/>
      <c r="N1069" s="167"/>
      <c r="O1069" s="169"/>
    </row>
    <row r="1070" spans="2:15" s="453" customFormat="1" ht="14" x14ac:dyDescent="0.2">
      <c r="B1070" s="309"/>
      <c r="C1070" s="310"/>
      <c r="F1070" s="631" t="s">
        <v>495</v>
      </c>
      <c r="G1070" s="631"/>
      <c r="H1070" s="632"/>
      <c r="I1070" s="174"/>
      <c r="J1070" s="167"/>
      <c r="K1070" s="169"/>
      <c r="L1070" s="167"/>
      <c r="M1070" s="169"/>
      <c r="N1070" s="167"/>
      <c r="O1070" s="169"/>
    </row>
    <row r="1071" spans="2:15" s="453" customFormat="1" ht="14" x14ac:dyDescent="0.2">
      <c r="B1071" s="311">
        <v>5</v>
      </c>
      <c r="C1071" s="568" t="s">
        <v>507</v>
      </c>
      <c r="D1071" s="568"/>
      <c r="E1071" s="568"/>
      <c r="F1071" s="568"/>
      <c r="G1071" s="568"/>
      <c r="H1071" s="292"/>
      <c r="I1071" s="168" t="s">
        <v>211</v>
      </c>
      <c r="J1071" s="166" t="s">
        <v>211</v>
      </c>
      <c r="K1071" s="168" t="s">
        <v>211</v>
      </c>
      <c r="L1071" s="166" t="s">
        <v>211</v>
      </c>
      <c r="M1071" s="168" t="s">
        <v>211</v>
      </c>
      <c r="N1071" s="166" t="s">
        <v>211</v>
      </c>
      <c r="O1071" s="168" t="s">
        <v>211</v>
      </c>
    </row>
    <row r="1072" spans="2:15" s="453" customFormat="1" ht="14" x14ac:dyDescent="0.2">
      <c r="B1072" s="316"/>
      <c r="C1072" s="606"/>
      <c r="D1072" s="606"/>
      <c r="E1072" s="606"/>
      <c r="F1072" s="606"/>
      <c r="G1072" s="606"/>
      <c r="H1072" s="294"/>
      <c r="I1072" s="169"/>
      <c r="J1072" s="167"/>
      <c r="K1072" s="169"/>
      <c r="L1072" s="167"/>
      <c r="M1072" s="169"/>
      <c r="N1072" s="167"/>
      <c r="O1072" s="169"/>
    </row>
    <row r="1073" spans="2:15" s="453" customFormat="1" ht="14" x14ac:dyDescent="0.2">
      <c r="B1073" s="309"/>
      <c r="C1073" s="606" t="s">
        <v>508</v>
      </c>
      <c r="D1073" s="606"/>
      <c r="E1073" s="606"/>
      <c r="F1073" s="606"/>
      <c r="G1073" s="606"/>
      <c r="H1073" s="296"/>
      <c r="I1073" s="168" t="s">
        <v>211</v>
      </c>
      <c r="J1073" s="166" t="s">
        <v>211</v>
      </c>
      <c r="K1073" s="168" t="s">
        <v>211</v>
      </c>
      <c r="L1073" s="166" t="s">
        <v>211</v>
      </c>
      <c r="M1073" s="168" t="s">
        <v>211</v>
      </c>
      <c r="N1073" s="166" t="s">
        <v>211</v>
      </c>
      <c r="O1073" s="168" t="s">
        <v>211</v>
      </c>
    </row>
    <row r="1074" spans="2:15" s="453" customFormat="1" ht="14" x14ac:dyDescent="0.2">
      <c r="B1074" s="309"/>
      <c r="C1074" s="606"/>
      <c r="D1074" s="606"/>
      <c r="E1074" s="606"/>
      <c r="F1074" s="606"/>
      <c r="G1074" s="606"/>
      <c r="H1074" s="294"/>
      <c r="I1074" s="169"/>
      <c r="J1074" s="167"/>
      <c r="K1074" s="169"/>
      <c r="L1074" s="167"/>
      <c r="M1074" s="169"/>
      <c r="N1074" s="167"/>
      <c r="O1074" s="169"/>
    </row>
    <row r="1075" spans="2:15" s="453" customFormat="1" ht="14" x14ac:dyDescent="0.2">
      <c r="B1075" s="309"/>
      <c r="C1075" s="310"/>
      <c r="F1075" s="607" t="s">
        <v>484</v>
      </c>
      <c r="G1075" s="607"/>
      <c r="H1075" s="608"/>
      <c r="I1075" s="174"/>
      <c r="J1075" s="167"/>
      <c r="K1075" s="169"/>
      <c r="L1075" s="167"/>
      <c r="M1075" s="169"/>
      <c r="N1075" s="167"/>
      <c r="O1075" s="169"/>
    </row>
    <row r="1076" spans="2:15" s="453" customFormat="1" ht="12.75" customHeight="1" x14ac:dyDescent="0.2">
      <c r="B1076" s="309"/>
      <c r="C1076" s="635" t="s">
        <v>509</v>
      </c>
      <c r="D1076" s="635"/>
      <c r="E1076" s="635"/>
      <c r="F1076" s="635"/>
      <c r="G1076" s="635"/>
      <c r="H1076" s="296"/>
      <c r="I1076" s="168" t="s">
        <v>211</v>
      </c>
      <c r="J1076" s="166" t="s">
        <v>211</v>
      </c>
      <c r="K1076" s="168" t="s">
        <v>211</v>
      </c>
      <c r="L1076" s="166" t="s">
        <v>211</v>
      </c>
      <c r="M1076" s="168" t="s">
        <v>211</v>
      </c>
      <c r="N1076" s="166" t="s">
        <v>211</v>
      </c>
      <c r="O1076" s="168" t="s">
        <v>211</v>
      </c>
    </row>
    <row r="1077" spans="2:15" s="453" customFormat="1" ht="14" x14ac:dyDescent="0.2">
      <c r="B1077" s="309"/>
      <c r="C1077" s="635"/>
      <c r="D1077" s="635"/>
      <c r="E1077" s="635"/>
      <c r="F1077" s="635"/>
      <c r="G1077" s="635"/>
      <c r="H1077" s="294"/>
      <c r="I1077" s="169"/>
      <c r="J1077" s="167"/>
      <c r="K1077" s="169"/>
      <c r="L1077" s="167"/>
      <c r="M1077" s="169"/>
      <c r="N1077" s="167"/>
      <c r="O1077" s="169"/>
    </row>
    <row r="1078" spans="2:15" s="453" customFormat="1" ht="14" x14ac:dyDescent="0.2">
      <c r="B1078" s="309"/>
      <c r="C1078" s="635"/>
      <c r="D1078" s="635"/>
      <c r="E1078" s="635"/>
      <c r="F1078" s="635"/>
      <c r="G1078" s="635"/>
      <c r="H1078" s="294"/>
      <c r="I1078" s="169"/>
      <c r="J1078" s="167"/>
      <c r="K1078" s="169"/>
      <c r="L1078" s="167"/>
      <c r="M1078" s="169"/>
      <c r="N1078" s="167"/>
      <c r="O1078" s="169"/>
    </row>
    <row r="1079" spans="2:15" s="453" customFormat="1" ht="14" x14ac:dyDescent="0.2">
      <c r="B1079" s="309"/>
      <c r="C1079" s="606" t="s">
        <v>510</v>
      </c>
      <c r="D1079" s="606"/>
      <c r="E1079" s="606"/>
      <c r="F1079" s="606"/>
      <c r="G1079" s="606"/>
      <c r="H1079" s="296"/>
      <c r="I1079" s="168" t="s">
        <v>211</v>
      </c>
      <c r="J1079" s="166" t="s">
        <v>211</v>
      </c>
      <c r="K1079" s="168" t="s">
        <v>211</v>
      </c>
      <c r="L1079" s="166" t="s">
        <v>211</v>
      </c>
      <c r="M1079" s="168" t="s">
        <v>211</v>
      </c>
      <c r="N1079" s="166" t="s">
        <v>211</v>
      </c>
      <c r="O1079" s="168" t="s">
        <v>211</v>
      </c>
    </row>
    <row r="1080" spans="2:15" s="453" customFormat="1" ht="14" x14ac:dyDescent="0.2">
      <c r="B1080" s="309"/>
      <c r="C1080" s="606"/>
      <c r="D1080" s="606"/>
      <c r="E1080" s="606"/>
      <c r="F1080" s="606"/>
      <c r="G1080" s="606"/>
      <c r="H1080" s="294"/>
      <c r="I1080" s="169"/>
      <c r="J1080" s="167"/>
      <c r="K1080" s="169"/>
      <c r="L1080" s="167"/>
      <c r="M1080" s="169"/>
      <c r="N1080" s="167"/>
      <c r="O1080" s="169"/>
    </row>
    <row r="1081" spans="2:15" s="453" customFormat="1" ht="14" x14ac:dyDescent="0.2">
      <c r="B1081" s="309"/>
      <c r="C1081" s="606"/>
      <c r="D1081" s="606"/>
      <c r="E1081" s="606"/>
      <c r="F1081" s="606"/>
      <c r="G1081" s="606"/>
      <c r="H1081" s="294"/>
      <c r="I1081" s="169"/>
      <c r="J1081" s="167"/>
      <c r="K1081" s="169"/>
      <c r="L1081" s="167"/>
      <c r="M1081" s="169"/>
      <c r="N1081" s="167"/>
      <c r="O1081" s="169"/>
    </row>
    <row r="1082" spans="2:15" s="453" customFormat="1" ht="14" x14ac:dyDescent="0.2">
      <c r="B1082" s="309"/>
      <c r="C1082" s="569" t="s">
        <v>473</v>
      </c>
      <c r="D1082" s="569"/>
      <c r="E1082" s="569"/>
      <c r="F1082" s="569"/>
      <c r="G1082" s="569"/>
      <c r="H1082" s="296"/>
      <c r="I1082" s="168" t="s">
        <v>211</v>
      </c>
      <c r="J1082" s="166" t="s">
        <v>211</v>
      </c>
      <c r="K1082" s="168" t="s">
        <v>211</v>
      </c>
      <c r="L1082" s="166" t="s">
        <v>211</v>
      </c>
      <c r="M1082" s="168" t="s">
        <v>211</v>
      </c>
      <c r="N1082" s="166" t="s">
        <v>211</v>
      </c>
      <c r="O1082" s="168" t="s">
        <v>211</v>
      </c>
    </row>
    <row r="1083" spans="2:15" s="453" customFormat="1" ht="14" x14ac:dyDescent="0.2">
      <c r="B1083" s="309"/>
      <c r="C1083" s="310"/>
      <c r="F1083" s="607" t="s">
        <v>500</v>
      </c>
      <c r="G1083" s="607"/>
      <c r="H1083" s="608"/>
      <c r="I1083" s="169"/>
      <c r="J1083" s="167"/>
      <c r="K1083" s="169"/>
      <c r="L1083" s="167"/>
      <c r="M1083" s="169"/>
      <c r="N1083" s="167"/>
      <c r="O1083" s="169"/>
    </row>
    <row r="1084" spans="2:15" s="453" customFormat="1" ht="14" x14ac:dyDescent="0.2">
      <c r="B1084" s="309"/>
      <c r="C1084" s="606" t="s">
        <v>511</v>
      </c>
      <c r="D1084" s="606"/>
      <c r="E1084" s="606"/>
      <c r="F1084" s="606"/>
      <c r="G1084" s="606"/>
      <c r="H1084" s="296"/>
      <c r="I1084" s="168" t="s">
        <v>211</v>
      </c>
      <c r="J1084" s="166" t="s">
        <v>211</v>
      </c>
      <c r="K1084" s="168" t="s">
        <v>211</v>
      </c>
      <c r="L1084" s="166" t="s">
        <v>211</v>
      </c>
      <c r="M1084" s="168" t="s">
        <v>211</v>
      </c>
      <c r="N1084" s="166" t="s">
        <v>211</v>
      </c>
      <c r="O1084" s="168" t="s">
        <v>211</v>
      </c>
    </row>
    <row r="1085" spans="2:15" s="453" customFormat="1" ht="14" x14ac:dyDescent="0.2">
      <c r="B1085" s="309"/>
      <c r="C1085" s="606"/>
      <c r="D1085" s="606"/>
      <c r="E1085" s="606"/>
      <c r="F1085" s="606"/>
      <c r="G1085" s="606"/>
      <c r="H1085" s="294"/>
      <c r="I1085" s="169"/>
      <c r="J1085" s="167"/>
      <c r="K1085" s="169"/>
      <c r="L1085" s="167"/>
      <c r="M1085" s="169"/>
      <c r="N1085" s="167"/>
      <c r="O1085" s="169"/>
    </row>
    <row r="1086" spans="2:15" s="453" customFormat="1" ht="14" x14ac:dyDescent="0.2">
      <c r="B1086" s="309"/>
      <c r="C1086" s="606"/>
      <c r="D1086" s="606"/>
      <c r="E1086" s="606"/>
      <c r="F1086" s="606"/>
      <c r="G1086" s="606"/>
      <c r="H1086" s="294"/>
      <c r="I1086" s="169"/>
      <c r="J1086" s="167"/>
      <c r="K1086" s="169"/>
      <c r="L1086" s="167"/>
      <c r="M1086" s="169"/>
      <c r="N1086" s="167"/>
      <c r="O1086" s="169"/>
    </row>
    <row r="1087" spans="2:15" s="453" customFormat="1" ht="14" x14ac:dyDescent="0.2">
      <c r="B1087" s="309"/>
      <c r="C1087" s="606" t="s">
        <v>512</v>
      </c>
      <c r="D1087" s="606"/>
      <c r="E1087" s="606"/>
      <c r="F1087" s="606"/>
      <c r="G1087" s="606"/>
      <c r="H1087" s="296"/>
      <c r="I1087" s="168" t="s">
        <v>211</v>
      </c>
      <c r="J1087" s="166" t="s">
        <v>211</v>
      </c>
      <c r="K1087" s="168" t="s">
        <v>211</v>
      </c>
      <c r="L1087" s="166" t="s">
        <v>211</v>
      </c>
      <c r="M1087" s="168" t="s">
        <v>211</v>
      </c>
      <c r="N1087" s="166" t="s">
        <v>211</v>
      </c>
      <c r="O1087" s="168" t="s">
        <v>211</v>
      </c>
    </row>
    <row r="1088" spans="2:15" s="453" customFormat="1" ht="14" x14ac:dyDescent="0.2">
      <c r="B1088" s="309"/>
      <c r="C1088" s="606"/>
      <c r="D1088" s="606"/>
      <c r="E1088" s="606"/>
      <c r="F1088" s="606"/>
      <c r="G1088" s="606"/>
      <c r="H1088" s="294"/>
      <c r="I1088" s="169"/>
      <c r="J1088" s="167"/>
      <c r="K1088" s="169"/>
      <c r="L1088" s="167"/>
      <c r="M1088" s="169"/>
      <c r="N1088" s="167"/>
      <c r="O1088" s="169"/>
    </row>
    <row r="1089" spans="2:15" s="453" customFormat="1" ht="14" x14ac:dyDescent="0.2">
      <c r="B1089" s="309"/>
      <c r="C1089" s="606" t="s">
        <v>513</v>
      </c>
      <c r="D1089" s="606"/>
      <c r="E1089" s="606"/>
      <c r="F1089" s="606"/>
      <c r="G1089" s="606"/>
      <c r="H1089" s="296"/>
      <c r="I1089" s="168" t="s">
        <v>211</v>
      </c>
      <c r="J1089" s="166" t="s">
        <v>211</v>
      </c>
      <c r="K1089" s="168" t="s">
        <v>211</v>
      </c>
      <c r="L1089" s="166" t="s">
        <v>211</v>
      </c>
      <c r="M1089" s="168" t="s">
        <v>211</v>
      </c>
      <c r="N1089" s="166" t="s">
        <v>211</v>
      </c>
      <c r="O1089" s="168" t="s">
        <v>211</v>
      </c>
    </row>
    <row r="1090" spans="2:15" s="453" customFormat="1" ht="14" x14ac:dyDescent="0.2">
      <c r="B1090" s="309"/>
      <c r="C1090" s="606"/>
      <c r="D1090" s="606"/>
      <c r="E1090" s="606"/>
      <c r="F1090" s="606"/>
      <c r="G1090" s="606"/>
      <c r="H1090" s="294"/>
      <c r="I1090" s="169"/>
      <c r="J1090" s="167"/>
      <c r="K1090" s="169"/>
      <c r="L1090" s="167"/>
      <c r="M1090" s="169"/>
      <c r="N1090" s="167"/>
      <c r="O1090" s="169"/>
    </row>
    <row r="1091" spans="2:15" s="453" customFormat="1" ht="14" x14ac:dyDescent="0.2">
      <c r="B1091" s="309"/>
      <c r="C1091" s="606"/>
      <c r="D1091" s="606"/>
      <c r="E1091" s="606"/>
      <c r="F1091" s="606"/>
      <c r="G1091" s="606"/>
      <c r="H1091" s="294"/>
      <c r="I1091" s="169"/>
      <c r="J1091" s="167"/>
      <c r="K1091" s="169"/>
      <c r="L1091" s="167"/>
      <c r="M1091" s="169"/>
      <c r="N1091" s="167"/>
      <c r="O1091" s="169"/>
    </row>
    <row r="1092" spans="2:15" s="453" customFormat="1" ht="14" x14ac:dyDescent="0.2">
      <c r="B1092" s="309"/>
      <c r="C1092" s="606" t="s">
        <v>514</v>
      </c>
      <c r="D1092" s="606"/>
      <c r="E1092" s="606"/>
      <c r="F1092" s="606"/>
      <c r="G1092" s="606"/>
      <c r="H1092" s="296"/>
      <c r="I1092" s="168" t="s">
        <v>211</v>
      </c>
      <c r="J1092" s="166" t="s">
        <v>211</v>
      </c>
      <c r="K1092" s="168" t="s">
        <v>211</v>
      </c>
      <c r="L1092" s="166" t="s">
        <v>211</v>
      </c>
      <c r="M1092" s="168" t="s">
        <v>211</v>
      </c>
      <c r="N1092" s="166" t="s">
        <v>211</v>
      </c>
      <c r="O1092" s="168" t="s">
        <v>211</v>
      </c>
    </row>
    <row r="1093" spans="2:15" s="453" customFormat="1" ht="14" x14ac:dyDescent="0.2">
      <c r="B1093" s="309"/>
      <c r="C1093" s="606"/>
      <c r="D1093" s="606"/>
      <c r="E1093" s="606"/>
      <c r="F1093" s="606"/>
      <c r="G1093" s="606"/>
      <c r="H1093" s="294"/>
      <c r="I1093" s="169"/>
      <c r="J1093" s="167"/>
      <c r="K1093" s="169"/>
      <c r="L1093" s="167"/>
      <c r="M1093" s="169"/>
      <c r="N1093" s="167"/>
      <c r="O1093" s="169"/>
    </row>
    <row r="1094" spans="2:15" s="453" customFormat="1" ht="14" x14ac:dyDescent="0.2">
      <c r="B1094" s="309"/>
      <c r="C1094" s="606" t="s">
        <v>559</v>
      </c>
      <c r="D1094" s="606"/>
      <c r="E1094" s="606"/>
      <c r="F1094" s="606"/>
      <c r="G1094" s="606"/>
      <c r="H1094" s="296"/>
      <c r="I1094" s="168" t="s">
        <v>211</v>
      </c>
      <c r="J1094" s="166" t="s">
        <v>211</v>
      </c>
      <c r="K1094" s="168" t="s">
        <v>211</v>
      </c>
      <c r="L1094" s="166" t="s">
        <v>211</v>
      </c>
      <c r="M1094" s="168" t="s">
        <v>211</v>
      </c>
      <c r="N1094" s="166" t="s">
        <v>211</v>
      </c>
      <c r="O1094" s="168" t="s">
        <v>211</v>
      </c>
    </row>
    <row r="1095" spans="2:15" s="453" customFormat="1" ht="14" x14ac:dyDescent="0.2">
      <c r="B1095" s="309"/>
      <c r="C1095" s="606"/>
      <c r="D1095" s="606"/>
      <c r="E1095" s="606"/>
      <c r="F1095" s="606"/>
      <c r="G1095" s="606"/>
      <c r="H1095" s="294"/>
      <c r="I1095" s="169"/>
      <c r="J1095" s="167"/>
      <c r="K1095" s="169"/>
      <c r="L1095" s="167"/>
      <c r="M1095" s="169"/>
      <c r="N1095" s="167"/>
      <c r="O1095" s="169"/>
    </row>
    <row r="1096" spans="2:15" s="453" customFormat="1" ht="14" x14ac:dyDescent="0.2">
      <c r="B1096" s="309"/>
      <c r="C1096" s="569" t="s">
        <v>560</v>
      </c>
      <c r="D1096" s="569"/>
      <c r="E1096" s="569"/>
      <c r="F1096" s="569"/>
      <c r="G1096" s="569"/>
      <c r="H1096" s="296"/>
      <c r="I1096" s="168" t="s">
        <v>211</v>
      </c>
      <c r="J1096" s="166" t="s">
        <v>211</v>
      </c>
      <c r="K1096" s="168" t="s">
        <v>211</v>
      </c>
      <c r="L1096" s="166" t="s">
        <v>211</v>
      </c>
      <c r="M1096" s="168" t="s">
        <v>211</v>
      </c>
      <c r="N1096" s="166" t="s">
        <v>211</v>
      </c>
      <c r="O1096" s="168" t="s">
        <v>211</v>
      </c>
    </row>
    <row r="1097" spans="2:15" s="453" customFormat="1" ht="14" x14ac:dyDescent="0.2">
      <c r="B1097" s="309"/>
      <c r="C1097" s="310"/>
      <c r="F1097" s="607" t="s">
        <v>500</v>
      </c>
      <c r="G1097" s="607"/>
      <c r="H1097" s="608"/>
      <c r="I1097" s="169"/>
      <c r="J1097" s="167"/>
      <c r="K1097" s="169"/>
      <c r="L1097" s="167"/>
      <c r="M1097" s="169"/>
      <c r="N1097" s="167"/>
      <c r="O1097" s="169"/>
    </row>
    <row r="1098" spans="2:15" s="453" customFormat="1" ht="14" x14ac:dyDescent="0.2">
      <c r="B1098" s="309"/>
      <c r="C1098" s="606" t="s">
        <v>515</v>
      </c>
      <c r="D1098" s="606"/>
      <c r="E1098" s="606"/>
      <c r="F1098" s="606"/>
      <c r="G1098" s="606"/>
      <c r="H1098" s="296"/>
      <c r="I1098" s="168" t="s">
        <v>211</v>
      </c>
      <c r="J1098" s="166" t="s">
        <v>211</v>
      </c>
      <c r="K1098" s="168" t="s">
        <v>211</v>
      </c>
      <c r="L1098" s="166" t="s">
        <v>211</v>
      </c>
      <c r="M1098" s="168" t="s">
        <v>211</v>
      </c>
      <c r="N1098" s="166" t="s">
        <v>211</v>
      </c>
      <c r="O1098" s="168" t="s">
        <v>211</v>
      </c>
    </row>
    <row r="1099" spans="2:15" s="453" customFormat="1" ht="14" x14ac:dyDescent="0.2">
      <c r="B1099" s="309"/>
      <c r="C1099" s="606"/>
      <c r="D1099" s="606"/>
      <c r="E1099" s="606"/>
      <c r="F1099" s="606"/>
      <c r="G1099" s="606"/>
      <c r="H1099" s="294"/>
      <c r="I1099" s="169"/>
      <c r="J1099" s="167"/>
      <c r="K1099" s="169"/>
      <c r="L1099" s="167"/>
      <c r="M1099" s="169"/>
      <c r="N1099" s="167"/>
      <c r="O1099" s="169"/>
    </row>
    <row r="1100" spans="2:15" s="453" customFormat="1" ht="14" x14ac:dyDescent="0.2">
      <c r="B1100" s="309"/>
      <c r="C1100" s="606"/>
      <c r="D1100" s="606"/>
      <c r="E1100" s="606"/>
      <c r="F1100" s="606"/>
      <c r="G1100" s="606"/>
      <c r="H1100" s="294"/>
      <c r="I1100" s="169"/>
      <c r="J1100" s="167"/>
      <c r="K1100" s="169"/>
      <c r="L1100" s="167"/>
      <c r="M1100" s="169"/>
      <c r="N1100" s="167"/>
      <c r="O1100" s="169"/>
    </row>
    <row r="1101" spans="2:15" s="453" customFormat="1" ht="14" x14ac:dyDescent="0.2">
      <c r="B1101" s="308" t="s">
        <v>333</v>
      </c>
      <c r="C1101" s="628" t="s">
        <v>516</v>
      </c>
      <c r="D1101" s="628"/>
      <c r="E1101" s="628"/>
      <c r="F1101" s="628"/>
      <c r="G1101" s="628"/>
      <c r="H1101" s="294"/>
      <c r="I1101" s="169"/>
      <c r="J1101" s="167"/>
      <c r="K1101" s="169"/>
      <c r="L1101" s="167"/>
      <c r="M1101" s="169"/>
      <c r="N1101" s="167"/>
      <c r="O1101" s="169"/>
    </row>
    <row r="1102" spans="2:15" s="453" customFormat="1" ht="14" x14ac:dyDescent="0.2">
      <c r="B1102" s="317"/>
      <c r="C1102" s="628"/>
      <c r="D1102" s="628"/>
      <c r="E1102" s="628"/>
      <c r="F1102" s="628"/>
      <c r="G1102" s="628"/>
      <c r="H1102" s="294"/>
      <c r="I1102" s="169"/>
      <c r="J1102" s="167"/>
      <c r="K1102" s="169"/>
      <c r="L1102" s="167"/>
      <c r="M1102" s="169"/>
      <c r="N1102" s="167"/>
      <c r="O1102" s="169"/>
    </row>
    <row r="1103" spans="2:15" s="453" customFormat="1" ht="14" x14ac:dyDescent="0.2">
      <c r="B1103" s="309"/>
      <c r="C1103" s="606" t="s">
        <v>517</v>
      </c>
      <c r="D1103" s="606"/>
      <c r="E1103" s="606"/>
      <c r="F1103" s="606"/>
      <c r="G1103" s="606"/>
      <c r="H1103" s="296"/>
      <c r="I1103" s="168" t="s">
        <v>211</v>
      </c>
      <c r="J1103" s="166" t="s">
        <v>211</v>
      </c>
      <c r="K1103" s="168" t="s">
        <v>211</v>
      </c>
      <c r="L1103" s="166" t="s">
        <v>211</v>
      </c>
      <c r="M1103" s="168" t="s">
        <v>211</v>
      </c>
      <c r="N1103" s="166" t="s">
        <v>211</v>
      </c>
      <c r="O1103" s="168" t="s">
        <v>211</v>
      </c>
    </row>
    <row r="1104" spans="2:15" s="453" customFormat="1" ht="14" x14ac:dyDescent="0.2">
      <c r="B1104" s="309"/>
      <c r="C1104" s="606"/>
      <c r="D1104" s="606"/>
      <c r="E1104" s="606"/>
      <c r="F1104" s="606"/>
      <c r="G1104" s="606"/>
      <c r="H1104" s="294"/>
      <c r="I1104" s="169"/>
      <c r="J1104" s="167"/>
      <c r="K1104" s="169"/>
      <c r="L1104" s="167"/>
      <c r="M1104" s="169"/>
      <c r="N1104" s="167"/>
      <c r="O1104" s="169"/>
    </row>
    <row r="1105" spans="2:15" s="453" customFormat="1" ht="14" x14ac:dyDescent="0.2">
      <c r="B1105" s="309"/>
      <c r="C1105" s="606" t="s">
        <v>518</v>
      </c>
      <c r="D1105" s="606"/>
      <c r="E1105" s="606"/>
      <c r="F1105" s="606"/>
      <c r="G1105" s="606"/>
      <c r="H1105" s="296"/>
      <c r="I1105" s="168" t="s">
        <v>211</v>
      </c>
      <c r="J1105" s="166" t="s">
        <v>211</v>
      </c>
      <c r="K1105" s="168" t="s">
        <v>211</v>
      </c>
      <c r="L1105" s="166" t="s">
        <v>211</v>
      </c>
      <c r="M1105" s="168" t="s">
        <v>211</v>
      </c>
      <c r="N1105" s="166" t="s">
        <v>211</v>
      </c>
      <c r="O1105" s="168" t="s">
        <v>211</v>
      </c>
    </row>
    <row r="1106" spans="2:15" s="453" customFormat="1" ht="14" x14ac:dyDescent="0.2">
      <c r="B1106" s="309"/>
      <c r="C1106" s="606"/>
      <c r="D1106" s="606"/>
      <c r="E1106" s="606"/>
      <c r="F1106" s="606"/>
      <c r="G1106" s="606"/>
      <c r="H1106" s="294"/>
      <c r="I1106" s="169"/>
      <c r="J1106" s="167"/>
      <c r="K1106" s="169"/>
      <c r="L1106" s="167"/>
      <c r="M1106" s="169"/>
      <c r="N1106" s="167"/>
      <c r="O1106" s="169"/>
    </row>
    <row r="1107" spans="2:15" s="453" customFormat="1" ht="14" x14ac:dyDescent="0.2">
      <c r="B1107" s="309"/>
      <c r="C1107" s="606" t="s">
        <v>519</v>
      </c>
      <c r="D1107" s="606"/>
      <c r="E1107" s="606"/>
      <c r="F1107" s="606"/>
      <c r="G1107" s="606"/>
      <c r="H1107" s="296"/>
      <c r="I1107" s="168" t="s">
        <v>211</v>
      </c>
      <c r="J1107" s="166" t="s">
        <v>211</v>
      </c>
      <c r="K1107" s="168" t="s">
        <v>211</v>
      </c>
      <c r="L1107" s="166" t="s">
        <v>211</v>
      </c>
      <c r="M1107" s="168" t="s">
        <v>211</v>
      </c>
      <c r="N1107" s="166" t="s">
        <v>211</v>
      </c>
      <c r="O1107" s="168" t="s">
        <v>211</v>
      </c>
    </row>
    <row r="1108" spans="2:15" s="453" customFormat="1" ht="14" x14ac:dyDescent="0.2">
      <c r="B1108" s="309"/>
      <c r="C1108" s="606"/>
      <c r="D1108" s="606"/>
      <c r="E1108" s="606"/>
      <c r="F1108" s="606"/>
      <c r="G1108" s="606"/>
      <c r="H1108" s="294"/>
      <c r="I1108" s="169"/>
      <c r="J1108" s="167"/>
      <c r="K1108" s="169"/>
      <c r="L1108" s="167"/>
      <c r="M1108" s="169"/>
      <c r="N1108" s="167"/>
      <c r="O1108" s="169"/>
    </row>
    <row r="1109" spans="2:15" s="453" customFormat="1" ht="14" x14ac:dyDescent="0.2">
      <c r="B1109" s="309"/>
      <c r="C1109" s="569" t="s">
        <v>520</v>
      </c>
      <c r="D1109" s="569"/>
      <c r="E1109" s="569"/>
      <c r="F1109" s="569"/>
      <c r="G1109" s="569"/>
      <c r="H1109" s="296"/>
      <c r="I1109" s="168" t="s">
        <v>211</v>
      </c>
      <c r="J1109" s="166" t="s">
        <v>211</v>
      </c>
      <c r="K1109" s="168" t="s">
        <v>211</v>
      </c>
      <c r="L1109" s="166" t="s">
        <v>211</v>
      </c>
      <c r="M1109" s="168" t="s">
        <v>211</v>
      </c>
      <c r="N1109" s="166" t="s">
        <v>211</v>
      </c>
      <c r="O1109" s="168" t="s">
        <v>211</v>
      </c>
    </row>
    <row r="1110" spans="2:15" s="453" customFormat="1" ht="14" x14ac:dyDescent="0.2">
      <c r="B1110" s="309"/>
      <c r="C1110" s="310"/>
      <c r="F1110" s="607" t="s">
        <v>500</v>
      </c>
      <c r="G1110" s="607"/>
      <c r="H1110" s="608"/>
      <c r="I1110" s="169"/>
      <c r="J1110" s="167"/>
      <c r="K1110" s="169"/>
      <c r="L1110" s="167"/>
      <c r="M1110" s="169"/>
      <c r="N1110" s="167"/>
      <c r="O1110" s="169"/>
    </row>
    <row r="1111" spans="2:15" s="453" customFormat="1" ht="14" x14ac:dyDescent="0.2">
      <c r="B1111" s="309"/>
      <c r="C1111" s="569" t="s">
        <v>521</v>
      </c>
      <c r="D1111" s="569"/>
      <c r="E1111" s="569"/>
      <c r="F1111" s="569"/>
      <c r="G1111" s="569"/>
      <c r="H1111" s="296"/>
      <c r="I1111" s="168" t="s">
        <v>211</v>
      </c>
      <c r="J1111" s="166" t="s">
        <v>211</v>
      </c>
      <c r="K1111" s="168" t="s">
        <v>211</v>
      </c>
      <c r="L1111" s="166" t="s">
        <v>211</v>
      </c>
      <c r="M1111" s="168" t="s">
        <v>211</v>
      </c>
      <c r="N1111" s="166" t="s">
        <v>211</v>
      </c>
      <c r="O1111" s="168" t="s">
        <v>211</v>
      </c>
    </row>
    <row r="1112" spans="2:15" s="453" customFormat="1" ht="14" x14ac:dyDescent="0.2">
      <c r="B1112" s="309"/>
      <c r="C1112" s="606" t="s">
        <v>522</v>
      </c>
      <c r="D1112" s="606"/>
      <c r="E1112" s="606"/>
      <c r="F1112" s="606"/>
      <c r="G1112" s="606"/>
      <c r="H1112" s="296"/>
      <c r="I1112" s="168" t="s">
        <v>211</v>
      </c>
      <c r="J1112" s="166" t="s">
        <v>211</v>
      </c>
      <c r="K1112" s="168" t="s">
        <v>211</v>
      </c>
      <c r="L1112" s="166" t="s">
        <v>211</v>
      </c>
      <c r="M1112" s="168" t="s">
        <v>211</v>
      </c>
      <c r="N1112" s="166" t="s">
        <v>211</v>
      </c>
      <c r="O1112" s="168" t="s">
        <v>211</v>
      </c>
    </row>
    <row r="1113" spans="2:15" s="453" customFormat="1" ht="14" x14ac:dyDescent="0.2">
      <c r="B1113" s="309"/>
      <c r="C1113" s="606"/>
      <c r="D1113" s="606"/>
      <c r="E1113" s="606"/>
      <c r="F1113" s="606"/>
      <c r="G1113" s="606"/>
      <c r="H1113" s="294"/>
      <c r="I1113" s="169"/>
      <c r="J1113" s="167"/>
      <c r="K1113" s="169"/>
      <c r="L1113" s="167"/>
      <c r="M1113" s="169"/>
      <c r="N1113" s="167"/>
      <c r="O1113" s="169"/>
    </row>
    <row r="1114" spans="2:15" s="453" customFormat="1" ht="14" x14ac:dyDescent="0.2">
      <c r="B1114" s="309"/>
      <c r="C1114" s="606"/>
      <c r="D1114" s="606"/>
      <c r="E1114" s="606"/>
      <c r="F1114" s="606"/>
      <c r="G1114" s="606"/>
      <c r="H1114" s="294"/>
      <c r="I1114" s="169"/>
      <c r="J1114" s="167"/>
      <c r="K1114" s="169"/>
      <c r="L1114" s="167"/>
      <c r="M1114" s="169"/>
      <c r="N1114" s="167"/>
      <c r="O1114" s="169"/>
    </row>
    <row r="1115" spans="2:15" s="453" customFormat="1" ht="14" x14ac:dyDescent="0.2">
      <c r="B1115" s="309"/>
      <c r="C1115" s="569" t="s">
        <v>523</v>
      </c>
      <c r="D1115" s="569"/>
      <c r="E1115" s="569"/>
      <c r="F1115" s="569"/>
      <c r="G1115" s="569"/>
      <c r="H1115" s="296"/>
      <c r="I1115" s="168" t="s">
        <v>211</v>
      </c>
      <c r="J1115" s="166" t="s">
        <v>211</v>
      </c>
      <c r="K1115" s="168" t="s">
        <v>211</v>
      </c>
      <c r="L1115" s="166" t="s">
        <v>211</v>
      </c>
      <c r="M1115" s="168" t="s">
        <v>211</v>
      </c>
      <c r="N1115" s="166" t="s">
        <v>211</v>
      </c>
      <c r="O1115" s="168" t="s">
        <v>211</v>
      </c>
    </row>
    <row r="1116" spans="2:15" s="453" customFormat="1" ht="14" x14ac:dyDescent="0.2">
      <c r="B1116" s="309"/>
      <c r="D1116" s="310"/>
      <c r="F1116" s="607" t="s">
        <v>524</v>
      </c>
      <c r="G1116" s="607"/>
      <c r="H1116" s="608"/>
      <c r="I1116" s="169"/>
      <c r="J1116" s="167"/>
      <c r="K1116" s="169"/>
      <c r="L1116" s="167"/>
      <c r="M1116" s="169"/>
      <c r="N1116" s="167"/>
      <c r="O1116" s="169"/>
    </row>
    <row r="1117" spans="2:15" s="453" customFormat="1" ht="14" x14ac:dyDescent="0.2">
      <c r="B1117" s="318"/>
      <c r="C1117" s="319"/>
      <c r="D1117" s="303"/>
      <c r="E1117" s="303"/>
      <c r="F1117" s="762" t="s">
        <v>495</v>
      </c>
      <c r="G1117" s="762"/>
      <c r="H1117" s="763"/>
      <c r="I1117" s="169"/>
      <c r="J1117" s="167"/>
      <c r="K1117" s="169"/>
      <c r="L1117" s="167"/>
      <c r="M1117" s="169"/>
      <c r="N1117" s="167"/>
      <c r="O1117" s="169"/>
    </row>
    <row r="1118" spans="2:15" s="453" customFormat="1" ht="14" x14ac:dyDescent="0.2">
      <c r="B1118" s="311">
        <v>6</v>
      </c>
      <c r="C1118" s="568" t="s">
        <v>525</v>
      </c>
      <c r="D1118" s="568"/>
      <c r="E1118" s="568"/>
      <c r="F1118" s="568"/>
      <c r="G1118" s="568"/>
      <c r="H1118" s="292"/>
      <c r="I1118" s="168" t="s">
        <v>211</v>
      </c>
      <c r="J1118" s="166" t="s">
        <v>211</v>
      </c>
      <c r="K1118" s="168" t="s">
        <v>211</v>
      </c>
      <c r="L1118" s="166" t="s">
        <v>211</v>
      </c>
      <c r="M1118" s="168" t="s">
        <v>211</v>
      </c>
      <c r="N1118" s="166" t="s">
        <v>211</v>
      </c>
      <c r="O1118" s="168" t="s">
        <v>211</v>
      </c>
    </row>
    <row r="1119" spans="2:15" s="453" customFormat="1" ht="14" x14ac:dyDescent="0.2">
      <c r="B1119" s="320"/>
      <c r="C1119" s="606"/>
      <c r="D1119" s="606"/>
      <c r="E1119" s="606"/>
      <c r="F1119" s="606"/>
      <c r="G1119" s="606"/>
      <c r="H1119" s="294"/>
      <c r="I1119" s="169"/>
      <c r="J1119" s="167"/>
      <c r="K1119" s="169"/>
      <c r="L1119" s="167"/>
      <c r="M1119" s="169"/>
      <c r="N1119" s="167"/>
      <c r="O1119" s="169"/>
    </row>
    <row r="1120" spans="2:15" s="453" customFormat="1" ht="14" x14ac:dyDescent="0.2">
      <c r="B1120" s="309"/>
      <c r="C1120" s="606" t="s">
        <v>1930</v>
      </c>
      <c r="D1120" s="606"/>
      <c r="E1120" s="606"/>
      <c r="F1120" s="606"/>
      <c r="G1120" s="606"/>
      <c r="H1120" s="296"/>
      <c r="I1120" s="168" t="s">
        <v>211</v>
      </c>
      <c r="J1120" s="166" t="s">
        <v>211</v>
      </c>
      <c r="K1120" s="168" t="s">
        <v>211</v>
      </c>
      <c r="L1120" s="166" t="s">
        <v>211</v>
      </c>
      <c r="M1120" s="168" t="s">
        <v>211</v>
      </c>
      <c r="N1120" s="166" t="s">
        <v>211</v>
      </c>
      <c r="O1120" s="168" t="s">
        <v>211</v>
      </c>
    </row>
    <row r="1121" spans="2:15" s="453" customFormat="1" ht="14" x14ac:dyDescent="0.2">
      <c r="B1121" s="309"/>
      <c r="C1121" s="606"/>
      <c r="D1121" s="606"/>
      <c r="E1121" s="606"/>
      <c r="F1121" s="606"/>
      <c r="G1121" s="606"/>
      <c r="H1121" s="294"/>
      <c r="I1121" s="169"/>
      <c r="J1121" s="167"/>
      <c r="K1121" s="169"/>
      <c r="L1121" s="167"/>
      <c r="M1121" s="169"/>
      <c r="N1121" s="167"/>
      <c r="O1121" s="169"/>
    </row>
    <row r="1122" spans="2:15" s="453" customFormat="1" ht="14" x14ac:dyDescent="0.2">
      <c r="B1122" s="309"/>
      <c r="C1122" s="310"/>
      <c r="F1122" s="607" t="s">
        <v>484</v>
      </c>
      <c r="G1122" s="607"/>
      <c r="H1122" s="608"/>
      <c r="I1122" s="174"/>
      <c r="J1122" s="167"/>
      <c r="K1122" s="169"/>
      <c r="L1122" s="167"/>
      <c r="M1122" s="169"/>
      <c r="N1122" s="167"/>
      <c r="O1122" s="169"/>
    </row>
    <row r="1123" spans="2:15" s="453" customFormat="1" ht="14" x14ac:dyDescent="0.2">
      <c r="B1123" s="309"/>
      <c r="C1123" s="606" t="s">
        <v>526</v>
      </c>
      <c r="D1123" s="606"/>
      <c r="E1123" s="606"/>
      <c r="F1123" s="606"/>
      <c r="G1123" s="606"/>
      <c r="H1123" s="296"/>
      <c r="I1123" s="168" t="s">
        <v>211</v>
      </c>
      <c r="J1123" s="166" t="s">
        <v>211</v>
      </c>
      <c r="K1123" s="168" t="s">
        <v>211</v>
      </c>
      <c r="L1123" s="166" t="s">
        <v>211</v>
      </c>
      <c r="M1123" s="168" t="s">
        <v>211</v>
      </c>
      <c r="N1123" s="166" t="s">
        <v>211</v>
      </c>
      <c r="O1123" s="168" t="s">
        <v>211</v>
      </c>
    </row>
    <row r="1124" spans="2:15" s="453" customFormat="1" ht="14" x14ac:dyDescent="0.2">
      <c r="B1124" s="309"/>
      <c r="C1124" s="606"/>
      <c r="D1124" s="606"/>
      <c r="E1124" s="606"/>
      <c r="F1124" s="606"/>
      <c r="G1124" s="606"/>
      <c r="H1124" s="294"/>
      <c r="I1124" s="169"/>
      <c r="J1124" s="167"/>
      <c r="K1124" s="169"/>
      <c r="L1124" s="167"/>
      <c r="M1124" s="169"/>
      <c r="N1124" s="167"/>
      <c r="O1124" s="169"/>
    </row>
    <row r="1125" spans="2:15" s="453" customFormat="1" ht="12.75" customHeight="1" x14ac:dyDescent="0.2">
      <c r="B1125" s="309"/>
      <c r="C1125" s="606" t="s">
        <v>1929</v>
      </c>
      <c r="D1125" s="606"/>
      <c r="E1125" s="606"/>
      <c r="F1125" s="606"/>
      <c r="G1125" s="606"/>
      <c r="H1125" s="296"/>
      <c r="I1125" s="168" t="s">
        <v>211</v>
      </c>
      <c r="J1125" s="166" t="s">
        <v>211</v>
      </c>
      <c r="K1125" s="168" t="s">
        <v>211</v>
      </c>
      <c r="L1125" s="166" t="s">
        <v>211</v>
      </c>
      <c r="M1125" s="168" t="s">
        <v>211</v>
      </c>
      <c r="N1125" s="166" t="s">
        <v>211</v>
      </c>
      <c r="O1125" s="168" t="s">
        <v>211</v>
      </c>
    </row>
    <row r="1126" spans="2:15" s="453" customFormat="1" ht="14" x14ac:dyDescent="0.2">
      <c r="B1126" s="309"/>
      <c r="C1126" s="606"/>
      <c r="D1126" s="606"/>
      <c r="E1126" s="606"/>
      <c r="F1126" s="606"/>
      <c r="G1126" s="606"/>
      <c r="H1126" s="294"/>
      <c r="I1126" s="169"/>
      <c r="J1126" s="167"/>
      <c r="K1126" s="169"/>
      <c r="L1126" s="167"/>
      <c r="M1126" s="169"/>
      <c r="N1126" s="167"/>
      <c r="O1126" s="169"/>
    </row>
    <row r="1127" spans="2:15" s="453" customFormat="1" ht="12.75" customHeight="1" x14ac:dyDescent="0.2">
      <c r="B1127" s="309"/>
      <c r="C1127" s="606" t="s">
        <v>527</v>
      </c>
      <c r="D1127" s="606"/>
      <c r="E1127" s="606"/>
      <c r="F1127" s="606"/>
      <c r="G1127" s="606"/>
      <c r="H1127" s="296"/>
      <c r="I1127" s="168" t="s">
        <v>211</v>
      </c>
      <c r="J1127" s="166" t="s">
        <v>211</v>
      </c>
      <c r="K1127" s="168" t="s">
        <v>211</v>
      </c>
      <c r="L1127" s="166" t="s">
        <v>211</v>
      </c>
      <c r="M1127" s="168" t="s">
        <v>211</v>
      </c>
      <c r="N1127" s="166" t="s">
        <v>211</v>
      </c>
      <c r="O1127" s="168" t="s">
        <v>211</v>
      </c>
    </row>
    <row r="1128" spans="2:15" s="453" customFormat="1" ht="14" x14ac:dyDescent="0.2">
      <c r="B1128" s="309"/>
      <c r="C1128" s="310"/>
      <c r="F1128" s="607" t="s">
        <v>528</v>
      </c>
      <c r="G1128" s="607"/>
      <c r="H1128" s="608"/>
      <c r="I1128" s="169"/>
      <c r="J1128" s="167"/>
      <c r="K1128" s="169"/>
      <c r="L1128" s="167"/>
      <c r="M1128" s="169"/>
      <c r="N1128" s="167"/>
      <c r="O1128" s="169"/>
    </row>
    <row r="1129" spans="2:15" s="453" customFormat="1" ht="12.75" customHeight="1" x14ac:dyDescent="0.2">
      <c r="B1129" s="309"/>
      <c r="C1129" s="606" t="s">
        <v>529</v>
      </c>
      <c r="D1129" s="606"/>
      <c r="E1129" s="606"/>
      <c r="F1129" s="606"/>
      <c r="G1129" s="606"/>
      <c r="H1129" s="296"/>
      <c r="I1129" s="168" t="s">
        <v>211</v>
      </c>
      <c r="J1129" s="166" t="s">
        <v>211</v>
      </c>
      <c r="K1129" s="168" t="s">
        <v>211</v>
      </c>
      <c r="L1129" s="166" t="s">
        <v>211</v>
      </c>
      <c r="M1129" s="168" t="s">
        <v>211</v>
      </c>
      <c r="N1129" s="166" t="s">
        <v>211</v>
      </c>
      <c r="O1129" s="168" t="s">
        <v>211</v>
      </c>
    </row>
    <row r="1130" spans="2:15" s="453" customFormat="1" ht="14" x14ac:dyDescent="0.2">
      <c r="B1130" s="309"/>
      <c r="C1130" s="310"/>
      <c r="F1130" s="607" t="s">
        <v>528</v>
      </c>
      <c r="G1130" s="607"/>
      <c r="H1130" s="608"/>
      <c r="I1130" s="169"/>
      <c r="J1130" s="167"/>
      <c r="K1130" s="169"/>
      <c r="L1130" s="167"/>
      <c r="M1130" s="169"/>
      <c r="N1130" s="167"/>
      <c r="O1130" s="169"/>
    </row>
    <row r="1131" spans="2:15" s="453" customFormat="1" ht="14" x14ac:dyDescent="0.2">
      <c r="B1131" s="309"/>
      <c r="C1131" s="569" t="s">
        <v>530</v>
      </c>
      <c r="D1131" s="569"/>
      <c r="E1131" s="569"/>
      <c r="F1131" s="569"/>
      <c r="G1131" s="569"/>
      <c r="H1131" s="296"/>
      <c r="I1131" s="168" t="s">
        <v>211</v>
      </c>
      <c r="J1131" s="166" t="s">
        <v>211</v>
      </c>
      <c r="K1131" s="168" t="s">
        <v>211</v>
      </c>
      <c r="L1131" s="166" t="s">
        <v>211</v>
      </c>
      <c r="M1131" s="168" t="s">
        <v>211</v>
      </c>
      <c r="N1131" s="166" t="s">
        <v>211</v>
      </c>
      <c r="O1131" s="168" t="s">
        <v>211</v>
      </c>
    </row>
    <row r="1132" spans="2:15" s="453" customFormat="1" ht="14" x14ac:dyDescent="0.2">
      <c r="B1132" s="309"/>
      <c r="C1132" s="310"/>
      <c r="F1132" s="607" t="s">
        <v>528</v>
      </c>
      <c r="G1132" s="607"/>
      <c r="H1132" s="608"/>
      <c r="I1132" s="169"/>
      <c r="J1132" s="167"/>
      <c r="K1132" s="169"/>
      <c r="L1132" s="167"/>
      <c r="M1132" s="169"/>
      <c r="N1132" s="167"/>
      <c r="O1132" s="169"/>
    </row>
    <row r="1133" spans="2:15" s="453" customFormat="1" ht="14" x14ac:dyDescent="0.2">
      <c r="B1133" s="308" t="s">
        <v>333</v>
      </c>
      <c r="C1133" s="628" t="s">
        <v>531</v>
      </c>
      <c r="D1133" s="628"/>
      <c r="E1133" s="628"/>
      <c r="F1133" s="628"/>
      <c r="G1133" s="628"/>
      <c r="H1133" s="294"/>
      <c r="I1133" s="169"/>
      <c r="J1133" s="167"/>
      <c r="K1133" s="169"/>
      <c r="L1133" s="167"/>
      <c r="M1133" s="169"/>
      <c r="N1133" s="167"/>
      <c r="O1133" s="169"/>
    </row>
    <row r="1134" spans="2:15" s="453" customFormat="1" ht="14" x14ac:dyDescent="0.2">
      <c r="B1134" s="308"/>
      <c r="C1134" s="628"/>
      <c r="D1134" s="628"/>
      <c r="E1134" s="628"/>
      <c r="F1134" s="628"/>
      <c r="G1134" s="628"/>
      <c r="H1134" s="294"/>
      <c r="I1134" s="169"/>
      <c r="J1134" s="167"/>
      <c r="K1134" s="169"/>
      <c r="L1134" s="167"/>
      <c r="M1134" s="169"/>
      <c r="N1134" s="167"/>
      <c r="O1134" s="169"/>
    </row>
    <row r="1135" spans="2:15" s="453" customFormat="1" ht="14" x14ac:dyDescent="0.2">
      <c r="B1135" s="309"/>
      <c r="C1135" s="321"/>
      <c r="D1135" s="322"/>
      <c r="E1135" s="322"/>
      <c r="F1135" s="891" t="s">
        <v>524</v>
      </c>
      <c r="G1135" s="891"/>
      <c r="H1135" s="608"/>
      <c r="I1135" s="169"/>
      <c r="J1135" s="167"/>
      <c r="K1135" s="169"/>
      <c r="L1135" s="167"/>
      <c r="M1135" s="169"/>
      <c r="N1135" s="167"/>
      <c r="O1135" s="169"/>
    </row>
    <row r="1136" spans="2:15" s="453" customFormat="1" ht="14" x14ac:dyDescent="0.2">
      <c r="B1136" s="318"/>
      <c r="C1136" s="319"/>
      <c r="D1136" s="303"/>
      <c r="E1136" s="303"/>
      <c r="F1136" s="762" t="s">
        <v>495</v>
      </c>
      <c r="G1136" s="762"/>
      <c r="H1136" s="763"/>
      <c r="I1136" s="169"/>
      <c r="J1136" s="167"/>
      <c r="K1136" s="169"/>
      <c r="L1136" s="167"/>
      <c r="M1136" s="169"/>
      <c r="N1136" s="167"/>
      <c r="O1136" s="169"/>
    </row>
    <row r="1137" spans="2:15" s="453" customFormat="1" ht="12.75" customHeight="1" x14ac:dyDescent="0.2">
      <c r="B1137" s="311">
        <v>7</v>
      </c>
      <c r="C1137" s="568" t="s">
        <v>532</v>
      </c>
      <c r="D1137" s="568"/>
      <c r="E1137" s="568"/>
      <c r="F1137" s="568"/>
      <c r="G1137" s="568"/>
      <c r="H1137" s="292"/>
      <c r="I1137" s="168" t="s">
        <v>211</v>
      </c>
      <c r="J1137" s="166" t="s">
        <v>211</v>
      </c>
      <c r="K1137" s="168" t="s">
        <v>211</v>
      </c>
      <c r="L1137" s="166" t="s">
        <v>211</v>
      </c>
      <c r="M1137" s="168" t="s">
        <v>211</v>
      </c>
      <c r="N1137" s="166" t="s">
        <v>211</v>
      </c>
      <c r="O1137" s="168" t="s">
        <v>211</v>
      </c>
    </row>
    <row r="1138" spans="2:15" s="453" customFormat="1" ht="14" x14ac:dyDescent="0.2">
      <c r="B1138" s="309"/>
      <c r="C1138" s="310"/>
      <c r="D1138" s="622" t="s">
        <v>533</v>
      </c>
      <c r="E1138" s="622"/>
      <c r="F1138" s="622"/>
      <c r="G1138" s="622"/>
      <c r="H1138" s="736"/>
      <c r="I1138" s="174"/>
      <c r="J1138" s="175"/>
      <c r="K1138" s="174"/>
      <c r="L1138" s="175"/>
      <c r="M1138" s="169"/>
      <c r="N1138" s="167"/>
      <c r="O1138" s="169"/>
    </row>
    <row r="1139" spans="2:15" s="453" customFormat="1" ht="14" x14ac:dyDescent="0.2">
      <c r="B1139" s="309"/>
      <c r="C1139" s="606" t="s">
        <v>534</v>
      </c>
      <c r="D1139" s="606"/>
      <c r="E1139" s="606"/>
      <c r="F1139" s="606"/>
      <c r="G1139" s="606"/>
      <c r="H1139" s="296"/>
      <c r="I1139" s="168" t="s">
        <v>211</v>
      </c>
      <c r="J1139" s="166" t="s">
        <v>211</v>
      </c>
      <c r="K1139" s="168" t="s">
        <v>211</v>
      </c>
      <c r="L1139" s="166" t="s">
        <v>211</v>
      </c>
      <c r="M1139" s="168" t="s">
        <v>211</v>
      </c>
      <c r="N1139" s="166" t="s">
        <v>211</v>
      </c>
      <c r="O1139" s="168" t="s">
        <v>211</v>
      </c>
    </row>
    <row r="1140" spans="2:15" s="453" customFormat="1" ht="14" x14ac:dyDescent="0.2">
      <c r="B1140" s="309"/>
      <c r="C1140" s="606"/>
      <c r="D1140" s="606"/>
      <c r="E1140" s="606"/>
      <c r="F1140" s="606"/>
      <c r="G1140" s="606"/>
      <c r="H1140" s="294"/>
      <c r="I1140" s="169"/>
      <c r="J1140" s="167"/>
      <c r="K1140" s="169"/>
      <c r="L1140" s="167"/>
      <c r="M1140" s="169"/>
      <c r="N1140" s="167"/>
      <c r="O1140" s="169"/>
    </row>
    <row r="1141" spans="2:15" s="453" customFormat="1" ht="14" x14ac:dyDescent="0.2">
      <c r="B1141" s="309"/>
      <c r="C1141" s="606"/>
      <c r="D1141" s="606"/>
      <c r="E1141" s="606"/>
      <c r="F1141" s="606"/>
      <c r="G1141" s="606"/>
      <c r="H1141" s="294"/>
      <c r="I1141" s="169"/>
      <c r="J1141" s="167"/>
      <c r="K1141" s="169"/>
      <c r="L1141" s="167"/>
      <c r="M1141" s="169"/>
      <c r="N1141" s="167"/>
      <c r="O1141" s="169"/>
    </row>
    <row r="1142" spans="2:15" s="453" customFormat="1" ht="14" x14ac:dyDescent="0.2">
      <c r="B1142" s="309"/>
      <c r="C1142" s="606" t="s">
        <v>535</v>
      </c>
      <c r="D1142" s="606"/>
      <c r="E1142" s="606"/>
      <c r="F1142" s="606"/>
      <c r="G1142" s="606"/>
      <c r="H1142" s="296"/>
      <c r="I1142" s="168" t="s">
        <v>211</v>
      </c>
      <c r="J1142" s="166" t="s">
        <v>211</v>
      </c>
      <c r="K1142" s="168" t="s">
        <v>211</v>
      </c>
      <c r="L1142" s="166" t="s">
        <v>211</v>
      </c>
      <c r="M1142" s="168" t="s">
        <v>211</v>
      </c>
      <c r="N1142" s="166" t="s">
        <v>211</v>
      </c>
      <c r="O1142" s="168" t="s">
        <v>211</v>
      </c>
    </row>
    <row r="1143" spans="2:15" s="453" customFormat="1" ht="14" x14ac:dyDescent="0.2">
      <c r="B1143" s="309"/>
      <c r="C1143" s="606"/>
      <c r="D1143" s="606"/>
      <c r="E1143" s="606"/>
      <c r="F1143" s="606"/>
      <c r="G1143" s="606"/>
      <c r="H1143" s="294"/>
      <c r="I1143" s="169"/>
      <c r="J1143" s="167"/>
      <c r="K1143" s="169"/>
      <c r="L1143" s="167"/>
      <c r="M1143" s="169"/>
      <c r="N1143" s="167"/>
      <c r="O1143" s="169"/>
    </row>
    <row r="1144" spans="2:15" s="453" customFormat="1" ht="14" x14ac:dyDescent="0.2">
      <c r="B1144" s="309"/>
      <c r="C1144" s="606" t="s">
        <v>1931</v>
      </c>
      <c r="D1144" s="606"/>
      <c r="E1144" s="606"/>
      <c r="F1144" s="606"/>
      <c r="G1144" s="606"/>
      <c r="H1144" s="296"/>
      <c r="I1144" s="168" t="s">
        <v>211</v>
      </c>
      <c r="J1144" s="166" t="s">
        <v>211</v>
      </c>
      <c r="K1144" s="168" t="s">
        <v>211</v>
      </c>
      <c r="L1144" s="166" t="s">
        <v>211</v>
      </c>
      <c r="M1144" s="168" t="s">
        <v>211</v>
      </c>
      <c r="N1144" s="166" t="s">
        <v>211</v>
      </c>
      <c r="O1144" s="168" t="s">
        <v>211</v>
      </c>
    </row>
    <row r="1145" spans="2:15" s="453" customFormat="1" ht="14" x14ac:dyDescent="0.2">
      <c r="B1145" s="309"/>
      <c r="C1145" s="606"/>
      <c r="D1145" s="606"/>
      <c r="E1145" s="606"/>
      <c r="F1145" s="606"/>
      <c r="G1145" s="606"/>
      <c r="H1145" s="294"/>
      <c r="I1145" s="169"/>
      <c r="J1145" s="167"/>
      <c r="K1145" s="169"/>
      <c r="L1145" s="167"/>
      <c r="M1145" s="169"/>
      <c r="N1145" s="167"/>
      <c r="O1145" s="169"/>
    </row>
    <row r="1146" spans="2:15" s="453" customFormat="1" ht="14" x14ac:dyDescent="0.2">
      <c r="B1146" s="309"/>
      <c r="C1146" s="569" t="s">
        <v>536</v>
      </c>
      <c r="D1146" s="569"/>
      <c r="E1146" s="569"/>
      <c r="F1146" s="569"/>
      <c r="G1146" s="569"/>
      <c r="H1146" s="296"/>
      <c r="I1146" s="168" t="s">
        <v>211</v>
      </c>
      <c r="J1146" s="166" t="s">
        <v>211</v>
      </c>
      <c r="K1146" s="168" t="s">
        <v>211</v>
      </c>
      <c r="L1146" s="166" t="s">
        <v>211</v>
      </c>
      <c r="M1146" s="168" t="s">
        <v>211</v>
      </c>
      <c r="N1146" s="166" t="s">
        <v>211</v>
      </c>
      <c r="O1146" s="168" t="s">
        <v>211</v>
      </c>
    </row>
    <row r="1147" spans="2:15" s="453" customFormat="1" ht="14" x14ac:dyDescent="0.2">
      <c r="B1147" s="309"/>
      <c r="C1147" s="310"/>
      <c r="F1147" s="622" t="s">
        <v>537</v>
      </c>
      <c r="G1147" s="622"/>
      <c r="H1147" s="736"/>
      <c r="I1147" s="169"/>
      <c r="J1147" s="167"/>
      <c r="K1147" s="169"/>
      <c r="L1147" s="167"/>
      <c r="M1147" s="169"/>
      <c r="N1147" s="167"/>
      <c r="O1147" s="169"/>
    </row>
    <row r="1148" spans="2:15" s="453" customFormat="1" ht="14" x14ac:dyDescent="0.2">
      <c r="B1148" s="309"/>
      <c r="C1148" s="606" t="s">
        <v>538</v>
      </c>
      <c r="D1148" s="606"/>
      <c r="E1148" s="606"/>
      <c r="F1148" s="606"/>
      <c r="G1148" s="606"/>
      <c r="H1148" s="296"/>
      <c r="I1148" s="168" t="s">
        <v>211</v>
      </c>
      <c r="J1148" s="166" t="s">
        <v>211</v>
      </c>
      <c r="K1148" s="168" t="s">
        <v>211</v>
      </c>
      <c r="L1148" s="166" t="s">
        <v>211</v>
      </c>
      <c r="M1148" s="168" t="s">
        <v>211</v>
      </c>
      <c r="N1148" s="166" t="s">
        <v>211</v>
      </c>
      <c r="O1148" s="168" t="s">
        <v>211</v>
      </c>
    </row>
    <row r="1149" spans="2:15" s="453" customFormat="1" ht="14" x14ac:dyDescent="0.2">
      <c r="B1149" s="309"/>
      <c r="C1149" s="606"/>
      <c r="D1149" s="606"/>
      <c r="E1149" s="606"/>
      <c r="F1149" s="606"/>
      <c r="G1149" s="606"/>
      <c r="H1149" s="294"/>
      <c r="I1149" s="169"/>
      <c r="J1149" s="167"/>
      <c r="K1149" s="169"/>
      <c r="L1149" s="167"/>
      <c r="M1149" s="169"/>
      <c r="N1149" s="167"/>
      <c r="O1149" s="169"/>
    </row>
    <row r="1150" spans="2:15" s="453" customFormat="1" ht="14" x14ac:dyDescent="0.2">
      <c r="B1150" s="309"/>
      <c r="C1150" s="606"/>
      <c r="D1150" s="606"/>
      <c r="E1150" s="606"/>
      <c r="F1150" s="606"/>
      <c r="G1150" s="606"/>
      <c r="H1150" s="294"/>
      <c r="I1150" s="169"/>
      <c r="J1150" s="167"/>
      <c r="K1150" s="169"/>
      <c r="L1150" s="167"/>
      <c r="M1150" s="169"/>
      <c r="N1150" s="167"/>
      <c r="O1150" s="169"/>
    </row>
    <row r="1151" spans="2:15" s="453" customFormat="1" ht="14" x14ac:dyDescent="0.2">
      <c r="B1151" s="309"/>
      <c r="C1151" s="606"/>
      <c r="D1151" s="606"/>
      <c r="E1151" s="606"/>
      <c r="F1151" s="606"/>
      <c r="G1151" s="606"/>
      <c r="H1151" s="294"/>
      <c r="I1151" s="169"/>
      <c r="J1151" s="167"/>
      <c r="K1151" s="169"/>
      <c r="L1151" s="167"/>
      <c r="M1151" s="169"/>
      <c r="N1151" s="167"/>
      <c r="O1151" s="169"/>
    </row>
    <row r="1152" spans="2:15" s="453" customFormat="1" ht="14" x14ac:dyDescent="0.2">
      <c r="B1152" s="309"/>
      <c r="C1152" s="606" t="s">
        <v>539</v>
      </c>
      <c r="D1152" s="606"/>
      <c r="E1152" s="606"/>
      <c r="F1152" s="606"/>
      <c r="G1152" s="606"/>
      <c r="H1152" s="296"/>
      <c r="I1152" s="168" t="s">
        <v>211</v>
      </c>
      <c r="J1152" s="166" t="s">
        <v>211</v>
      </c>
      <c r="K1152" s="168" t="s">
        <v>211</v>
      </c>
      <c r="L1152" s="166" t="s">
        <v>211</v>
      </c>
      <c r="M1152" s="168" t="s">
        <v>211</v>
      </c>
      <c r="N1152" s="166" t="s">
        <v>211</v>
      </c>
      <c r="O1152" s="168" t="s">
        <v>211</v>
      </c>
    </row>
    <row r="1153" spans="2:15" s="453" customFormat="1" ht="14" x14ac:dyDescent="0.2">
      <c r="B1153" s="309"/>
      <c r="C1153" s="606"/>
      <c r="D1153" s="606"/>
      <c r="E1153" s="606"/>
      <c r="F1153" s="606"/>
      <c r="G1153" s="606"/>
      <c r="H1153" s="294"/>
      <c r="I1153" s="169"/>
      <c r="J1153" s="167"/>
      <c r="K1153" s="169"/>
      <c r="L1153" s="167"/>
      <c r="M1153" s="169"/>
      <c r="N1153" s="167"/>
      <c r="O1153" s="169"/>
    </row>
    <row r="1154" spans="2:15" s="453" customFormat="1" ht="14" x14ac:dyDescent="0.2">
      <c r="B1154" s="309"/>
      <c r="C1154" s="569" t="s">
        <v>540</v>
      </c>
      <c r="D1154" s="569"/>
      <c r="E1154" s="569"/>
      <c r="F1154" s="569"/>
      <c r="G1154" s="569"/>
      <c r="H1154" s="296"/>
      <c r="I1154" s="168" t="s">
        <v>211</v>
      </c>
      <c r="J1154" s="166" t="s">
        <v>211</v>
      </c>
      <c r="K1154" s="168" t="s">
        <v>211</v>
      </c>
      <c r="L1154" s="166" t="s">
        <v>211</v>
      </c>
      <c r="M1154" s="168" t="s">
        <v>211</v>
      </c>
      <c r="N1154" s="166" t="s">
        <v>211</v>
      </c>
      <c r="O1154" s="168" t="s">
        <v>211</v>
      </c>
    </row>
    <row r="1155" spans="2:15" s="453" customFormat="1" ht="14" x14ac:dyDescent="0.2">
      <c r="B1155" s="309"/>
      <c r="C1155" s="310"/>
      <c r="F1155" s="622" t="s">
        <v>455</v>
      </c>
      <c r="G1155" s="622"/>
      <c r="H1155" s="736"/>
      <c r="I1155" s="169"/>
      <c r="J1155" s="167"/>
      <c r="K1155" s="169"/>
      <c r="L1155" s="167"/>
      <c r="M1155" s="169"/>
      <c r="N1155" s="167"/>
      <c r="O1155" s="169"/>
    </row>
    <row r="1156" spans="2:15" s="453" customFormat="1" ht="14" x14ac:dyDescent="0.2">
      <c r="B1156" s="318"/>
      <c r="C1156" s="319"/>
      <c r="D1156" s="838" t="s">
        <v>541</v>
      </c>
      <c r="E1156" s="838"/>
      <c r="F1156" s="838"/>
      <c r="G1156" s="838"/>
      <c r="H1156" s="839"/>
      <c r="I1156" s="174"/>
      <c r="J1156" s="175"/>
      <c r="K1156" s="174"/>
      <c r="L1156" s="167"/>
      <c r="M1156" s="169"/>
      <c r="N1156" s="167"/>
      <c r="O1156" s="169"/>
    </row>
    <row r="1157" spans="2:15" s="453" customFormat="1" ht="12.75" customHeight="1" x14ac:dyDescent="0.2">
      <c r="B1157" s="323">
        <v>8</v>
      </c>
      <c r="C1157" s="616" t="s">
        <v>542</v>
      </c>
      <c r="D1157" s="616"/>
      <c r="E1157" s="616"/>
      <c r="F1157" s="616"/>
      <c r="G1157" s="616"/>
      <c r="H1157" s="162"/>
      <c r="I1157" s="169"/>
      <c r="J1157" s="167"/>
      <c r="K1157" s="169"/>
      <c r="L1157" s="167"/>
      <c r="M1157" s="169"/>
      <c r="N1157" s="167"/>
      <c r="O1157" s="169"/>
    </row>
    <row r="1158" spans="2:15" s="453" customFormat="1" ht="14" x14ac:dyDescent="0.2">
      <c r="B1158" s="324"/>
      <c r="C1158" s="617"/>
      <c r="D1158" s="617"/>
      <c r="E1158" s="617"/>
      <c r="F1158" s="617"/>
      <c r="G1158" s="617"/>
      <c r="H1158" s="294"/>
      <c r="I1158" s="169"/>
      <c r="J1158" s="167"/>
      <c r="K1158" s="169"/>
      <c r="L1158" s="167"/>
      <c r="M1158" s="169"/>
      <c r="N1158" s="167"/>
      <c r="O1158" s="169"/>
    </row>
    <row r="1159" spans="2:15" s="453" customFormat="1" ht="14" x14ac:dyDescent="0.2">
      <c r="B1159" s="324"/>
      <c r="C1159" s="617"/>
      <c r="D1159" s="617"/>
      <c r="E1159" s="617"/>
      <c r="F1159" s="617"/>
      <c r="G1159" s="617"/>
      <c r="H1159" s="294"/>
      <c r="I1159" s="169"/>
      <c r="J1159" s="167"/>
      <c r="K1159" s="169"/>
      <c r="L1159" s="167"/>
      <c r="M1159" s="169"/>
      <c r="N1159" s="167"/>
      <c r="O1159" s="169"/>
    </row>
    <row r="1160" spans="2:15" s="453" customFormat="1" ht="14" x14ac:dyDescent="0.2">
      <c r="B1160" s="324"/>
      <c r="C1160" s="617"/>
      <c r="D1160" s="617"/>
      <c r="E1160" s="617"/>
      <c r="F1160" s="617"/>
      <c r="G1160" s="617"/>
      <c r="H1160" s="294"/>
      <c r="I1160" s="169"/>
      <c r="J1160" s="167"/>
      <c r="K1160" s="169"/>
      <c r="L1160" s="167"/>
      <c r="M1160" s="169"/>
      <c r="N1160" s="167"/>
      <c r="O1160" s="169"/>
    </row>
    <row r="1161" spans="2:15" s="453" customFormat="1" ht="14" x14ac:dyDescent="0.2">
      <c r="B1161" s="324"/>
      <c r="C1161" s="617"/>
      <c r="D1161" s="617"/>
      <c r="E1161" s="617"/>
      <c r="F1161" s="617"/>
      <c r="G1161" s="617"/>
      <c r="H1161" s="294"/>
      <c r="I1161" s="169"/>
      <c r="J1161" s="167"/>
      <c r="K1161" s="169"/>
      <c r="L1161" s="167"/>
      <c r="M1161" s="169"/>
      <c r="N1161" s="167"/>
      <c r="O1161" s="169"/>
    </row>
    <row r="1162" spans="2:15" s="453" customFormat="1" ht="14" x14ac:dyDescent="0.2">
      <c r="B1162" s="324"/>
      <c r="C1162" s="617"/>
      <c r="D1162" s="617"/>
      <c r="E1162" s="617"/>
      <c r="F1162" s="617"/>
      <c r="G1162" s="617"/>
      <c r="H1162" s="294"/>
      <c r="I1162" s="169"/>
      <c r="J1162" s="167"/>
      <c r="K1162" s="169"/>
      <c r="L1162" s="167"/>
      <c r="M1162" s="169"/>
      <c r="N1162" s="167"/>
      <c r="O1162" s="169"/>
    </row>
    <row r="1163" spans="2:15" s="453" customFormat="1" ht="14" x14ac:dyDescent="0.2">
      <c r="B1163" s="308" t="s">
        <v>333</v>
      </c>
      <c r="C1163" s="634" t="s">
        <v>543</v>
      </c>
      <c r="D1163" s="634"/>
      <c r="E1163" s="634"/>
      <c r="F1163" s="634"/>
      <c r="G1163" s="634"/>
      <c r="H1163" s="294"/>
      <c r="I1163" s="169"/>
      <c r="J1163" s="167"/>
      <c r="K1163" s="169"/>
      <c r="L1163" s="167"/>
      <c r="M1163" s="169"/>
      <c r="N1163" s="167"/>
      <c r="O1163" s="169"/>
    </row>
    <row r="1164" spans="2:15" s="453" customFormat="1" ht="14" x14ac:dyDescent="0.2">
      <c r="B1164" s="325"/>
      <c r="C1164" s="326" t="s">
        <v>544</v>
      </c>
      <c r="D1164" s="326"/>
      <c r="E1164" s="326"/>
      <c r="F1164" s="326" t="s">
        <v>561</v>
      </c>
      <c r="G1164" s="326"/>
      <c r="H1164" s="294"/>
      <c r="I1164" s="169"/>
      <c r="J1164" s="167"/>
      <c r="K1164" s="169"/>
      <c r="L1164" s="167"/>
      <c r="M1164" s="169"/>
      <c r="N1164" s="167"/>
      <c r="O1164" s="169"/>
    </row>
    <row r="1165" spans="2:15" s="453" customFormat="1" ht="14" x14ac:dyDescent="0.2">
      <c r="B1165" s="325"/>
      <c r="C1165" s="326" t="s">
        <v>545</v>
      </c>
      <c r="D1165" s="326"/>
      <c r="E1165" s="326"/>
      <c r="F1165" s="326" t="s">
        <v>548</v>
      </c>
      <c r="G1165" s="326"/>
      <c r="H1165" s="294"/>
      <c r="I1165" s="169"/>
      <c r="J1165" s="167"/>
      <c r="K1165" s="169"/>
      <c r="L1165" s="167"/>
      <c r="M1165" s="169"/>
      <c r="N1165" s="167"/>
      <c r="O1165" s="169"/>
    </row>
    <row r="1166" spans="2:15" s="453" customFormat="1" ht="14" x14ac:dyDescent="0.2">
      <c r="B1166" s="325"/>
      <c r="C1166" s="326" t="s">
        <v>546</v>
      </c>
      <c r="D1166" s="326"/>
      <c r="E1166" s="326"/>
      <c r="F1166" s="326" t="s">
        <v>549</v>
      </c>
      <c r="G1166" s="326"/>
      <c r="H1166" s="294"/>
      <c r="I1166" s="169"/>
      <c r="J1166" s="167"/>
      <c r="K1166" s="169"/>
      <c r="L1166" s="167"/>
      <c r="M1166" s="169"/>
      <c r="N1166" s="167"/>
      <c r="O1166" s="169"/>
    </row>
    <row r="1167" spans="2:15" s="453" customFormat="1" ht="14" x14ac:dyDescent="0.2">
      <c r="B1167" s="325"/>
      <c r="C1167" s="326" t="s">
        <v>547</v>
      </c>
      <c r="D1167" s="326"/>
      <c r="E1167" s="326"/>
      <c r="F1167" s="326" t="s">
        <v>550</v>
      </c>
      <c r="G1167" s="326"/>
      <c r="H1167" s="294"/>
      <c r="I1167" s="169"/>
      <c r="J1167" s="167"/>
      <c r="K1167" s="169"/>
      <c r="L1167" s="167"/>
      <c r="M1167" s="169"/>
      <c r="N1167" s="167"/>
      <c r="O1167" s="169"/>
    </row>
    <row r="1168" spans="2:15" s="453" customFormat="1" ht="14" x14ac:dyDescent="0.2">
      <c r="B1168" s="325"/>
      <c r="C1168" s="326" t="s">
        <v>551</v>
      </c>
      <c r="D1168" s="326"/>
      <c r="E1168" s="326"/>
      <c r="F1168" s="326"/>
      <c r="G1168" s="326"/>
      <c r="H1168" s="294"/>
      <c r="I1168" s="169"/>
      <c r="J1168" s="167"/>
      <c r="K1168" s="169"/>
      <c r="L1168" s="167"/>
      <c r="M1168" s="169"/>
      <c r="N1168" s="167"/>
      <c r="O1168" s="169"/>
    </row>
    <row r="1169" spans="2:16" s="453" customFormat="1" ht="14" x14ac:dyDescent="0.2">
      <c r="B1169" s="309"/>
      <c r="C1169" s="310"/>
      <c r="E1169" s="622" t="s">
        <v>552</v>
      </c>
      <c r="F1169" s="622"/>
      <c r="G1169" s="622"/>
      <c r="H1169" s="736"/>
      <c r="I1169" s="174"/>
      <c r="J1169" s="167"/>
      <c r="K1169" s="169"/>
      <c r="L1169" s="167"/>
      <c r="M1169" s="169"/>
      <c r="N1169" s="167"/>
      <c r="O1169" s="169"/>
    </row>
    <row r="1170" spans="2:16" s="453" customFormat="1" ht="14" x14ac:dyDescent="0.2">
      <c r="B1170" s="318"/>
      <c r="C1170" s="838" t="s">
        <v>553</v>
      </c>
      <c r="D1170" s="838"/>
      <c r="E1170" s="838"/>
      <c r="F1170" s="838"/>
      <c r="G1170" s="838"/>
      <c r="H1170" s="839"/>
      <c r="I1170" s="174"/>
      <c r="J1170" s="175"/>
      <c r="K1170" s="174"/>
      <c r="L1170" s="175"/>
      <c r="M1170" s="174"/>
      <c r="N1170" s="175"/>
      <c r="O1170" s="169"/>
    </row>
    <row r="1171" spans="2:16" s="453" customFormat="1" ht="14" x14ac:dyDescent="0.2">
      <c r="B1171" s="327" t="s">
        <v>279</v>
      </c>
      <c r="C1171" s="738" t="s">
        <v>554</v>
      </c>
      <c r="D1171" s="738"/>
      <c r="E1171" s="738"/>
      <c r="F1171" s="738"/>
      <c r="G1171" s="738"/>
      <c r="H1171" s="292"/>
      <c r="I1171" s="168" t="s">
        <v>211</v>
      </c>
      <c r="J1171" s="166" t="s">
        <v>211</v>
      </c>
      <c r="K1171" s="168" t="s">
        <v>211</v>
      </c>
      <c r="L1171" s="166" t="s">
        <v>211</v>
      </c>
      <c r="M1171" s="168" t="s">
        <v>211</v>
      </c>
      <c r="N1171" s="166" t="s">
        <v>211</v>
      </c>
      <c r="O1171" s="168" t="s">
        <v>211</v>
      </c>
    </row>
    <row r="1172" spans="2:16" s="453" customFormat="1" ht="14" x14ac:dyDescent="0.2">
      <c r="B1172" s="309"/>
      <c r="C1172" s="569" t="s">
        <v>555</v>
      </c>
      <c r="D1172" s="569"/>
      <c r="E1172" s="569"/>
      <c r="F1172" s="569"/>
      <c r="G1172" s="569"/>
      <c r="H1172" s="296"/>
      <c r="I1172" s="168" t="s">
        <v>211</v>
      </c>
      <c r="J1172" s="166" t="s">
        <v>211</v>
      </c>
      <c r="K1172" s="168" t="s">
        <v>211</v>
      </c>
      <c r="L1172" s="166" t="s">
        <v>211</v>
      </c>
      <c r="M1172" s="168" t="s">
        <v>211</v>
      </c>
      <c r="N1172" s="166" t="s">
        <v>211</v>
      </c>
      <c r="O1172" s="168" t="s">
        <v>211</v>
      </c>
    </row>
    <row r="1173" spans="2:16" s="453" customFormat="1" ht="14" x14ac:dyDescent="0.2">
      <c r="B1173" s="309"/>
      <c r="C1173" s="569" t="s">
        <v>562</v>
      </c>
      <c r="D1173" s="569"/>
      <c r="E1173" s="569"/>
      <c r="F1173" s="569"/>
      <c r="G1173" s="569"/>
      <c r="H1173" s="296"/>
      <c r="I1173" s="168" t="s">
        <v>211</v>
      </c>
      <c r="J1173" s="166" t="s">
        <v>211</v>
      </c>
      <c r="K1173" s="168" t="s">
        <v>211</v>
      </c>
      <c r="L1173" s="166" t="s">
        <v>211</v>
      </c>
      <c r="M1173" s="168" t="s">
        <v>211</v>
      </c>
      <c r="N1173" s="166" t="s">
        <v>211</v>
      </c>
      <c r="O1173" s="168" t="s">
        <v>211</v>
      </c>
    </row>
    <row r="1174" spans="2:16" s="453" customFormat="1" ht="12.75" customHeight="1" x14ac:dyDescent="0.2">
      <c r="B1174" s="309"/>
      <c r="C1174" s="606" t="s">
        <v>563</v>
      </c>
      <c r="D1174" s="606"/>
      <c r="E1174" s="606"/>
      <c r="F1174" s="606"/>
      <c r="G1174" s="606"/>
      <c r="H1174" s="296"/>
      <c r="I1174" s="168" t="s">
        <v>211</v>
      </c>
      <c r="J1174" s="166" t="s">
        <v>211</v>
      </c>
      <c r="K1174" s="168" t="s">
        <v>211</v>
      </c>
      <c r="L1174" s="166" t="s">
        <v>211</v>
      </c>
      <c r="M1174" s="168" t="s">
        <v>211</v>
      </c>
      <c r="N1174" s="166" t="s">
        <v>211</v>
      </c>
      <c r="O1174" s="168" t="s">
        <v>211</v>
      </c>
    </row>
    <row r="1175" spans="2:16" s="453" customFormat="1" ht="14" x14ac:dyDescent="0.2">
      <c r="B1175" s="309"/>
      <c r="C1175" s="606"/>
      <c r="D1175" s="606"/>
      <c r="E1175" s="606"/>
      <c r="F1175" s="606"/>
      <c r="G1175" s="606"/>
      <c r="H1175" s="294"/>
      <c r="I1175" s="169"/>
      <c r="J1175" s="167"/>
      <c r="K1175" s="169"/>
      <c r="L1175" s="167"/>
      <c r="M1175" s="169"/>
      <c r="N1175" s="167"/>
      <c r="O1175" s="169"/>
    </row>
    <row r="1176" spans="2:16" s="453" customFormat="1" ht="12.75" customHeight="1" x14ac:dyDescent="0.2">
      <c r="B1176" s="309"/>
      <c r="C1176" s="633" t="s">
        <v>556</v>
      </c>
      <c r="D1176" s="633"/>
      <c r="E1176" s="633"/>
      <c r="F1176" s="633"/>
      <c r="G1176" s="633"/>
      <c r="H1176" s="296"/>
      <c r="I1176" s="168" t="s">
        <v>211</v>
      </c>
      <c r="J1176" s="166" t="s">
        <v>211</v>
      </c>
      <c r="K1176" s="168" t="s">
        <v>211</v>
      </c>
      <c r="L1176" s="166" t="s">
        <v>211</v>
      </c>
      <c r="M1176" s="168" t="s">
        <v>211</v>
      </c>
      <c r="N1176" s="166" t="s">
        <v>211</v>
      </c>
      <c r="O1176" s="168" t="s">
        <v>211</v>
      </c>
    </row>
    <row r="1177" spans="2:16" s="453" customFormat="1" ht="14" x14ac:dyDescent="0.2">
      <c r="B1177" s="318"/>
      <c r="C1177" s="319"/>
      <c r="D1177" s="303"/>
      <c r="E1177" s="303"/>
      <c r="F1177" s="838" t="s">
        <v>557</v>
      </c>
      <c r="G1177" s="838"/>
      <c r="H1177" s="839"/>
      <c r="I1177" s="169"/>
      <c r="J1177" s="167"/>
      <c r="K1177" s="169"/>
      <c r="L1177" s="167"/>
      <c r="M1177" s="169"/>
      <c r="N1177" s="167"/>
      <c r="O1177" s="169"/>
    </row>
    <row r="1178" spans="2:16" s="453" customFormat="1" ht="12.75" customHeight="1" x14ac:dyDescent="0.2">
      <c r="B1178" s="327" t="s">
        <v>280</v>
      </c>
      <c r="C1178" s="618" t="s">
        <v>558</v>
      </c>
      <c r="D1178" s="618"/>
      <c r="E1178" s="618"/>
      <c r="F1178" s="618"/>
      <c r="G1178" s="618"/>
      <c r="H1178" s="292"/>
      <c r="I1178" s="168" t="s">
        <v>211</v>
      </c>
      <c r="J1178" s="166" t="s">
        <v>211</v>
      </c>
      <c r="K1178" s="168" t="s">
        <v>211</v>
      </c>
      <c r="L1178" s="166" t="s">
        <v>211</v>
      </c>
      <c r="M1178" s="168" t="s">
        <v>211</v>
      </c>
      <c r="N1178" s="166" t="s">
        <v>211</v>
      </c>
      <c r="O1178" s="168" t="s">
        <v>211</v>
      </c>
    </row>
    <row r="1179" spans="2:16" s="453" customFormat="1" ht="14" x14ac:dyDescent="0.2">
      <c r="B1179" s="328"/>
      <c r="C1179" s="619"/>
      <c r="D1179" s="619"/>
      <c r="E1179" s="619"/>
      <c r="F1179" s="619"/>
      <c r="G1179" s="619"/>
      <c r="H1179" s="294"/>
      <c r="I1179" s="169"/>
      <c r="J1179" s="167"/>
      <c r="K1179" s="169"/>
      <c r="L1179" s="167"/>
      <c r="M1179" s="169"/>
      <c r="N1179" s="167"/>
      <c r="O1179" s="169"/>
    </row>
    <row r="1180" spans="2:16" s="453" customFormat="1" ht="14" x14ac:dyDescent="0.2">
      <c r="B1180" s="328"/>
      <c r="C1180" s="619"/>
      <c r="D1180" s="619"/>
      <c r="E1180" s="619"/>
      <c r="F1180" s="619"/>
      <c r="G1180" s="619"/>
      <c r="H1180" s="294"/>
      <c r="I1180" s="169"/>
      <c r="J1180" s="167"/>
      <c r="K1180" s="169"/>
      <c r="L1180" s="167"/>
      <c r="M1180" s="169"/>
      <c r="N1180" s="167"/>
      <c r="O1180" s="169"/>
    </row>
    <row r="1181" spans="2:16" s="453" customFormat="1" ht="14" x14ac:dyDescent="0.2">
      <c r="B1181" s="309"/>
      <c r="C1181" s="606" t="s">
        <v>539</v>
      </c>
      <c r="D1181" s="606"/>
      <c r="E1181" s="606"/>
      <c r="F1181" s="606"/>
      <c r="G1181" s="606"/>
      <c r="H1181" s="296"/>
      <c r="I1181" s="168" t="s">
        <v>211</v>
      </c>
      <c r="J1181" s="166" t="s">
        <v>211</v>
      </c>
      <c r="K1181" s="168" t="s">
        <v>211</v>
      </c>
      <c r="L1181" s="166" t="s">
        <v>211</v>
      </c>
      <c r="M1181" s="168" t="s">
        <v>211</v>
      </c>
      <c r="N1181" s="166" t="s">
        <v>211</v>
      </c>
      <c r="O1181" s="168" t="s">
        <v>211</v>
      </c>
    </row>
    <row r="1182" spans="2:16" s="453" customFormat="1" ht="14" x14ac:dyDescent="0.2">
      <c r="B1182" s="309"/>
      <c r="C1182" s="606"/>
      <c r="D1182" s="606"/>
      <c r="E1182" s="606"/>
      <c r="F1182" s="606"/>
      <c r="G1182" s="606"/>
      <c r="H1182" s="294"/>
      <c r="I1182" s="169"/>
      <c r="J1182" s="167"/>
      <c r="K1182" s="169"/>
      <c r="L1182" s="167"/>
      <c r="M1182" s="169"/>
      <c r="N1182" s="167"/>
      <c r="O1182" s="169"/>
    </row>
    <row r="1183" spans="2:16" s="453" customFormat="1" ht="14" x14ac:dyDescent="0.2">
      <c r="B1183" s="309"/>
      <c r="C1183" s="569" t="s">
        <v>1761</v>
      </c>
      <c r="D1183" s="569"/>
      <c r="E1183" s="569"/>
      <c r="F1183" s="569"/>
      <c r="G1183" s="569"/>
      <c r="H1183" s="296"/>
      <c r="I1183" s="168" t="s">
        <v>211</v>
      </c>
      <c r="J1183" s="166" t="s">
        <v>211</v>
      </c>
      <c r="K1183" s="168" t="s">
        <v>211</v>
      </c>
      <c r="L1183" s="166" t="s">
        <v>211</v>
      </c>
      <c r="M1183" s="168" t="s">
        <v>211</v>
      </c>
      <c r="N1183" s="166" t="s">
        <v>211</v>
      </c>
      <c r="O1183" s="168" t="s">
        <v>211</v>
      </c>
    </row>
    <row r="1184" spans="2:16" s="453" customFormat="1" ht="14" x14ac:dyDescent="0.2">
      <c r="B1184" s="309"/>
      <c r="C1184" s="310"/>
      <c r="D1184" s="607" t="s">
        <v>541</v>
      </c>
      <c r="E1184" s="607"/>
      <c r="F1184" s="607"/>
      <c r="G1184" s="607"/>
      <c r="H1184" s="608"/>
      <c r="I1184" s="182">
        <f>COUNTIF(I971:I1183,Data!$A$1)</f>
        <v>0</v>
      </c>
      <c r="J1184" s="204">
        <f>COUNTIF(J971:J1183,Data!$A$1)</f>
        <v>0</v>
      </c>
      <c r="K1184" s="182">
        <f>COUNTIF(K971:K1183,Data!$A$1)</f>
        <v>0</v>
      </c>
      <c r="L1184" s="204">
        <f>COUNTIF(L971:L1183,Data!$A$1)</f>
        <v>0</v>
      </c>
      <c r="M1184" s="182">
        <f>COUNTIF(M971:M1183,Data!$A$1)</f>
        <v>0</v>
      </c>
      <c r="N1184" s="204">
        <f>COUNTIF(N971:N1183,Data!$A$1)</f>
        <v>0</v>
      </c>
      <c r="O1184" s="182">
        <f>COUNTIF(O971:O1183,Data!$A$1)</f>
        <v>0</v>
      </c>
      <c r="P1184" s="107">
        <f>SUM(I1184:K1184,M1184:N1184)</f>
        <v>0</v>
      </c>
    </row>
    <row r="1185" spans="2:16" s="453" customFormat="1" ht="14" x14ac:dyDescent="0.2">
      <c r="B1185" s="318"/>
      <c r="C1185" s="319"/>
      <c r="D1185" s="303"/>
      <c r="E1185" s="303"/>
      <c r="F1185" s="745" t="s">
        <v>455</v>
      </c>
      <c r="G1185" s="745"/>
      <c r="H1185" s="746"/>
      <c r="I1185" s="172">
        <f>SUM(I1184*5)</f>
        <v>0</v>
      </c>
      <c r="J1185" s="202"/>
      <c r="K1185" s="172">
        <f>SUM(K1184*4)</f>
        <v>0</v>
      </c>
      <c r="L1185" s="202"/>
      <c r="M1185" s="172">
        <f>SUM(M1184*5)</f>
        <v>0</v>
      </c>
      <c r="N1185" s="202">
        <f>SUM(N1184*5)</f>
        <v>0</v>
      </c>
      <c r="O1185" s="172">
        <f>SUM(I1185:N1185)</f>
        <v>0</v>
      </c>
      <c r="P1185" s="107">
        <f>SUM(P1184*5)</f>
        <v>0</v>
      </c>
    </row>
    <row r="1186" spans="2:16" s="453" customFormat="1" ht="14" x14ac:dyDescent="0.2">
      <c r="B1186" s="112"/>
      <c r="I1186" s="135"/>
      <c r="J1186" s="105"/>
      <c r="K1186" s="135"/>
      <c r="L1186" s="105"/>
      <c r="M1186" s="135"/>
      <c r="N1186" s="105"/>
      <c r="O1186" s="135"/>
    </row>
    <row r="1187" spans="2:16" s="453" customFormat="1" ht="14" x14ac:dyDescent="0.2">
      <c r="B1187" s="848" t="s">
        <v>564</v>
      </c>
      <c r="C1187" s="849"/>
      <c r="D1187" s="849"/>
      <c r="E1187" s="849"/>
      <c r="F1187" s="440"/>
      <c r="G1187" s="440"/>
      <c r="H1187" s="329"/>
      <c r="I1187" s="169"/>
      <c r="J1187" s="167"/>
      <c r="K1187" s="169"/>
      <c r="L1187" s="167"/>
      <c r="M1187" s="169"/>
      <c r="N1187" s="167"/>
      <c r="O1187" s="169"/>
    </row>
    <row r="1188" spans="2:16" s="453" customFormat="1" ht="12.75" customHeight="1" x14ac:dyDescent="0.2">
      <c r="B1188" s="291"/>
      <c r="C1188" s="801" t="s">
        <v>565</v>
      </c>
      <c r="D1188" s="801"/>
      <c r="E1188" s="801"/>
      <c r="F1188" s="801"/>
      <c r="G1188" s="801"/>
      <c r="H1188" s="292"/>
      <c r="I1188" s="168" t="s">
        <v>211</v>
      </c>
      <c r="J1188" s="166" t="s">
        <v>211</v>
      </c>
      <c r="K1188" s="168" t="s">
        <v>211</v>
      </c>
      <c r="L1188" s="166" t="s">
        <v>211</v>
      </c>
      <c r="M1188" s="168" t="s">
        <v>211</v>
      </c>
      <c r="N1188" s="166" t="s">
        <v>211</v>
      </c>
      <c r="O1188" s="168" t="s">
        <v>211</v>
      </c>
    </row>
    <row r="1189" spans="2:16" s="453" customFormat="1" ht="14" x14ac:dyDescent="0.2">
      <c r="B1189" s="302"/>
      <c r="C1189" s="860"/>
      <c r="D1189" s="860"/>
      <c r="E1189" s="860"/>
      <c r="F1189" s="860"/>
      <c r="G1189" s="860"/>
      <c r="H1189" s="298"/>
      <c r="I1189" s="172">
        <f>COUNTIF(I1188,Data!$A$1)</f>
        <v>0</v>
      </c>
      <c r="J1189" s="203">
        <f>COUNTIF(J1188,Data!$A$1)</f>
        <v>0</v>
      </c>
      <c r="K1189" s="172">
        <f>COUNTIF(K1188,Data!$A$1)</f>
        <v>0</v>
      </c>
      <c r="L1189" s="203">
        <f>COUNTIF(L1188,Data!$A$1)</f>
        <v>0</v>
      </c>
      <c r="M1189" s="172">
        <f>COUNTIF(M1188,Data!$A$1)</f>
        <v>0</v>
      </c>
      <c r="N1189" s="203">
        <f>COUNTIF(N1188,Data!$A$1)</f>
        <v>0</v>
      </c>
      <c r="O1189" s="172">
        <f>COUNTIF(O1188,Data!$A$1)</f>
        <v>0</v>
      </c>
      <c r="P1189" s="107">
        <f>SUM(I1189:K1189,M1189:N1189)</f>
        <v>0</v>
      </c>
    </row>
    <row r="1190" spans="2:16" s="453" customFormat="1" ht="14" x14ac:dyDescent="0.2">
      <c r="B1190" s="112"/>
      <c r="G1190" s="107">
        <f>SUM(H1190,K1190)</f>
        <v>0</v>
      </c>
      <c r="H1190" s="211">
        <f>SUM(I1190*15)</f>
        <v>0</v>
      </c>
      <c r="I1190" s="165">
        <f>SUM(I1189,M1189,N1189)</f>
        <v>0</v>
      </c>
      <c r="J1190" s="211"/>
      <c r="K1190" s="165">
        <f>SUM(K1189*10)</f>
        <v>0</v>
      </c>
      <c r="L1190" s="207"/>
      <c r="M1190" s="135"/>
      <c r="N1190" s="207"/>
      <c r="O1190" s="135"/>
      <c r="P1190" s="107">
        <f>SUM(P1189*15)</f>
        <v>0</v>
      </c>
    </row>
    <row r="1191" spans="2:16" s="453" customFormat="1" ht="14" x14ac:dyDescent="0.2">
      <c r="B1191" s="330" t="s">
        <v>566</v>
      </c>
      <c r="C1191" s="331"/>
      <c r="D1191" s="331"/>
      <c r="E1191" s="136"/>
      <c r="F1191" s="136"/>
      <c r="G1191" s="136"/>
      <c r="H1191" s="332"/>
      <c r="I1191" s="135"/>
      <c r="J1191" s="105"/>
      <c r="K1191" s="135"/>
      <c r="L1191" s="105"/>
      <c r="M1191" s="135"/>
      <c r="N1191" s="105"/>
      <c r="O1191" s="135"/>
    </row>
    <row r="1192" spans="2:16" s="453" customFormat="1" ht="14" x14ac:dyDescent="0.2">
      <c r="B1192" s="311">
        <v>1</v>
      </c>
      <c r="C1192" s="568" t="s">
        <v>567</v>
      </c>
      <c r="D1192" s="568"/>
      <c r="E1192" s="568"/>
      <c r="F1192" s="568"/>
      <c r="G1192" s="568"/>
      <c r="H1192" s="333"/>
      <c r="I1192" s="168" t="s">
        <v>211</v>
      </c>
      <c r="J1192" s="166" t="s">
        <v>211</v>
      </c>
      <c r="K1192" s="168" t="s">
        <v>211</v>
      </c>
      <c r="L1192" s="166" t="s">
        <v>211</v>
      </c>
      <c r="M1192" s="168" t="s">
        <v>211</v>
      </c>
      <c r="N1192" s="166" t="s">
        <v>211</v>
      </c>
      <c r="O1192" s="168" t="s">
        <v>211</v>
      </c>
    </row>
    <row r="1193" spans="2:16" s="453" customFormat="1" ht="14" x14ac:dyDescent="0.2">
      <c r="B1193" s="316"/>
      <c r="C1193" s="606"/>
      <c r="D1193" s="606"/>
      <c r="E1193" s="606"/>
      <c r="F1193" s="606"/>
      <c r="G1193" s="606"/>
      <c r="H1193" s="322"/>
      <c r="I1193" s="169"/>
      <c r="J1193" s="167"/>
      <c r="K1193" s="169"/>
      <c r="L1193" s="167"/>
      <c r="M1193" s="169"/>
      <c r="N1193" s="167"/>
      <c r="O1193" s="169"/>
    </row>
    <row r="1194" spans="2:16" s="453" customFormat="1" ht="14" x14ac:dyDescent="0.2">
      <c r="B1194" s="309"/>
      <c r="C1194" s="569" t="s">
        <v>577</v>
      </c>
      <c r="D1194" s="569"/>
      <c r="E1194" s="569"/>
      <c r="F1194" s="569"/>
      <c r="G1194" s="569"/>
      <c r="H1194" s="334"/>
      <c r="I1194" s="168" t="s">
        <v>211</v>
      </c>
      <c r="J1194" s="166" t="s">
        <v>211</v>
      </c>
      <c r="K1194" s="168" t="s">
        <v>211</v>
      </c>
      <c r="L1194" s="166" t="s">
        <v>211</v>
      </c>
      <c r="M1194" s="168" t="s">
        <v>211</v>
      </c>
      <c r="N1194" s="166" t="s">
        <v>211</v>
      </c>
      <c r="O1194" s="168" t="s">
        <v>211</v>
      </c>
    </row>
    <row r="1195" spans="2:16" s="453" customFormat="1" ht="14" x14ac:dyDescent="0.2">
      <c r="B1195" s="309"/>
      <c r="C1195" s="606" t="s">
        <v>578</v>
      </c>
      <c r="D1195" s="606"/>
      <c r="E1195" s="606"/>
      <c r="F1195" s="606"/>
      <c r="G1195" s="606"/>
      <c r="H1195" s="334"/>
      <c r="I1195" s="168" t="s">
        <v>211</v>
      </c>
      <c r="J1195" s="166" t="s">
        <v>211</v>
      </c>
      <c r="K1195" s="168" t="s">
        <v>211</v>
      </c>
      <c r="L1195" s="166" t="s">
        <v>211</v>
      </c>
      <c r="M1195" s="168" t="s">
        <v>211</v>
      </c>
      <c r="N1195" s="166" t="s">
        <v>211</v>
      </c>
      <c r="O1195" s="168" t="s">
        <v>211</v>
      </c>
    </row>
    <row r="1196" spans="2:16" s="453" customFormat="1" ht="14" x14ac:dyDescent="0.2">
      <c r="B1196" s="309"/>
      <c r="C1196" s="606"/>
      <c r="D1196" s="606"/>
      <c r="E1196" s="606"/>
      <c r="F1196" s="606"/>
      <c r="G1196" s="606"/>
      <c r="H1196" s="322"/>
      <c r="I1196" s="169"/>
      <c r="J1196" s="167"/>
      <c r="K1196" s="169"/>
      <c r="L1196" s="167"/>
      <c r="M1196" s="169"/>
      <c r="N1196" s="167"/>
      <c r="O1196" s="169"/>
    </row>
    <row r="1197" spans="2:16" s="453" customFormat="1" ht="14" x14ac:dyDescent="0.2">
      <c r="B1197" s="309"/>
      <c r="C1197" s="335"/>
      <c r="D1197" s="335"/>
      <c r="E1197" s="335"/>
      <c r="F1197" s="620" t="s">
        <v>568</v>
      </c>
      <c r="G1197" s="620"/>
      <c r="H1197" s="621"/>
      <c r="I1197" s="169"/>
      <c r="J1197" s="167"/>
      <c r="K1197" s="169"/>
      <c r="L1197" s="167"/>
      <c r="M1197" s="169"/>
      <c r="N1197" s="167"/>
      <c r="O1197" s="169"/>
    </row>
    <row r="1198" spans="2:16" s="453" customFormat="1" ht="14" x14ac:dyDescent="0.2">
      <c r="B1198" s="309"/>
      <c r="C1198" s="310"/>
      <c r="F1198" s="622" t="s">
        <v>569</v>
      </c>
      <c r="G1198" s="622"/>
      <c r="H1198" s="623"/>
      <c r="I1198" s="169"/>
      <c r="J1198" s="167"/>
      <c r="K1198" s="169"/>
      <c r="L1198" s="167"/>
      <c r="M1198" s="169"/>
      <c r="N1198" s="167"/>
      <c r="O1198" s="169"/>
    </row>
    <row r="1199" spans="2:16" s="453" customFormat="1" ht="14" x14ac:dyDescent="0.2">
      <c r="B1199" s="318"/>
      <c r="C1199" s="319"/>
      <c r="D1199" s="303"/>
      <c r="E1199" s="303"/>
      <c r="F1199" s="624" t="s">
        <v>570</v>
      </c>
      <c r="G1199" s="624"/>
      <c r="H1199" s="624"/>
      <c r="I1199" s="169"/>
      <c r="J1199" s="167"/>
      <c r="K1199" s="169"/>
      <c r="L1199" s="167"/>
      <c r="M1199" s="169"/>
      <c r="N1199" s="167"/>
      <c r="O1199" s="169"/>
    </row>
    <row r="1200" spans="2:16" s="453" customFormat="1" ht="14" x14ac:dyDescent="0.2">
      <c r="B1200" s="336">
        <v>2</v>
      </c>
      <c r="C1200" s="568" t="s">
        <v>579</v>
      </c>
      <c r="D1200" s="568"/>
      <c r="E1200" s="568"/>
      <c r="F1200" s="568"/>
      <c r="G1200" s="568"/>
      <c r="H1200" s="333"/>
      <c r="I1200" s="168" t="s">
        <v>211</v>
      </c>
      <c r="J1200" s="166" t="s">
        <v>211</v>
      </c>
      <c r="K1200" s="168" t="s">
        <v>211</v>
      </c>
      <c r="L1200" s="166" t="s">
        <v>211</v>
      </c>
      <c r="M1200" s="168" t="s">
        <v>211</v>
      </c>
      <c r="N1200" s="166" t="s">
        <v>211</v>
      </c>
      <c r="O1200" s="168" t="s">
        <v>211</v>
      </c>
    </row>
    <row r="1201" spans="2:15" s="453" customFormat="1" ht="14" x14ac:dyDescent="0.2">
      <c r="B1201" s="316"/>
      <c r="C1201" s="606"/>
      <c r="D1201" s="606"/>
      <c r="E1201" s="606"/>
      <c r="F1201" s="606"/>
      <c r="G1201" s="606"/>
      <c r="H1201" s="322"/>
      <c r="I1201" s="169"/>
      <c r="J1201" s="167"/>
      <c r="K1201" s="169"/>
      <c r="L1201" s="167"/>
      <c r="M1201" s="169"/>
      <c r="N1201" s="167"/>
      <c r="O1201" s="169"/>
    </row>
    <row r="1202" spans="2:15" s="453" customFormat="1" ht="14" x14ac:dyDescent="0.2">
      <c r="B1202" s="309"/>
      <c r="C1202" s="569" t="s">
        <v>571</v>
      </c>
      <c r="D1202" s="569"/>
      <c r="E1202" s="569"/>
      <c r="F1202" s="569"/>
      <c r="G1202" s="569"/>
      <c r="H1202" s="334"/>
      <c r="I1202" s="168" t="s">
        <v>211</v>
      </c>
      <c r="J1202" s="166" t="s">
        <v>211</v>
      </c>
      <c r="K1202" s="168" t="s">
        <v>211</v>
      </c>
      <c r="L1202" s="166" t="s">
        <v>211</v>
      </c>
      <c r="M1202" s="168" t="s">
        <v>211</v>
      </c>
      <c r="N1202" s="166" t="s">
        <v>211</v>
      </c>
      <c r="O1202" s="168" t="s">
        <v>211</v>
      </c>
    </row>
    <row r="1203" spans="2:15" s="453" customFormat="1" ht="14" x14ac:dyDescent="0.2">
      <c r="B1203" s="309"/>
      <c r="C1203" s="606" t="s">
        <v>572</v>
      </c>
      <c r="D1203" s="606"/>
      <c r="E1203" s="606"/>
      <c r="F1203" s="606"/>
      <c r="G1203" s="606"/>
      <c r="H1203" s="334"/>
      <c r="I1203" s="168" t="s">
        <v>211</v>
      </c>
      <c r="J1203" s="166" t="s">
        <v>211</v>
      </c>
      <c r="K1203" s="168" t="s">
        <v>211</v>
      </c>
      <c r="L1203" s="166" t="s">
        <v>211</v>
      </c>
      <c r="M1203" s="168" t="s">
        <v>211</v>
      </c>
      <c r="N1203" s="166" t="s">
        <v>211</v>
      </c>
      <c r="O1203" s="168" t="s">
        <v>211</v>
      </c>
    </row>
    <row r="1204" spans="2:15" s="453" customFormat="1" ht="14" x14ac:dyDescent="0.2">
      <c r="B1204" s="309"/>
      <c r="C1204" s="606"/>
      <c r="D1204" s="606"/>
      <c r="E1204" s="606"/>
      <c r="F1204" s="606"/>
      <c r="G1204" s="606"/>
      <c r="H1204" s="322"/>
      <c r="I1204" s="169"/>
      <c r="J1204" s="167"/>
      <c r="K1204" s="169"/>
      <c r="L1204" s="167"/>
      <c r="M1204" s="169"/>
      <c r="N1204" s="167"/>
      <c r="O1204" s="169"/>
    </row>
    <row r="1205" spans="2:15" s="453" customFormat="1" ht="14" x14ac:dyDescent="0.2">
      <c r="B1205" s="309"/>
      <c r="C1205" s="310"/>
      <c r="F1205" s="620" t="s">
        <v>568</v>
      </c>
      <c r="G1205" s="620"/>
      <c r="H1205" s="621"/>
      <c r="I1205" s="169"/>
      <c r="J1205" s="167"/>
      <c r="K1205" s="169"/>
      <c r="L1205" s="167"/>
      <c r="M1205" s="169"/>
      <c r="N1205" s="167"/>
      <c r="O1205" s="169"/>
    </row>
    <row r="1206" spans="2:15" s="453" customFormat="1" ht="14" x14ac:dyDescent="0.2">
      <c r="B1206" s="309"/>
      <c r="C1206" s="310"/>
      <c r="F1206" s="622" t="s">
        <v>569</v>
      </c>
      <c r="G1206" s="622"/>
      <c r="H1206" s="623"/>
      <c r="I1206" s="169"/>
      <c r="J1206" s="167"/>
      <c r="K1206" s="169"/>
      <c r="L1206" s="167"/>
      <c r="M1206" s="169"/>
      <c r="N1206" s="167"/>
      <c r="O1206" s="169"/>
    </row>
    <row r="1207" spans="2:15" s="453" customFormat="1" ht="14" x14ac:dyDescent="0.2">
      <c r="B1207" s="318"/>
      <c r="C1207" s="319"/>
      <c r="D1207" s="303"/>
      <c r="E1207" s="303"/>
      <c r="F1207" s="624" t="s">
        <v>573</v>
      </c>
      <c r="G1207" s="624"/>
      <c r="H1207" s="624"/>
      <c r="I1207" s="169"/>
      <c r="J1207" s="167"/>
      <c r="K1207" s="169"/>
      <c r="L1207" s="167"/>
      <c r="M1207" s="169"/>
      <c r="N1207" s="167"/>
      <c r="O1207" s="169"/>
    </row>
    <row r="1208" spans="2:15" s="453" customFormat="1" ht="14" x14ac:dyDescent="0.2">
      <c r="B1208" s="311">
        <v>3</v>
      </c>
      <c r="C1208" s="568" t="s">
        <v>579</v>
      </c>
      <c r="D1208" s="568"/>
      <c r="E1208" s="568"/>
      <c r="F1208" s="568"/>
      <c r="G1208" s="568"/>
      <c r="H1208" s="333"/>
      <c r="I1208" s="168" t="s">
        <v>211</v>
      </c>
      <c r="J1208" s="166" t="s">
        <v>211</v>
      </c>
      <c r="K1208" s="168" t="s">
        <v>211</v>
      </c>
      <c r="L1208" s="166" t="s">
        <v>211</v>
      </c>
      <c r="M1208" s="168" t="s">
        <v>211</v>
      </c>
      <c r="N1208" s="166" t="s">
        <v>211</v>
      </c>
      <c r="O1208" s="168" t="s">
        <v>211</v>
      </c>
    </row>
    <row r="1209" spans="2:15" s="453" customFormat="1" ht="14" x14ac:dyDescent="0.2">
      <c r="B1209" s="316"/>
      <c r="C1209" s="606"/>
      <c r="D1209" s="606"/>
      <c r="E1209" s="606"/>
      <c r="F1209" s="606"/>
      <c r="G1209" s="606"/>
      <c r="H1209" s="322"/>
      <c r="I1209" s="169"/>
      <c r="J1209" s="167"/>
      <c r="K1209" s="169"/>
      <c r="L1209" s="167"/>
      <c r="M1209" s="169"/>
      <c r="N1209" s="167"/>
      <c r="O1209" s="169"/>
    </row>
    <row r="1210" spans="2:15" s="453" customFormat="1" ht="14" x14ac:dyDescent="0.2">
      <c r="B1210" s="309"/>
      <c r="C1210" s="569" t="s">
        <v>571</v>
      </c>
      <c r="D1210" s="569"/>
      <c r="E1210" s="569"/>
      <c r="F1210" s="569"/>
      <c r="G1210" s="569"/>
      <c r="H1210" s="334"/>
      <c r="I1210" s="168" t="s">
        <v>211</v>
      </c>
      <c r="J1210" s="166" t="s">
        <v>211</v>
      </c>
      <c r="K1210" s="168" t="s">
        <v>211</v>
      </c>
      <c r="L1210" s="166" t="s">
        <v>211</v>
      </c>
      <c r="M1210" s="168" t="s">
        <v>211</v>
      </c>
      <c r="N1210" s="166" t="s">
        <v>211</v>
      </c>
      <c r="O1210" s="168" t="s">
        <v>211</v>
      </c>
    </row>
    <row r="1211" spans="2:15" s="453" customFormat="1" ht="14" x14ac:dyDescent="0.2">
      <c r="B1211" s="309"/>
      <c r="C1211" s="310"/>
      <c r="F1211" s="620" t="s">
        <v>568</v>
      </c>
      <c r="G1211" s="620"/>
      <c r="H1211" s="621"/>
      <c r="I1211" s="169"/>
      <c r="J1211" s="167"/>
      <c r="K1211" s="169"/>
      <c r="L1211" s="167"/>
      <c r="M1211" s="169"/>
      <c r="N1211" s="167"/>
      <c r="O1211" s="169"/>
    </row>
    <row r="1212" spans="2:15" s="453" customFormat="1" ht="14" x14ac:dyDescent="0.2">
      <c r="B1212" s="309"/>
      <c r="C1212" s="310"/>
      <c r="F1212" s="622" t="s">
        <v>569</v>
      </c>
      <c r="G1212" s="622"/>
      <c r="H1212" s="623"/>
      <c r="I1212" s="169"/>
      <c r="J1212" s="167"/>
      <c r="K1212" s="169"/>
      <c r="L1212" s="167"/>
      <c r="M1212" s="169"/>
      <c r="N1212" s="167"/>
      <c r="O1212" s="169"/>
    </row>
    <row r="1213" spans="2:15" s="453" customFormat="1" ht="14" x14ac:dyDescent="0.2">
      <c r="B1213" s="318"/>
      <c r="C1213" s="319"/>
      <c r="D1213" s="303"/>
      <c r="E1213" s="303"/>
      <c r="F1213" s="624" t="s">
        <v>573</v>
      </c>
      <c r="G1213" s="624"/>
      <c r="H1213" s="624"/>
      <c r="I1213" s="169"/>
      <c r="J1213" s="167"/>
      <c r="K1213" s="169"/>
      <c r="L1213" s="167"/>
      <c r="M1213" s="169"/>
      <c r="N1213" s="167"/>
      <c r="O1213" s="169"/>
    </row>
    <row r="1214" spans="2:15" s="453" customFormat="1" ht="14" x14ac:dyDescent="0.2">
      <c r="B1214" s="311">
        <v>4</v>
      </c>
      <c r="C1214" s="738" t="s">
        <v>574</v>
      </c>
      <c r="D1214" s="738"/>
      <c r="E1214" s="738"/>
      <c r="F1214" s="738"/>
      <c r="G1214" s="738"/>
      <c r="H1214" s="333"/>
      <c r="I1214" s="168" t="s">
        <v>211</v>
      </c>
      <c r="J1214" s="166" t="s">
        <v>211</v>
      </c>
      <c r="K1214" s="168" t="s">
        <v>211</v>
      </c>
      <c r="L1214" s="166" t="s">
        <v>211</v>
      </c>
      <c r="M1214" s="168" t="s">
        <v>211</v>
      </c>
      <c r="N1214" s="166" t="s">
        <v>211</v>
      </c>
      <c r="O1214" s="168" t="s">
        <v>211</v>
      </c>
    </row>
    <row r="1215" spans="2:15" s="453" customFormat="1" ht="12.75" customHeight="1" x14ac:dyDescent="0.2">
      <c r="B1215" s="309"/>
      <c r="C1215" s="606" t="s">
        <v>580</v>
      </c>
      <c r="D1215" s="606"/>
      <c r="E1215" s="606"/>
      <c r="F1215" s="606"/>
      <c r="G1215" s="606"/>
      <c r="H1215" s="334"/>
      <c r="I1215" s="168" t="s">
        <v>211</v>
      </c>
      <c r="J1215" s="166" t="s">
        <v>211</v>
      </c>
      <c r="K1215" s="168" t="s">
        <v>211</v>
      </c>
      <c r="L1215" s="166" t="s">
        <v>211</v>
      </c>
      <c r="M1215" s="168" t="s">
        <v>211</v>
      </c>
      <c r="N1215" s="166" t="s">
        <v>211</v>
      </c>
      <c r="O1215" s="168" t="s">
        <v>211</v>
      </c>
    </row>
    <row r="1216" spans="2:15" s="453" customFormat="1" ht="14" x14ac:dyDescent="0.2">
      <c r="B1216" s="309"/>
      <c r="C1216" s="606"/>
      <c r="D1216" s="606"/>
      <c r="E1216" s="606"/>
      <c r="F1216" s="606"/>
      <c r="G1216" s="606"/>
      <c r="H1216" s="322"/>
      <c r="I1216" s="169"/>
      <c r="J1216" s="167"/>
      <c r="K1216" s="169"/>
      <c r="L1216" s="167"/>
      <c r="M1216" s="169"/>
      <c r="N1216" s="167"/>
      <c r="O1216" s="169"/>
    </row>
    <row r="1217" spans="2:16" s="453" customFormat="1" ht="14" x14ac:dyDescent="0.2">
      <c r="B1217" s="309"/>
      <c r="C1217" s="569" t="s">
        <v>581</v>
      </c>
      <c r="D1217" s="569"/>
      <c r="E1217" s="569"/>
      <c r="F1217" s="569"/>
      <c r="G1217" s="569"/>
      <c r="H1217" s="334"/>
      <c r="I1217" s="168" t="s">
        <v>211</v>
      </c>
      <c r="J1217" s="166" t="s">
        <v>211</v>
      </c>
      <c r="K1217" s="168" t="s">
        <v>211</v>
      </c>
      <c r="L1217" s="166" t="s">
        <v>211</v>
      </c>
      <c r="M1217" s="168" t="s">
        <v>211</v>
      </c>
      <c r="N1217" s="166" t="s">
        <v>211</v>
      </c>
      <c r="O1217" s="168" t="s">
        <v>211</v>
      </c>
    </row>
    <row r="1218" spans="2:16" s="453" customFormat="1" ht="12.75" customHeight="1" x14ac:dyDescent="0.2">
      <c r="B1218" s="309"/>
      <c r="C1218" s="635" t="s">
        <v>575</v>
      </c>
      <c r="D1218" s="635"/>
      <c r="E1218" s="635"/>
      <c r="F1218" s="635"/>
      <c r="G1218" s="635"/>
      <c r="H1218" s="334"/>
      <c r="I1218" s="168" t="s">
        <v>211</v>
      </c>
      <c r="J1218" s="166" t="s">
        <v>211</v>
      </c>
      <c r="K1218" s="168" t="s">
        <v>211</v>
      </c>
      <c r="L1218" s="166" t="s">
        <v>211</v>
      </c>
      <c r="M1218" s="168" t="s">
        <v>211</v>
      </c>
      <c r="N1218" s="166" t="s">
        <v>211</v>
      </c>
      <c r="O1218" s="168" t="s">
        <v>211</v>
      </c>
    </row>
    <row r="1219" spans="2:16" s="453" customFormat="1" ht="14" x14ac:dyDescent="0.2">
      <c r="B1219" s="309"/>
      <c r="C1219" s="635"/>
      <c r="D1219" s="635"/>
      <c r="E1219" s="635"/>
      <c r="F1219" s="635"/>
      <c r="G1219" s="635"/>
      <c r="H1219" s="322"/>
      <c r="I1219" s="169"/>
      <c r="J1219" s="167"/>
      <c r="K1219" s="169"/>
      <c r="L1219" s="167"/>
      <c r="M1219" s="169"/>
      <c r="N1219" s="167"/>
      <c r="O1219" s="169"/>
    </row>
    <row r="1220" spans="2:16" s="453" customFormat="1" ht="14" x14ac:dyDescent="0.2">
      <c r="B1220" s="309"/>
      <c r="C1220" s="606" t="s">
        <v>576</v>
      </c>
      <c r="D1220" s="606"/>
      <c r="E1220" s="606"/>
      <c r="F1220" s="606"/>
      <c r="G1220" s="606"/>
      <c r="H1220" s="334"/>
      <c r="I1220" s="168" t="s">
        <v>211</v>
      </c>
      <c r="J1220" s="166" t="s">
        <v>211</v>
      </c>
      <c r="K1220" s="168" t="s">
        <v>211</v>
      </c>
      <c r="L1220" s="166" t="s">
        <v>211</v>
      </c>
      <c r="M1220" s="168" t="s">
        <v>211</v>
      </c>
      <c r="N1220" s="166" t="s">
        <v>211</v>
      </c>
      <c r="O1220" s="168" t="s">
        <v>211</v>
      </c>
    </row>
    <row r="1221" spans="2:16" s="453" customFormat="1" ht="14" x14ac:dyDescent="0.2">
      <c r="B1221" s="309"/>
      <c r="C1221" s="606"/>
      <c r="D1221" s="606"/>
      <c r="E1221" s="606"/>
      <c r="F1221" s="606"/>
      <c r="G1221" s="606"/>
      <c r="H1221" s="322"/>
      <c r="I1221" s="169"/>
      <c r="J1221" s="167"/>
      <c r="K1221" s="169"/>
      <c r="L1221" s="167"/>
      <c r="M1221" s="169"/>
      <c r="N1221" s="167"/>
      <c r="O1221" s="169"/>
    </row>
    <row r="1222" spans="2:16" s="453" customFormat="1" ht="14" x14ac:dyDescent="0.2">
      <c r="B1222" s="309"/>
      <c r="C1222" s="569" t="s">
        <v>582</v>
      </c>
      <c r="D1222" s="569"/>
      <c r="E1222" s="569"/>
      <c r="F1222" s="569"/>
      <c r="G1222" s="569"/>
      <c r="H1222" s="334"/>
      <c r="I1222" s="168" t="s">
        <v>211</v>
      </c>
      <c r="J1222" s="166" t="s">
        <v>211</v>
      </c>
      <c r="K1222" s="168" t="s">
        <v>211</v>
      </c>
      <c r="L1222" s="166" t="s">
        <v>211</v>
      </c>
      <c r="M1222" s="168" t="s">
        <v>211</v>
      </c>
      <c r="N1222" s="166" t="s">
        <v>211</v>
      </c>
      <c r="O1222" s="168" t="s">
        <v>211</v>
      </c>
    </row>
    <row r="1223" spans="2:16" s="453" customFormat="1" ht="14" x14ac:dyDescent="0.2">
      <c r="B1223" s="309"/>
      <c r="C1223" s="310"/>
      <c r="F1223" s="620" t="s">
        <v>568</v>
      </c>
      <c r="G1223" s="620"/>
      <c r="H1223" s="621"/>
      <c r="I1223" s="172">
        <f>COUNTIF(I1192:I1222,Data!$A$1)</f>
        <v>0</v>
      </c>
      <c r="J1223" s="203">
        <f>COUNTIF(J1192:J1222,Data!$A$1)</f>
        <v>0</v>
      </c>
      <c r="K1223" s="172">
        <f>COUNTIF(K1192:K1222,Data!$A$1)</f>
        <v>0</v>
      </c>
      <c r="L1223" s="203">
        <f>COUNTIF(L1192:L1222,Data!$A$1)</f>
        <v>0</v>
      </c>
      <c r="M1223" s="172">
        <f>COUNTIF(M1192:M1222,Data!$A$1)</f>
        <v>0</v>
      </c>
      <c r="N1223" s="203">
        <f>COUNTIF(N1192:N1222,Data!$A$1)</f>
        <v>0</v>
      </c>
      <c r="O1223" s="172">
        <f>COUNTIF(O1192:O1222,Data!$A$1)</f>
        <v>0</v>
      </c>
      <c r="P1223" s="107">
        <f>SUM(I1223:K1223,M1223:N1223)</f>
        <v>0</v>
      </c>
    </row>
    <row r="1224" spans="2:16" s="453" customFormat="1" ht="14" x14ac:dyDescent="0.2">
      <c r="B1224" s="309"/>
      <c r="C1224" s="310"/>
      <c r="F1224" s="622" t="s">
        <v>569</v>
      </c>
      <c r="G1224" s="622"/>
      <c r="H1224" s="623"/>
      <c r="I1224" s="172">
        <f>SUM(I1223*5)</f>
        <v>0</v>
      </c>
      <c r="J1224" s="202"/>
      <c r="K1224" s="172">
        <f>SUM(K1223*4)</f>
        <v>0</v>
      </c>
      <c r="L1224" s="202"/>
      <c r="M1224" s="172">
        <f>SUM(M1223*5)</f>
        <v>0</v>
      </c>
      <c r="N1224" s="202">
        <f>SUM(N1223*5)</f>
        <v>0</v>
      </c>
      <c r="O1224" s="172">
        <f>SUM(I1224:N1224)</f>
        <v>0</v>
      </c>
      <c r="P1224" s="107">
        <f>SUM(P1223*5)</f>
        <v>0</v>
      </c>
    </row>
    <row r="1225" spans="2:16" s="453" customFormat="1" ht="14" x14ac:dyDescent="0.2">
      <c r="B1225" s="318"/>
      <c r="C1225" s="319"/>
      <c r="D1225" s="303"/>
      <c r="E1225" s="303"/>
      <c r="F1225" s="624" t="s">
        <v>573</v>
      </c>
      <c r="G1225" s="624"/>
      <c r="H1225" s="624"/>
      <c r="I1225" s="169"/>
      <c r="J1225" s="167"/>
      <c r="K1225" s="169"/>
      <c r="L1225" s="167"/>
      <c r="M1225" s="169"/>
      <c r="N1225" s="202"/>
      <c r="O1225" s="169"/>
    </row>
    <row r="1226" spans="2:16" s="453" customFormat="1" ht="14" x14ac:dyDescent="0.2">
      <c r="B1226" s="112"/>
      <c r="I1226" s="169"/>
      <c r="J1226" s="167"/>
      <c r="K1226" s="169"/>
      <c r="L1226" s="167"/>
      <c r="M1226" s="169"/>
      <c r="N1226" s="167"/>
      <c r="O1226" s="169"/>
    </row>
    <row r="1227" spans="2:16" s="453" customFormat="1" ht="14" x14ac:dyDescent="0.2">
      <c r="B1227" s="337" t="s">
        <v>588</v>
      </c>
      <c r="C1227" s="338"/>
      <c r="D1227" s="338"/>
      <c r="E1227" s="339"/>
      <c r="F1227" s="339"/>
      <c r="G1227" s="339"/>
      <c r="H1227" s="339"/>
      <c r="I1227" s="169"/>
      <c r="J1227" s="167"/>
      <c r="K1227" s="169"/>
      <c r="L1227" s="167"/>
      <c r="M1227" s="169"/>
      <c r="N1227" s="167"/>
      <c r="O1227" s="169"/>
    </row>
    <row r="1228" spans="2:16" s="453" customFormat="1" ht="14" x14ac:dyDescent="0.2">
      <c r="B1228" s="336"/>
      <c r="C1228" s="568" t="s">
        <v>583</v>
      </c>
      <c r="D1228" s="568"/>
      <c r="E1228" s="568"/>
      <c r="F1228" s="568"/>
      <c r="G1228" s="568"/>
      <c r="H1228" s="333"/>
      <c r="I1228" s="168" t="s">
        <v>211</v>
      </c>
      <c r="J1228" s="166" t="s">
        <v>211</v>
      </c>
      <c r="K1228" s="168" t="s">
        <v>211</v>
      </c>
      <c r="L1228" s="166" t="s">
        <v>211</v>
      </c>
      <c r="M1228" s="168" t="s">
        <v>211</v>
      </c>
      <c r="N1228" s="166" t="s">
        <v>211</v>
      </c>
      <c r="O1228" s="168" t="s">
        <v>211</v>
      </c>
    </row>
    <row r="1229" spans="2:16" s="453" customFormat="1" ht="14" x14ac:dyDescent="0.2">
      <c r="B1229" s="309"/>
      <c r="C1229" s="606"/>
      <c r="D1229" s="606"/>
      <c r="E1229" s="606"/>
      <c r="F1229" s="606"/>
      <c r="G1229" s="606"/>
      <c r="H1229" s="322"/>
      <c r="I1229" s="169"/>
      <c r="J1229" s="167"/>
      <c r="K1229" s="169"/>
      <c r="L1229" s="167"/>
      <c r="M1229" s="169"/>
      <c r="N1229" s="167"/>
      <c r="O1229" s="169"/>
    </row>
    <row r="1230" spans="2:16" s="453" customFormat="1" ht="14" x14ac:dyDescent="0.2">
      <c r="B1230" s="309"/>
      <c r="C1230" s="606" t="s">
        <v>589</v>
      </c>
      <c r="D1230" s="606"/>
      <c r="E1230" s="606"/>
      <c r="F1230" s="606"/>
      <c r="G1230" s="606"/>
      <c r="H1230" s="334"/>
      <c r="I1230" s="168" t="s">
        <v>211</v>
      </c>
      <c r="J1230" s="166" t="s">
        <v>211</v>
      </c>
      <c r="K1230" s="168" t="s">
        <v>211</v>
      </c>
      <c r="L1230" s="166" t="s">
        <v>211</v>
      </c>
      <c r="M1230" s="168" t="s">
        <v>211</v>
      </c>
      <c r="N1230" s="166" t="s">
        <v>211</v>
      </c>
      <c r="O1230" s="168" t="s">
        <v>211</v>
      </c>
    </row>
    <row r="1231" spans="2:16" s="453" customFormat="1" ht="14" x14ac:dyDescent="0.2">
      <c r="B1231" s="309"/>
      <c r="C1231" s="606"/>
      <c r="D1231" s="606"/>
      <c r="E1231" s="606"/>
      <c r="F1231" s="606"/>
      <c r="G1231" s="606"/>
      <c r="H1231" s="322"/>
      <c r="I1231" s="169"/>
      <c r="J1231" s="167"/>
      <c r="K1231" s="169"/>
      <c r="L1231" s="167"/>
      <c r="M1231" s="169"/>
      <c r="N1231" s="167"/>
      <c r="O1231" s="169"/>
    </row>
    <row r="1232" spans="2:16" s="453" customFormat="1" ht="14" x14ac:dyDescent="0.2">
      <c r="B1232" s="309"/>
      <c r="C1232" s="569" t="s">
        <v>590</v>
      </c>
      <c r="D1232" s="569"/>
      <c r="E1232" s="569"/>
      <c r="F1232" s="569"/>
      <c r="G1232" s="569"/>
      <c r="H1232" s="334"/>
      <c r="I1232" s="168" t="s">
        <v>211</v>
      </c>
      <c r="J1232" s="166" t="s">
        <v>211</v>
      </c>
      <c r="K1232" s="168" t="s">
        <v>211</v>
      </c>
      <c r="L1232" s="166" t="s">
        <v>211</v>
      </c>
      <c r="M1232" s="168" t="s">
        <v>211</v>
      </c>
      <c r="N1232" s="166" t="s">
        <v>211</v>
      </c>
      <c r="O1232" s="168" t="s">
        <v>211</v>
      </c>
    </row>
    <row r="1233" spans="2:16" s="453" customFormat="1" ht="14" x14ac:dyDescent="0.2">
      <c r="B1233" s="309"/>
      <c r="C1233" s="606" t="s">
        <v>584</v>
      </c>
      <c r="D1233" s="606"/>
      <c r="E1233" s="606"/>
      <c r="F1233" s="606"/>
      <c r="G1233" s="606"/>
      <c r="H1233" s="334"/>
      <c r="I1233" s="168" t="s">
        <v>211</v>
      </c>
      <c r="J1233" s="166" t="s">
        <v>211</v>
      </c>
      <c r="K1233" s="168" t="s">
        <v>211</v>
      </c>
      <c r="L1233" s="166" t="s">
        <v>211</v>
      </c>
      <c r="M1233" s="168" t="s">
        <v>211</v>
      </c>
      <c r="N1233" s="166" t="s">
        <v>211</v>
      </c>
      <c r="O1233" s="168" t="s">
        <v>211</v>
      </c>
    </row>
    <row r="1234" spans="2:16" s="453" customFormat="1" ht="14" x14ac:dyDescent="0.2">
      <c r="B1234" s="309"/>
      <c r="C1234" s="606"/>
      <c r="D1234" s="606"/>
      <c r="E1234" s="606"/>
      <c r="F1234" s="606"/>
      <c r="G1234" s="606"/>
      <c r="H1234" s="322"/>
      <c r="I1234" s="172">
        <f>COUNTIF(I1228:I1233,Data!$A$1)</f>
        <v>0</v>
      </c>
      <c r="J1234" s="203">
        <f>COUNTIF(J1228:J1233,Data!$A$1)</f>
        <v>0</v>
      </c>
      <c r="K1234" s="172">
        <f>COUNTIF(K1228:K1233,Data!$A$1)</f>
        <v>0</v>
      </c>
      <c r="L1234" s="203">
        <f>COUNTIF(L1228:L1233,Data!$A$1)</f>
        <v>0</v>
      </c>
      <c r="M1234" s="172">
        <f>COUNTIF(M1228:M1233,Data!$A$1)</f>
        <v>0</v>
      </c>
      <c r="N1234" s="203">
        <f>COUNTIF(N1228:N1233,Data!$A$1)</f>
        <v>0</v>
      </c>
      <c r="O1234" s="172">
        <f>COUNTIF(O1228:O1233,Data!$A$1)</f>
        <v>0</v>
      </c>
      <c r="P1234" s="107">
        <f>SUM(I1234:K1234,M1234:N1234)</f>
        <v>0</v>
      </c>
    </row>
    <row r="1235" spans="2:16" s="453" customFormat="1" ht="14" x14ac:dyDescent="0.2">
      <c r="B1235" s="308" t="s">
        <v>333</v>
      </c>
      <c r="C1235" s="634" t="s">
        <v>585</v>
      </c>
      <c r="D1235" s="634"/>
      <c r="E1235" s="634"/>
      <c r="F1235" s="634"/>
      <c r="G1235" s="634"/>
      <c r="H1235" s="322"/>
      <c r="I1235" s="172">
        <f>SUM(I1234*15)</f>
        <v>0</v>
      </c>
      <c r="J1235" s="202"/>
      <c r="K1235" s="172">
        <f>SUM(K1234*10)</f>
        <v>0</v>
      </c>
      <c r="L1235" s="202"/>
      <c r="M1235" s="172">
        <f>SUM(M1234*15)</f>
        <v>0</v>
      </c>
      <c r="N1235" s="205">
        <f>SUM(N1234*15)</f>
        <v>0</v>
      </c>
      <c r="O1235" s="172"/>
      <c r="P1235" s="107">
        <f>SUM(P1234*15)</f>
        <v>0</v>
      </c>
    </row>
    <row r="1236" spans="2:16" s="453" customFormat="1" ht="14" x14ac:dyDescent="0.2">
      <c r="B1236" s="308" t="s">
        <v>333</v>
      </c>
      <c r="C1236" s="634" t="s">
        <v>586</v>
      </c>
      <c r="D1236" s="634"/>
      <c r="E1236" s="634"/>
      <c r="F1236" s="634"/>
      <c r="G1236" s="634"/>
      <c r="H1236" s="322"/>
      <c r="I1236" s="169"/>
      <c r="J1236" s="167"/>
      <c r="K1236" s="169"/>
      <c r="L1236" s="167"/>
      <c r="M1236" s="169"/>
      <c r="N1236" s="167"/>
      <c r="O1236" s="169"/>
      <c r="P1236" s="107">
        <f>SUM(I1235,K1235,M1235,N1235)</f>
        <v>0</v>
      </c>
    </row>
    <row r="1237" spans="2:16" s="453" customFormat="1" ht="14" x14ac:dyDescent="0.2">
      <c r="B1237" s="340" t="s">
        <v>333</v>
      </c>
      <c r="C1237" s="638" t="s">
        <v>587</v>
      </c>
      <c r="D1237" s="638"/>
      <c r="E1237" s="638"/>
      <c r="F1237" s="638"/>
      <c r="G1237" s="638"/>
      <c r="H1237" s="303"/>
      <c r="I1237" s="169"/>
      <c r="J1237" s="167"/>
      <c r="K1237" s="169"/>
      <c r="L1237" s="167"/>
      <c r="M1237" s="169"/>
      <c r="N1237" s="167"/>
      <c r="O1237" s="169"/>
    </row>
    <row r="1238" spans="2:16" s="453" customFormat="1" ht="14" x14ac:dyDescent="0.2">
      <c r="B1238" s="112"/>
      <c r="I1238" s="135"/>
      <c r="J1238" s="105"/>
      <c r="K1238" s="135"/>
      <c r="L1238" s="105"/>
      <c r="M1238" s="135"/>
      <c r="N1238" s="105"/>
      <c r="O1238" s="135"/>
    </row>
    <row r="1239" spans="2:16" s="453" customFormat="1" ht="14" x14ac:dyDescent="0.2">
      <c r="B1239" s="446" t="s">
        <v>591</v>
      </c>
      <c r="C1239" s="447"/>
      <c r="D1239" s="447"/>
      <c r="E1239" s="447"/>
      <c r="F1239" s="300"/>
      <c r="G1239" s="300"/>
      <c r="H1239" s="301"/>
      <c r="I1239" s="135"/>
      <c r="J1239" s="105"/>
      <c r="K1239" s="135"/>
      <c r="L1239" s="105"/>
      <c r="M1239" s="135"/>
      <c r="N1239" s="105"/>
      <c r="O1239" s="135"/>
    </row>
    <row r="1240" spans="2:16" s="453" customFormat="1" ht="12.75" customHeight="1" x14ac:dyDescent="0.2">
      <c r="B1240" s="311">
        <v>1</v>
      </c>
      <c r="C1240" s="568" t="s">
        <v>592</v>
      </c>
      <c r="D1240" s="568"/>
      <c r="E1240" s="568"/>
      <c r="F1240" s="568"/>
      <c r="G1240" s="568"/>
      <c r="H1240" s="292"/>
      <c r="I1240" s="168" t="s">
        <v>211</v>
      </c>
      <c r="J1240" s="166" t="s">
        <v>211</v>
      </c>
      <c r="K1240" s="168" t="s">
        <v>211</v>
      </c>
      <c r="L1240" s="166" t="s">
        <v>211</v>
      </c>
      <c r="M1240" s="168" t="s">
        <v>211</v>
      </c>
      <c r="N1240" s="166" t="s">
        <v>211</v>
      </c>
      <c r="O1240" s="168" t="s">
        <v>211</v>
      </c>
    </row>
    <row r="1241" spans="2:16" s="453" customFormat="1" ht="14" x14ac:dyDescent="0.2">
      <c r="B1241" s="316"/>
      <c r="C1241" s="742"/>
      <c r="D1241" s="742"/>
      <c r="E1241" s="742"/>
      <c r="F1241" s="742"/>
      <c r="G1241" s="742"/>
      <c r="H1241" s="294"/>
      <c r="I1241" s="169"/>
      <c r="J1241" s="167"/>
      <c r="K1241" s="169"/>
      <c r="L1241" s="167"/>
      <c r="M1241" s="169"/>
      <c r="N1241" s="167"/>
      <c r="O1241" s="169"/>
    </row>
    <row r="1242" spans="2:16" s="453" customFormat="1" ht="12.75" customHeight="1" x14ac:dyDescent="0.2">
      <c r="B1242" s="309"/>
      <c r="C1242" s="606" t="s">
        <v>593</v>
      </c>
      <c r="D1242" s="606"/>
      <c r="E1242" s="606"/>
      <c r="F1242" s="606"/>
      <c r="G1242" s="606"/>
      <c r="H1242" s="296"/>
      <c r="I1242" s="168" t="s">
        <v>211</v>
      </c>
      <c r="J1242" s="166" t="s">
        <v>211</v>
      </c>
      <c r="K1242" s="168" t="s">
        <v>211</v>
      </c>
      <c r="L1242" s="166" t="s">
        <v>211</v>
      </c>
      <c r="M1242" s="168" t="s">
        <v>211</v>
      </c>
      <c r="N1242" s="166" t="s">
        <v>211</v>
      </c>
      <c r="O1242" s="168" t="s">
        <v>211</v>
      </c>
    </row>
    <row r="1243" spans="2:16" s="453" customFormat="1" ht="14" x14ac:dyDescent="0.2">
      <c r="B1243" s="309"/>
      <c r="C1243" s="606"/>
      <c r="D1243" s="606"/>
      <c r="E1243" s="606"/>
      <c r="F1243" s="606"/>
      <c r="G1243" s="606"/>
      <c r="H1243" s="294"/>
      <c r="I1243" s="169"/>
      <c r="J1243" s="167"/>
      <c r="K1243" s="169"/>
      <c r="L1243" s="167"/>
      <c r="M1243" s="169"/>
      <c r="N1243" s="167"/>
      <c r="O1243" s="169"/>
    </row>
    <row r="1244" spans="2:16" s="453" customFormat="1" ht="14" x14ac:dyDescent="0.2">
      <c r="B1244" s="318"/>
      <c r="C1244" s="640" t="s">
        <v>610</v>
      </c>
      <c r="D1244" s="640"/>
      <c r="E1244" s="640"/>
      <c r="F1244" s="640"/>
      <c r="G1244" s="640"/>
      <c r="H1244" s="341"/>
      <c r="I1244" s="168" t="s">
        <v>211</v>
      </c>
      <c r="J1244" s="166" t="s">
        <v>211</v>
      </c>
      <c r="K1244" s="168" t="s">
        <v>211</v>
      </c>
      <c r="L1244" s="166" t="s">
        <v>211</v>
      </c>
      <c r="M1244" s="168" t="s">
        <v>211</v>
      </c>
      <c r="N1244" s="166" t="s">
        <v>211</v>
      </c>
      <c r="O1244" s="168" t="s">
        <v>211</v>
      </c>
    </row>
    <row r="1245" spans="2:16" s="453" customFormat="1" ht="12.75" customHeight="1" x14ac:dyDescent="0.2">
      <c r="B1245" s="336">
        <v>2</v>
      </c>
      <c r="C1245" s="568" t="s">
        <v>594</v>
      </c>
      <c r="D1245" s="568"/>
      <c r="E1245" s="568"/>
      <c r="F1245" s="568"/>
      <c r="G1245" s="568"/>
      <c r="H1245" s="292"/>
      <c r="I1245" s="168" t="s">
        <v>211</v>
      </c>
      <c r="J1245" s="166" t="s">
        <v>211</v>
      </c>
      <c r="K1245" s="168" t="s">
        <v>211</v>
      </c>
      <c r="L1245" s="166" t="s">
        <v>211</v>
      </c>
      <c r="M1245" s="168" t="s">
        <v>211</v>
      </c>
      <c r="N1245" s="166" t="s">
        <v>211</v>
      </c>
      <c r="O1245" s="168" t="s">
        <v>211</v>
      </c>
    </row>
    <row r="1246" spans="2:16" s="453" customFormat="1" ht="12.75" customHeight="1" x14ac:dyDescent="0.2">
      <c r="B1246" s="309"/>
      <c r="C1246" s="606" t="s">
        <v>809</v>
      </c>
      <c r="D1246" s="606"/>
      <c r="E1246" s="606"/>
      <c r="F1246" s="606"/>
      <c r="G1246" s="606"/>
      <c r="H1246" s="296"/>
      <c r="I1246" s="168" t="s">
        <v>211</v>
      </c>
      <c r="J1246" s="166" t="s">
        <v>211</v>
      </c>
      <c r="K1246" s="168" t="s">
        <v>211</v>
      </c>
      <c r="L1246" s="166" t="s">
        <v>211</v>
      </c>
      <c r="M1246" s="168" t="s">
        <v>211</v>
      </c>
      <c r="N1246" s="166" t="s">
        <v>211</v>
      </c>
      <c r="O1246" s="168" t="s">
        <v>211</v>
      </c>
    </row>
    <row r="1247" spans="2:16" s="453" customFormat="1" ht="14" x14ac:dyDescent="0.2">
      <c r="B1247" s="309"/>
      <c r="C1247" s="606" t="s">
        <v>595</v>
      </c>
      <c r="D1247" s="606"/>
      <c r="E1247" s="606"/>
      <c r="F1247" s="606"/>
      <c r="G1247" s="606"/>
      <c r="H1247" s="296"/>
      <c r="I1247" s="168" t="s">
        <v>211</v>
      </c>
      <c r="J1247" s="166" t="s">
        <v>211</v>
      </c>
      <c r="K1247" s="168" t="s">
        <v>211</v>
      </c>
      <c r="L1247" s="166" t="s">
        <v>211</v>
      </c>
      <c r="M1247" s="168" t="s">
        <v>211</v>
      </c>
      <c r="N1247" s="166" t="s">
        <v>211</v>
      </c>
      <c r="O1247" s="168" t="s">
        <v>211</v>
      </c>
    </row>
    <row r="1248" spans="2:16" s="453" customFormat="1" ht="14" x14ac:dyDescent="0.2">
      <c r="B1248" s="309"/>
      <c r="C1248" s="606"/>
      <c r="D1248" s="606"/>
      <c r="E1248" s="606"/>
      <c r="F1248" s="606"/>
      <c r="G1248" s="606"/>
      <c r="H1248" s="294"/>
      <c r="I1248" s="169"/>
      <c r="J1248" s="167"/>
      <c r="K1248" s="169"/>
      <c r="L1248" s="167"/>
      <c r="M1248" s="169"/>
      <c r="N1248" s="167"/>
      <c r="O1248" s="169"/>
    </row>
    <row r="1249" spans="2:15" s="453" customFormat="1" ht="14" x14ac:dyDescent="0.2">
      <c r="B1249" s="309"/>
      <c r="C1249" s="606"/>
      <c r="D1249" s="606"/>
      <c r="E1249" s="606"/>
      <c r="F1249" s="606"/>
      <c r="G1249" s="606"/>
      <c r="H1249" s="294"/>
      <c r="I1249" s="169"/>
      <c r="J1249" s="167"/>
      <c r="K1249" s="169"/>
      <c r="L1249" s="167"/>
      <c r="M1249" s="169"/>
      <c r="N1249" s="167"/>
      <c r="O1249" s="169"/>
    </row>
    <row r="1250" spans="2:15" s="453" customFormat="1" ht="14" x14ac:dyDescent="0.2">
      <c r="B1250" s="318"/>
      <c r="C1250" s="640" t="s">
        <v>810</v>
      </c>
      <c r="D1250" s="640"/>
      <c r="E1250" s="640"/>
      <c r="F1250" s="640"/>
      <c r="G1250" s="640"/>
      <c r="H1250" s="341"/>
      <c r="I1250" s="168" t="s">
        <v>211</v>
      </c>
      <c r="J1250" s="166" t="s">
        <v>211</v>
      </c>
      <c r="K1250" s="168" t="s">
        <v>211</v>
      </c>
      <c r="L1250" s="166" t="s">
        <v>211</v>
      </c>
      <c r="M1250" s="168" t="s">
        <v>211</v>
      </c>
      <c r="N1250" s="166" t="s">
        <v>211</v>
      </c>
      <c r="O1250" s="168" t="s">
        <v>211</v>
      </c>
    </row>
    <row r="1251" spans="2:15" s="453" customFormat="1" ht="12.75" customHeight="1" x14ac:dyDescent="0.2">
      <c r="B1251" s="336">
        <v>3</v>
      </c>
      <c r="C1251" s="568" t="s">
        <v>596</v>
      </c>
      <c r="D1251" s="568"/>
      <c r="E1251" s="568"/>
      <c r="F1251" s="568"/>
      <c r="G1251" s="568"/>
      <c r="H1251" s="292"/>
      <c r="I1251" s="168" t="s">
        <v>211</v>
      </c>
      <c r="J1251" s="166" t="s">
        <v>211</v>
      </c>
      <c r="K1251" s="168" t="s">
        <v>211</v>
      </c>
      <c r="L1251" s="166" t="s">
        <v>211</v>
      </c>
      <c r="M1251" s="168" t="s">
        <v>211</v>
      </c>
      <c r="N1251" s="166" t="s">
        <v>211</v>
      </c>
      <c r="O1251" s="168" t="s">
        <v>211</v>
      </c>
    </row>
    <row r="1252" spans="2:15" s="453" customFormat="1" ht="14" x14ac:dyDescent="0.2">
      <c r="B1252" s="316"/>
      <c r="C1252" s="606" t="s">
        <v>811</v>
      </c>
      <c r="D1252" s="606"/>
      <c r="E1252" s="606"/>
      <c r="F1252" s="606"/>
      <c r="G1252" s="606"/>
      <c r="H1252" s="296"/>
      <c r="I1252" s="168" t="s">
        <v>211</v>
      </c>
      <c r="J1252" s="166" t="s">
        <v>211</v>
      </c>
      <c r="K1252" s="168" t="s">
        <v>211</v>
      </c>
      <c r="L1252" s="166" t="s">
        <v>211</v>
      </c>
      <c r="M1252" s="168" t="s">
        <v>211</v>
      </c>
      <c r="N1252" s="166" t="s">
        <v>211</v>
      </c>
      <c r="O1252" s="168" t="s">
        <v>211</v>
      </c>
    </row>
    <row r="1253" spans="2:15" s="453" customFormat="1" ht="14" x14ac:dyDescent="0.2">
      <c r="B1253" s="309"/>
      <c r="C1253" s="606"/>
      <c r="D1253" s="606"/>
      <c r="E1253" s="606"/>
      <c r="F1253" s="606"/>
      <c r="G1253" s="606"/>
      <c r="H1253" s="294"/>
      <c r="I1253" s="169"/>
      <c r="J1253" s="167"/>
      <c r="K1253" s="169"/>
      <c r="L1253" s="167"/>
      <c r="M1253" s="169"/>
      <c r="N1253" s="167"/>
      <c r="O1253" s="169"/>
    </row>
    <row r="1254" spans="2:15" s="453" customFormat="1" ht="14" x14ac:dyDescent="0.2">
      <c r="B1254" s="309"/>
      <c r="C1254" s="606" t="s">
        <v>812</v>
      </c>
      <c r="D1254" s="606"/>
      <c r="E1254" s="606"/>
      <c r="F1254" s="606"/>
      <c r="G1254" s="606"/>
      <c r="H1254" s="296"/>
      <c r="I1254" s="168" t="s">
        <v>211</v>
      </c>
      <c r="J1254" s="166" t="s">
        <v>211</v>
      </c>
      <c r="K1254" s="168" t="s">
        <v>211</v>
      </c>
      <c r="L1254" s="166" t="s">
        <v>211</v>
      </c>
      <c r="M1254" s="168" t="s">
        <v>211</v>
      </c>
      <c r="N1254" s="166" t="s">
        <v>211</v>
      </c>
      <c r="O1254" s="168" t="s">
        <v>211</v>
      </c>
    </row>
    <row r="1255" spans="2:15" s="453" customFormat="1" ht="14" x14ac:dyDescent="0.2">
      <c r="B1255" s="309"/>
      <c r="C1255" s="606"/>
      <c r="D1255" s="606"/>
      <c r="E1255" s="606"/>
      <c r="F1255" s="606"/>
      <c r="G1255" s="606"/>
      <c r="H1255" s="294"/>
      <c r="I1255" s="169"/>
      <c r="J1255" s="167"/>
      <c r="K1255" s="169"/>
      <c r="L1255" s="167"/>
      <c r="M1255" s="169"/>
      <c r="N1255" s="167"/>
      <c r="O1255" s="169"/>
    </row>
    <row r="1256" spans="2:15" s="453" customFormat="1" ht="12.75" customHeight="1" x14ac:dyDescent="0.2">
      <c r="B1256" s="309"/>
      <c r="C1256" s="606" t="s">
        <v>813</v>
      </c>
      <c r="D1256" s="606"/>
      <c r="E1256" s="606"/>
      <c r="F1256" s="606"/>
      <c r="G1256" s="606"/>
      <c r="H1256" s="296"/>
      <c r="I1256" s="168" t="s">
        <v>211</v>
      </c>
      <c r="J1256" s="166" t="s">
        <v>211</v>
      </c>
      <c r="K1256" s="168" t="s">
        <v>211</v>
      </c>
      <c r="L1256" s="166" t="s">
        <v>211</v>
      </c>
      <c r="M1256" s="168" t="s">
        <v>211</v>
      </c>
      <c r="N1256" s="166" t="s">
        <v>211</v>
      </c>
      <c r="O1256" s="168" t="s">
        <v>211</v>
      </c>
    </row>
    <row r="1257" spans="2:15" s="453" customFormat="1" ht="14" x14ac:dyDescent="0.2">
      <c r="B1257" s="309"/>
      <c r="C1257" s="606"/>
      <c r="D1257" s="606"/>
      <c r="E1257" s="606"/>
      <c r="F1257" s="606"/>
      <c r="G1257" s="606"/>
      <c r="H1257" s="294"/>
      <c r="I1257" s="169"/>
      <c r="J1257" s="167"/>
      <c r="K1257" s="169"/>
      <c r="L1257" s="167"/>
      <c r="M1257" s="169"/>
      <c r="N1257" s="167"/>
      <c r="O1257" s="169"/>
    </row>
    <row r="1258" spans="2:15" s="453" customFormat="1" ht="14" x14ac:dyDescent="0.2">
      <c r="B1258" s="309"/>
      <c r="C1258" s="569" t="s">
        <v>814</v>
      </c>
      <c r="D1258" s="569"/>
      <c r="E1258" s="569"/>
      <c r="F1258" s="569"/>
      <c r="G1258" s="569"/>
      <c r="H1258" s="296"/>
      <c r="I1258" s="168" t="s">
        <v>211</v>
      </c>
      <c r="J1258" s="166" t="s">
        <v>211</v>
      </c>
      <c r="K1258" s="168" t="s">
        <v>211</v>
      </c>
      <c r="L1258" s="166" t="s">
        <v>211</v>
      </c>
      <c r="M1258" s="168" t="s">
        <v>211</v>
      </c>
      <c r="N1258" s="166" t="s">
        <v>211</v>
      </c>
      <c r="O1258" s="168" t="s">
        <v>211</v>
      </c>
    </row>
    <row r="1259" spans="2:15" s="453" customFormat="1" ht="12.75" customHeight="1" x14ac:dyDescent="0.2">
      <c r="B1259" s="309"/>
      <c r="C1259" s="635" t="s">
        <v>597</v>
      </c>
      <c r="D1259" s="635"/>
      <c r="E1259" s="635"/>
      <c r="F1259" s="635"/>
      <c r="G1259" s="635"/>
      <c r="H1259" s="296"/>
      <c r="I1259" s="168" t="s">
        <v>211</v>
      </c>
      <c r="J1259" s="166" t="s">
        <v>211</v>
      </c>
      <c r="K1259" s="168" t="s">
        <v>211</v>
      </c>
      <c r="L1259" s="166" t="s">
        <v>211</v>
      </c>
      <c r="M1259" s="168" t="s">
        <v>211</v>
      </c>
      <c r="N1259" s="166" t="s">
        <v>211</v>
      </c>
      <c r="O1259" s="168" t="s">
        <v>211</v>
      </c>
    </row>
    <row r="1260" spans="2:15" s="453" customFormat="1" ht="14" x14ac:dyDescent="0.2">
      <c r="B1260" s="309"/>
      <c r="C1260" s="606" t="s">
        <v>598</v>
      </c>
      <c r="D1260" s="606"/>
      <c r="E1260" s="606"/>
      <c r="F1260" s="606"/>
      <c r="G1260" s="606"/>
      <c r="H1260" s="296"/>
      <c r="I1260" s="168" t="s">
        <v>211</v>
      </c>
      <c r="J1260" s="166" t="s">
        <v>211</v>
      </c>
      <c r="K1260" s="168" t="s">
        <v>211</v>
      </c>
      <c r="L1260" s="166" t="s">
        <v>211</v>
      </c>
      <c r="M1260" s="168" t="s">
        <v>211</v>
      </c>
      <c r="N1260" s="166" t="s">
        <v>211</v>
      </c>
      <c r="O1260" s="168" t="s">
        <v>211</v>
      </c>
    </row>
    <row r="1261" spans="2:15" s="453" customFormat="1" ht="14" x14ac:dyDescent="0.2">
      <c r="B1261" s="309"/>
      <c r="C1261" s="606"/>
      <c r="D1261" s="606"/>
      <c r="E1261" s="606"/>
      <c r="F1261" s="606"/>
      <c r="G1261" s="606"/>
      <c r="H1261" s="294"/>
      <c r="I1261" s="169"/>
      <c r="J1261" s="167"/>
      <c r="K1261" s="169"/>
      <c r="L1261" s="167"/>
      <c r="M1261" s="169"/>
      <c r="N1261" s="167"/>
      <c r="O1261" s="169"/>
    </row>
    <row r="1262" spans="2:15" s="453" customFormat="1" ht="14" x14ac:dyDescent="0.2">
      <c r="B1262" s="318"/>
      <c r="C1262" s="639"/>
      <c r="D1262" s="639"/>
      <c r="E1262" s="639"/>
      <c r="F1262" s="639"/>
      <c r="G1262" s="639"/>
      <c r="H1262" s="298"/>
      <c r="I1262" s="169"/>
      <c r="J1262" s="167"/>
      <c r="K1262" s="169"/>
      <c r="L1262" s="167"/>
      <c r="M1262" s="169"/>
      <c r="N1262" s="167"/>
      <c r="O1262" s="169"/>
    </row>
    <row r="1263" spans="2:15" s="453" customFormat="1" ht="14" x14ac:dyDescent="0.2">
      <c r="B1263" s="311">
        <v>4</v>
      </c>
      <c r="C1263" s="568" t="s">
        <v>599</v>
      </c>
      <c r="D1263" s="568"/>
      <c r="E1263" s="568"/>
      <c r="F1263" s="568"/>
      <c r="G1263" s="568"/>
      <c r="H1263" s="292"/>
      <c r="I1263" s="168" t="s">
        <v>211</v>
      </c>
      <c r="J1263" s="166" t="s">
        <v>211</v>
      </c>
      <c r="K1263" s="168" t="s">
        <v>211</v>
      </c>
      <c r="L1263" s="166" t="s">
        <v>211</v>
      </c>
      <c r="M1263" s="168" t="s">
        <v>211</v>
      </c>
      <c r="N1263" s="166" t="s">
        <v>211</v>
      </c>
      <c r="O1263" s="168" t="s">
        <v>211</v>
      </c>
    </row>
    <row r="1264" spans="2:15" s="453" customFormat="1" ht="14" x14ac:dyDescent="0.2">
      <c r="B1264" s="318"/>
      <c r="C1264" s="639"/>
      <c r="D1264" s="639"/>
      <c r="E1264" s="639"/>
      <c r="F1264" s="639"/>
      <c r="G1264" s="639"/>
      <c r="H1264" s="298"/>
      <c r="I1264" s="169"/>
      <c r="J1264" s="167"/>
      <c r="K1264" s="169"/>
      <c r="L1264" s="167"/>
      <c r="M1264" s="169"/>
      <c r="N1264" s="167"/>
      <c r="O1264" s="169"/>
    </row>
    <row r="1265" spans="2:15" s="453" customFormat="1" ht="12.75" customHeight="1" x14ac:dyDescent="0.2">
      <c r="B1265" s="311">
        <v>5</v>
      </c>
      <c r="C1265" s="618" t="s">
        <v>600</v>
      </c>
      <c r="D1265" s="618"/>
      <c r="E1265" s="618"/>
      <c r="F1265" s="618"/>
      <c r="G1265" s="618"/>
      <c r="H1265" s="292"/>
      <c r="I1265" s="168" t="s">
        <v>211</v>
      </c>
      <c r="J1265" s="166" t="s">
        <v>211</v>
      </c>
      <c r="K1265" s="168" t="s">
        <v>211</v>
      </c>
      <c r="L1265" s="166" t="s">
        <v>211</v>
      </c>
      <c r="M1265" s="168" t="s">
        <v>211</v>
      </c>
      <c r="N1265" s="166" t="s">
        <v>211</v>
      </c>
      <c r="O1265" s="168" t="s">
        <v>211</v>
      </c>
    </row>
    <row r="1266" spans="2:15" s="453" customFormat="1" ht="14" x14ac:dyDescent="0.2">
      <c r="B1266" s="316"/>
      <c r="C1266" s="619"/>
      <c r="D1266" s="619"/>
      <c r="E1266" s="619"/>
      <c r="F1266" s="619"/>
      <c r="G1266" s="619"/>
      <c r="H1266" s="294"/>
      <c r="I1266" s="169"/>
      <c r="J1266" s="167"/>
      <c r="K1266" s="169"/>
      <c r="L1266" s="167"/>
      <c r="M1266" s="169"/>
      <c r="N1266" s="167"/>
      <c r="O1266" s="169"/>
    </row>
    <row r="1267" spans="2:15" s="453" customFormat="1" ht="14" x14ac:dyDescent="0.2">
      <c r="B1267" s="309"/>
      <c r="C1267" s="606" t="s">
        <v>601</v>
      </c>
      <c r="D1267" s="606"/>
      <c r="E1267" s="606"/>
      <c r="F1267" s="606"/>
      <c r="G1267" s="606"/>
      <c r="H1267" s="296"/>
      <c r="I1267" s="168" t="s">
        <v>211</v>
      </c>
      <c r="J1267" s="166" t="s">
        <v>211</v>
      </c>
      <c r="K1267" s="168" t="s">
        <v>211</v>
      </c>
      <c r="L1267" s="166" t="s">
        <v>211</v>
      </c>
      <c r="M1267" s="168" t="s">
        <v>211</v>
      </c>
      <c r="N1267" s="166" t="s">
        <v>211</v>
      </c>
      <c r="O1267" s="168" t="s">
        <v>211</v>
      </c>
    </row>
    <row r="1268" spans="2:15" s="453" customFormat="1" ht="14" x14ac:dyDescent="0.2">
      <c r="B1268" s="309"/>
      <c r="C1268" s="606"/>
      <c r="D1268" s="606"/>
      <c r="E1268" s="606"/>
      <c r="F1268" s="606"/>
      <c r="G1268" s="606"/>
      <c r="H1268" s="294"/>
      <c r="I1268" s="169"/>
      <c r="J1268" s="167"/>
      <c r="K1268" s="169"/>
      <c r="L1268" s="167"/>
      <c r="M1268" s="169"/>
      <c r="N1268" s="167"/>
      <c r="O1268" s="169"/>
    </row>
    <row r="1269" spans="2:15" s="453" customFormat="1" ht="14" x14ac:dyDescent="0.2">
      <c r="B1269" s="309"/>
      <c r="C1269" s="569" t="s">
        <v>615</v>
      </c>
      <c r="D1269" s="569"/>
      <c r="E1269" s="569"/>
      <c r="F1269" s="569"/>
      <c r="G1269" s="569"/>
      <c r="H1269" s="296"/>
      <c r="I1269" s="168" t="s">
        <v>211</v>
      </c>
      <c r="J1269" s="166" t="s">
        <v>211</v>
      </c>
      <c r="K1269" s="168" t="s">
        <v>211</v>
      </c>
      <c r="L1269" s="166" t="s">
        <v>211</v>
      </c>
      <c r="M1269" s="168" t="s">
        <v>211</v>
      </c>
      <c r="N1269" s="166" t="s">
        <v>211</v>
      </c>
      <c r="O1269" s="168" t="s">
        <v>211</v>
      </c>
    </row>
    <row r="1270" spans="2:15" s="453" customFormat="1" ht="14" x14ac:dyDescent="0.2">
      <c r="B1270" s="309"/>
      <c r="C1270" s="310"/>
      <c r="F1270" s="734" t="s">
        <v>815</v>
      </c>
      <c r="G1270" s="734"/>
      <c r="H1270" s="735"/>
      <c r="I1270" s="169"/>
      <c r="J1270" s="167"/>
      <c r="K1270" s="169"/>
      <c r="L1270" s="167"/>
      <c r="M1270" s="169"/>
      <c r="N1270" s="167"/>
      <c r="O1270" s="169"/>
    </row>
    <row r="1271" spans="2:15" s="453" customFormat="1" ht="14" x14ac:dyDescent="0.2">
      <c r="B1271" s="309"/>
      <c r="C1271" s="310"/>
      <c r="D1271" s="743" t="s">
        <v>602</v>
      </c>
      <c r="E1271" s="743"/>
      <c r="F1271" s="743"/>
      <c r="G1271" s="743"/>
      <c r="H1271" s="744"/>
      <c r="I1271" s="169"/>
      <c r="J1271" s="167"/>
      <c r="K1271" s="169"/>
      <c r="L1271" s="167"/>
      <c r="M1271" s="169"/>
      <c r="N1271" s="167"/>
      <c r="O1271" s="169"/>
    </row>
    <row r="1272" spans="2:15" s="453" customFormat="1" ht="14" x14ac:dyDescent="0.2">
      <c r="B1272" s="309"/>
      <c r="C1272" s="310"/>
      <c r="F1272" s="622" t="s">
        <v>603</v>
      </c>
      <c r="G1272" s="622"/>
      <c r="H1272" s="736"/>
      <c r="I1272" s="169"/>
      <c r="J1272" s="167"/>
      <c r="K1272" s="169"/>
      <c r="L1272" s="167"/>
      <c r="M1272" s="169"/>
      <c r="N1272" s="167"/>
      <c r="O1272" s="169"/>
    </row>
    <row r="1273" spans="2:15" s="453" customFormat="1" ht="14" x14ac:dyDescent="0.2">
      <c r="B1273" s="309"/>
      <c r="C1273" s="310"/>
      <c r="F1273" s="622" t="s">
        <v>604</v>
      </c>
      <c r="G1273" s="622"/>
      <c r="H1273" s="736"/>
      <c r="I1273" s="169"/>
      <c r="J1273" s="167"/>
      <c r="K1273" s="169"/>
      <c r="L1273" s="167"/>
      <c r="M1273" s="169"/>
      <c r="N1273" s="167"/>
      <c r="O1273" s="169"/>
    </row>
    <row r="1274" spans="2:15" s="453" customFormat="1" ht="14" x14ac:dyDescent="0.2">
      <c r="B1274" s="308" t="s">
        <v>333</v>
      </c>
      <c r="C1274" s="628" t="s">
        <v>605</v>
      </c>
      <c r="D1274" s="628"/>
      <c r="E1274" s="628"/>
      <c r="F1274" s="628"/>
      <c r="G1274" s="628"/>
      <c r="H1274" s="294"/>
      <c r="I1274" s="169"/>
      <c r="J1274" s="167"/>
      <c r="K1274" s="169"/>
      <c r="L1274" s="167"/>
      <c r="M1274" s="169"/>
      <c r="N1274" s="167"/>
      <c r="O1274" s="169"/>
    </row>
    <row r="1275" spans="2:15" s="453" customFormat="1" ht="14" x14ac:dyDescent="0.2">
      <c r="B1275" s="308"/>
      <c r="C1275" s="628"/>
      <c r="D1275" s="628"/>
      <c r="E1275" s="628"/>
      <c r="F1275" s="628"/>
      <c r="G1275" s="628"/>
      <c r="H1275" s="294"/>
      <c r="I1275" s="169"/>
      <c r="J1275" s="167"/>
      <c r="K1275" s="169"/>
      <c r="L1275" s="167"/>
      <c r="M1275" s="169"/>
      <c r="N1275" s="167"/>
      <c r="O1275" s="169"/>
    </row>
    <row r="1276" spans="2:15" s="453" customFormat="1" ht="14" x14ac:dyDescent="0.2">
      <c r="B1276" s="308"/>
      <c r="C1276" s="628"/>
      <c r="D1276" s="628"/>
      <c r="E1276" s="628"/>
      <c r="F1276" s="628"/>
      <c r="G1276" s="628"/>
      <c r="H1276" s="294"/>
      <c r="I1276" s="169"/>
      <c r="J1276" s="167"/>
      <c r="K1276" s="169"/>
      <c r="L1276" s="167"/>
      <c r="M1276" s="169"/>
      <c r="N1276" s="167"/>
      <c r="O1276" s="169"/>
    </row>
    <row r="1277" spans="2:15" s="453" customFormat="1" ht="14" x14ac:dyDescent="0.2">
      <c r="B1277" s="308"/>
      <c r="C1277" s="628"/>
      <c r="D1277" s="628"/>
      <c r="E1277" s="628"/>
      <c r="F1277" s="628"/>
      <c r="G1277" s="628"/>
      <c r="H1277" s="294"/>
      <c r="I1277" s="169"/>
      <c r="J1277" s="167"/>
      <c r="K1277" s="169"/>
      <c r="L1277" s="167"/>
      <c r="M1277" s="169"/>
      <c r="N1277" s="167"/>
      <c r="O1277" s="169"/>
    </row>
    <row r="1278" spans="2:15" s="453" customFormat="1" ht="12.75" customHeight="1" x14ac:dyDescent="0.2">
      <c r="B1278" s="308" t="s">
        <v>333</v>
      </c>
      <c r="C1278" s="747" t="s">
        <v>606</v>
      </c>
      <c r="D1278" s="747"/>
      <c r="E1278" s="747"/>
      <c r="F1278" s="747"/>
      <c r="G1278" s="747"/>
      <c r="H1278" s="294"/>
      <c r="I1278" s="169"/>
      <c r="J1278" s="167"/>
      <c r="K1278" s="169"/>
      <c r="L1278" s="167"/>
      <c r="M1278" s="169"/>
      <c r="N1278" s="167"/>
      <c r="O1278" s="169"/>
    </row>
    <row r="1279" spans="2:15" s="453" customFormat="1" ht="14" x14ac:dyDescent="0.2">
      <c r="B1279" s="308"/>
      <c r="C1279" s="747"/>
      <c r="D1279" s="747"/>
      <c r="E1279" s="747"/>
      <c r="F1279" s="747"/>
      <c r="G1279" s="747"/>
      <c r="H1279" s="294"/>
      <c r="I1279" s="169"/>
      <c r="J1279" s="167"/>
      <c r="K1279" s="169"/>
      <c r="L1279" s="167"/>
      <c r="M1279" s="169"/>
      <c r="N1279" s="167"/>
      <c r="O1279" s="169"/>
    </row>
    <row r="1280" spans="2:15" s="453" customFormat="1" ht="14" x14ac:dyDescent="0.2">
      <c r="B1280" s="739" t="s">
        <v>607</v>
      </c>
      <c r="C1280" s="740"/>
      <c r="D1280" s="740"/>
      <c r="E1280" s="740"/>
      <c r="F1280" s="740"/>
      <c r="G1280" s="740"/>
      <c r="H1280" s="741"/>
      <c r="I1280" s="169"/>
      <c r="J1280" s="167"/>
      <c r="K1280" s="169"/>
      <c r="L1280" s="167"/>
      <c r="M1280" s="169"/>
      <c r="N1280" s="167"/>
      <c r="O1280" s="169"/>
    </row>
    <row r="1281" spans="2:15" s="453" customFormat="1" ht="12.75" customHeight="1" x14ac:dyDescent="0.2">
      <c r="B1281" s="311">
        <v>1</v>
      </c>
      <c r="C1281" s="618" t="s">
        <v>608</v>
      </c>
      <c r="D1281" s="618"/>
      <c r="E1281" s="618"/>
      <c r="F1281" s="618"/>
      <c r="G1281" s="618"/>
      <c r="H1281" s="292"/>
      <c r="I1281" s="168" t="s">
        <v>211</v>
      </c>
      <c r="J1281" s="166" t="s">
        <v>211</v>
      </c>
      <c r="K1281" s="168" t="s">
        <v>211</v>
      </c>
      <c r="L1281" s="166" t="s">
        <v>211</v>
      </c>
      <c r="M1281" s="168" t="s">
        <v>211</v>
      </c>
      <c r="N1281" s="166" t="s">
        <v>211</v>
      </c>
      <c r="O1281" s="168" t="s">
        <v>211</v>
      </c>
    </row>
    <row r="1282" spans="2:15" s="453" customFormat="1" ht="14" x14ac:dyDescent="0.2">
      <c r="B1282" s="316"/>
      <c r="C1282" s="619"/>
      <c r="D1282" s="619"/>
      <c r="E1282" s="619"/>
      <c r="F1282" s="619"/>
      <c r="G1282" s="619"/>
      <c r="H1282" s="294"/>
      <c r="I1282" s="169"/>
      <c r="J1282" s="167"/>
      <c r="K1282" s="169"/>
      <c r="L1282" s="167"/>
      <c r="M1282" s="169"/>
      <c r="N1282" s="167"/>
      <c r="O1282" s="169"/>
    </row>
    <row r="1283" spans="2:15" s="453" customFormat="1" ht="12.75" customHeight="1" x14ac:dyDescent="0.2">
      <c r="B1283" s="309"/>
      <c r="C1283" s="635" t="s">
        <v>609</v>
      </c>
      <c r="D1283" s="635"/>
      <c r="E1283" s="635"/>
      <c r="F1283" s="635"/>
      <c r="G1283" s="635"/>
      <c r="H1283" s="296"/>
      <c r="I1283" s="168" t="s">
        <v>211</v>
      </c>
      <c r="J1283" s="166" t="s">
        <v>211</v>
      </c>
      <c r="K1283" s="168" t="s">
        <v>211</v>
      </c>
      <c r="L1283" s="166" t="s">
        <v>211</v>
      </c>
      <c r="M1283" s="168" t="s">
        <v>211</v>
      </c>
      <c r="N1283" s="166" t="s">
        <v>211</v>
      </c>
      <c r="O1283" s="168" t="s">
        <v>211</v>
      </c>
    </row>
    <row r="1284" spans="2:15" s="453" customFormat="1" ht="14" x14ac:dyDescent="0.2">
      <c r="B1284" s="309"/>
      <c r="C1284" s="635"/>
      <c r="D1284" s="635"/>
      <c r="E1284" s="635"/>
      <c r="F1284" s="635"/>
      <c r="G1284" s="635"/>
      <c r="H1284" s="294"/>
      <c r="I1284" s="169"/>
      <c r="J1284" s="167"/>
      <c r="K1284" s="169"/>
      <c r="L1284" s="167"/>
      <c r="M1284" s="169"/>
      <c r="N1284" s="167"/>
      <c r="O1284" s="169"/>
    </row>
    <row r="1285" spans="2:15" s="453" customFormat="1" ht="14" x14ac:dyDescent="0.2">
      <c r="B1285" s="309"/>
      <c r="C1285" s="569" t="s">
        <v>816</v>
      </c>
      <c r="D1285" s="569"/>
      <c r="E1285" s="569"/>
      <c r="F1285" s="569"/>
      <c r="G1285" s="569"/>
      <c r="H1285" s="296"/>
      <c r="I1285" s="168" t="s">
        <v>211</v>
      </c>
      <c r="J1285" s="166" t="s">
        <v>211</v>
      </c>
      <c r="K1285" s="168" t="s">
        <v>211</v>
      </c>
      <c r="L1285" s="166" t="s">
        <v>211</v>
      </c>
      <c r="M1285" s="168" t="s">
        <v>211</v>
      </c>
      <c r="N1285" s="166" t="s">
        <v>211</v>
      </c>
      <c r="O1285" s="168" t="s">
        <v>211</v>
      </c>
    </row>
    <row r="1286" spans="2:15" s="453" customFormat="1" ht="14" x14ac:dyDescent="0.2">
      <c r="B1286" s="318"/>
      <c r="C1286" s="640" t="s">
        <v>610</v>
      </c>
      <c r="D1286" s="640"/>
      <c r="E1286" s="640"/>
      <c r="F1286" s="640"/>
      <c r="G1286" s="640"/>
      <c r="H1286" s="341"/>
      <c r="I1286" s="168" t="s">
        <v>211</v>
      </c>
      <c r="J1286" s="166" t="s">
        <v>211</v>
      </c>
      <c r="K1286" s="168" t="s">
        <v>211</v>
      </c>
      <c r="L1286" s="166" t="s">
        <v>211</v>
      </c>
      <c r="M1286" s="168" t="s">
        <v>211</v>
      </c>
      <c r="N1286" s="166" t="s">
        <v>211</v>
      </c>
      <c r="O1286" s="168" t="s">
        <v>211</v>
      </c>
    </row>
    <row r="1287" spans="2:15" s="453" customFormat="1" ht="12.75" customHeight="1" x14ac:dyDescent="0.2">
      <c r="B1287" s="311">
        <v>2</v>
      </c>
      <c r="C1287" s="636" t="s">
        <v>611</v>
      </c>
      <c r="D1287" s="636"/>
      <c r="E1287" s="636"/>
      <c r="F1287" s="636"/>
      <c r="G1287" s="636"/>
      <c r="H1287" s="292"/>
      <c r="I1287" s="168" t="s">
        <v>211</v>
      </c>
      <c r="J1287" s="166" t="s">
        <v>211</v>
      </c>
      <c r="K1287" s="168" t="s">
        <v>211</v>
      </c>
      <c r="L1287" s="166" t="s">
        <v>211</v>
      </c>
      <c r="M1287" s="168" t="s">
        <v>211</v>
      </c>
      <c r="N1287" s="166" t="s">
        <v>211</v>
      </c>
      <c r="O1287" s="168" t="s">
        <v>211</v>
      </c>
    </row>
    <row r="1288" spans="2:15" s="453" customFormat="1" ht="14" x14ac:dyDescent="0.2">
      <c r="B1288" s="320"/>
      <c r="C1288" s="637"/>
      <c r="D1288" s="637"/>
      <c r="E1288" s="637"/>
      <c r="F1288" s="637"/>
      <c r="G1288" s="637"/>
      <c r="H1288" s="294"/>
      <c r="I1288" s="169"/>
      <c r="J1288" s="167"/>
      <c r="K1288" s="169"/>
      <c r="L1288" s="167"/>
      <c r="M1288" s="169"/>
      <c r="N1288" s="167"/>
      <c r="O1288" s="169"/>
    </row>
    <row r="1289" spans="2:15" s="453" customFormat="1" ht="14" x14ac:dyDescent="0.2">
      <c r="B1289" s="309"/>
      <c r="C1289" s="606" t="s">
        <v>612</v>
      </c>
      <c r="D1289" s="606"/>
      <c r="E1289" s="606"/>
      <c r="F1289" s="606"/>
      <c r="G1289" s="606"/>
      <c r="H1289" s="296"/>
      <c r="I1289" s="168" t="s">
        <v>211</v>
      </c>
      <c r="J1289" s="166" t="s">
        <v>211</v>
      </c>
      <c r="K1289" s="168" t="s">
        <v>211</v>
      </c>
      <c r="L1289" s="166" t="s">
        <v>211</v>
      </c>
      <c r="M1289" s="168" t="s">
        <v>211</v>
      </c>
      <c r="N1289" s="166" t="s">
        <v>211</v>
      </c>
      <c r="O1289" s="168" t="s">
        <v>211</v>
      </c>
    </row>
    <row r="1290" spans="2:15" s="453" customFormat="1" ht="14" x14ac:dyDescent="0.2">
      <c r="B1290" s="309"/>
      <c r="C1290" s="606"/>
      <c r="D1290" s="606"/>
      <c r="E1290" s="606"/>
      <c r="F1290" s="606"/>
      <c r="G1290" s="606"/>
      <c r="H1290" s="294"/>
      <c r="I1290" s="169"/>
      <c r="J1290" s="167"/>
      <c r="K1290" s="169"/>
      <c r="L1290" s="167"/>
      <c r="M1290" s="169"/>
      <c r="N1290" s="167"/>
      <c r="O1290" s="169"/>
    </row>
    <row r="1291" spans="2:15" s="453" customFormat="1" ht="14" x14ac:dyDescent="0.2">
      <c r="B1291" s="309"/>
      <c r="C1291" s="606" t="s">
        <v>613</v>
      </c>
      <c r="D1291" s="606"/>
      <c r="E1291" s="606"/>
      <c r="F1291" s="606"/>
      <c r="G1291" s="606"/>
      <c r="H1291" s="296"/>
      <c r="I1291" s="168" t="s">
        <v>211</v>
      </c>
      <c r="J1291" s="166" t="s">
        <v>211</v>
      </c>
      <c r="K1291" s="168" t="s">
        <v>211</v>
      </c>
      <c r="L1291" s="166" t="s">
        <v>211</v>
      </c>
      <c r="M1291" s="168" t="s">
        <v>211</v>
      </c>
      <c r="N1291" s="166" t="s">
        <v>211</v>
      </c>
      <c r="O1291" s="168" t="s">
        <v>211</v>
      </c>
    </row>
    <row r="1292" spans="2:15" s="453" customFormat="1" ht="14" x14ac:dyDescent="0.2">
      <c r="B1292" s="309"/>
      <c r="C1292" s="606"/>
      <c r="D1292" s="606"/>
      <c r="E1292" s="606"/>
      <c r="F1292" s="606"/>
      <c r="G1292" s="606"/>
      <c r="H1292" s="294"/>
      <c r="I1292" s="169"/>
      <c r="J1292" s="167"/>
      <c r="K1292" s="169"/>
      <c r="L1292" s="167"/>
      <c r="M1292" s="169"/>
      <c r="N1292" s="167"/>
      <c r="O1292" s="169"/>
    </row>
    <row r="1293" spans="2:15" s="453" customFormat="1" ht="12.75" customHeight="1" x14ac:dyDescent="0.2">
      <c r="B1293" s="309"/>
      <c r="C1293" s="635" t="s">
        <v>817</v>
      </c>
      <c r="D1293" s="635"/>
      <c r="E1293" s="635"/>
      <c r="F1293" s="635"/>
      <c r="G1293" s="635"/>
      <c r="H1293" s="296"/>
      <c r="I1293" s="168" t="s">
        <v>211</v>
      </c>
      <c r="J1293" s="166" t="s">
        <v>211</v>
      </c>
      <c r="K1293" s="168" t="s">
        <v>211</v>
      </c>
      <c r="L1293" s="166" t="s">
        <v>211</v>
      </c>
      <c r="M1293" s="168" t="s">
        <v>211</v>
      </c>
      <c r="N1293" s="166" t="s">
        <v>211</v>
      </c>
      <c r="O1293" s="168" t="s">
        <v>211</v>
      </c>
    </row>
    <row r="1294" spans="2:15" s="453" customFormat="1" ht="14" x14ac:dyDescent="0.2">
      <c r="B1294" s="309"/>
      <c r="C1294" s="635"/>
      <c r="D1294" s="635"/>
      <c r="E1294" s="635"/>
      <c r="F1294" s="635"/>
      <c r="G1294" s="635"/>
      <c r="H1294" s="294"/>
      <c r="I1294" s="169"/>
      <c r="J1294" s="167"/>
      <c r="K1294" s="169"/>
      <c r="L1294" s="167"/>
      <c r="M1294" s="169"/>
      <c r="N1294" s="167"/>
      <c r="O1294" s="169"/>
    </row>
    <row r="1295" spans="2:15" s="453" customFormat="1" ht="14" x14ac:dyDescent="0.2">
      <c r="B1295" s="308" t="s">
        <v>333</v>
      </c>
      <c r="C1295" s="628" t="s">
        <v>614</v>
      </c>
      <c r="D1295" s="628"/>
      <c r="E1295" s="628"/>
      <c r="F1295" s="628"/>
      <c r="G1295" s="628"/>
      <c r="H1295" s="294"/>
      <c r="I1295" s="169"/>
      <c r="J1295" s="167"/>
      <c r="K1295" s="169"/>
      <c r="L1295" s="167"/>
      <c r="M1295" s="169"/>
      <c r="N1295" s="167"/>
      <c r="O1295" s="169"/>
    </row>
    <row r="1296" spans="2:15" s="453" customFormat="1" ht="14" x14ac:dyDescent="0.2">
      <c r="B1296" s="342"/>
      <c r="C1296" s="748"/>
      <c r="D1296" s="748"/>
      <c r="E1296" s="748"/>
      <c r="F1296" s="748"/>
      <c r="G1296" s="748"/>
      <c r="H1296" s="298"/>
      <c r="I1296" s="169"/>
      <c r="J1296" s="167"/>
      <c r="K1296" s="169"/>
      <c r="L1296" s="167"/>
      <c r="M1296" s="169"/>
      <c r="N1296" s="167"/>
      <c r="O1296" s="169"/>
    </row>
    <row r="1297" spans="2:15" s="453" customFormat="1" ht="12.75" customHeight="1" x14ac:dyDescent="0.2">
      <c r="B1297" s="311">
        <v>3</v>
      </c>
      <c r="C1297" s="618" t="s">
        <v>600</v>
      </c>
      <c r="D1297" s="618"/>
      <c r="E1297" s="618"/>
      <c r="F1297" s="618"/>
      <c r="G1297" s="618"/>
      <c r="H1297" s="292"/>
      <c r="I1297" s="168" t="s">
        <v>211</v>
      </c>
      <c r="J1297" s="166" t="s">
        <v>211</v>
      </c>
      <c r="K1297" s="168" t="s">
        <v>211</v>
      </c>
      <c r="L1297" s="166" t="s">
        <v>211</v>
      </c>
      <c r="M1297" s="168" t="s">
        <v>211</v>
      </c>
      <c r="N1297" s="166" t="s">
        <v>211</v>
      </c>
      <c r="O1297" s="168" t="s">
        <v>211</v>
      </c>
    </row>
    <row r="1298" spans="2:15" s="453" customFormat="1" ht="14" x14ac:dyDescent="0.2">
      <c r="B1298" s="316"/>
      <c r="C1298" s="619"/>
      <c r="D1298" s="619"/>
      <c r="E1298" s="619"/>
      <c r="F1298" s="619"/>
      <c r="G1298" s="619"/>
      <c r="H1298" s="294"/>
      <c r="I1298" s="169"/>
      <c r="J1298" s="167"/>
      <c r="K1298" s="169"/>
      <c r="L1298" s="167"/>
      <c r="M1298" s="169"/>
      <c r="N1298" s="167"/>
      <c r="O1298" s="169"/>
    </row>
    <row r="1299" spans="2:15" s="453" customFormat="1" ht="14" x14ac:dyDescent="0.2">
      <c r="B1299" s="309"/>
      <c r="C1299" s="606" t="s">
        <v>601</v>
      </c>
      <c r="D1299" s="606"/>
      <c r="E1299" s="606"/>
      <c r="F1299" s="606"/>
      <c r="G1299" s="606"/>
      <c r="H1299" s="296"/>
      <c r="I1299" s="168" t="s">
        <v>211</v>
      </c>
      <c r="J1299" s="166" t="s">
        <v>211</v>
      </c>
      <c r="K1299" s="168" t="s">
        <v>211</v>
      </c>
      <c r="L1299" s="166" t="s">
        <v>211</v>
      </c>
      <c r="M1299" s="168" t="s">
        <v>211</v>
      </c>
      <c r="N1299" s="166" t="s">
        <v>211</v>
      </c>
      <c r="O1299" s="168" t="s">
        <v>211</v>
      </c>
    </row>
    <row r="1300" spans="2:15" s="453" customFormat="1" ht="14" x14ac:dyDescent="0.2">
      <c r="B1300" s="309"/>
      <c r="C1300" s="606"/>
      <c r="D1300" s="606"/>
      <c r="E1300" s="606"/>
      <c r="F1300" s="606"/>
      <c r="G1300" s="606"/>
      <c r="H1300" s="294"/>
      <c r="I1300" s="169"/>
      <c r="J1300" s="167"/>
      <c r="K1300" s="169"/>
      <c r="L1300" s="167"/>
      <c r="M1300" s="169"/>
      <c r="N1300" s="167"/>
      <c r="O1300" s="169"/>
    </row>
    <row r="1301" spans="2:15" s="453" customFormat="1" ht="14" x14ac:dyDescent="0.2">
      <c r="B1301" s="309"/>
      <c r="C1301" s="569" t="s">
        <v>615</v>
      </c>
      <c r="D1301" s="569"/>
      <c r="E1301" s="569"/>
      <c r="F1301" s="569"/>
      <c r="G1301" s="569"/>
      <c r="H1301" s="296"/>
      <c r="I1301" s="168" t="s">
        <v>211</v>
      </c>
      <c r="J1301" s="166" t="s">
        <v>211</v>
      </c>
      <c r="K1301" s="168" t="s">
        <v>211</v>
      </c>
      <c r="L1301" s="166" t="s">
        <v>211</v>
      </c>
      <c r="M1301" s="168" t="s">
        <v>211</v>
      </c>
      <c r="N1301" s="166" t="s">
        <v>211</v>
      </c>
      <c r="O1301" s="168" t="s">
        <v>211</v>
      </c>
    </row>
    <row r="1302" spans="2:15" s="453" customFormat="1" ht="12.75" customHeight="1" x14ac:dyDescent="0.2">
      <c r="B1302" s="308" t="s">
        <v>333</v>
      </c>
      <c r="C1302" s="753" t="s">
        <v>616</v>
      </c>
      <c r="D1302" s="753"/>
      <c r="E1302" s="753"/>
      <c r="F1302" s="753"/>
      <c r="G1302" s="753"/>
      <c r="H1302" s="294"/>
      <c r="I1302" s="169"/>
      <c r="J1302" s="167"/>
      <c r="K1302" s="169"/>
      <c r="L1302" s="167"/>
      <c r="M1302" s="169"/>
      <c r="N1302" s="167"/>
      <c r="O1302" s="169"/>
    </row>
    <row r="1303" spans="2:15" s="453" customFormat="1" ht="14" x14ac:dyDescent="0.2">
      <c r="B1303" s="308"/>
      <c r="C1303" s="753"/>
      <c r="D1303" s="753"/>
      <c r="E1303" s="753"/>
      <c r="F1303" s="753"/>
      <c r="G1303" s="753"/>
      <c r="H1303" s="294"/>
      <c r="I1303" s="169"/>
      <c r="J1303" s="167"/>
      <c r="K1303" s="169"/>
      <c r="L1303" s="167"/>
      <c r="M1303" s="169"/>
      <c r="N1303" s="167"/>
      <c r="O1303" s="169"/>
    </row>
    <row r="1304" spans="2:15" s="453" customFormat="1" ht="14" x14ac:dyDescent="0.2">
      <c r="B1304" s="308"/>
      <c r="C1304" s="753"/>
      <c r="D1304" s="753"/>
      <c r="E1304" s="753"/>
      <c r="F1304" s="753"/>
      <c r="G1304" s="753"/>
      <c r="H1304" s="294"/>
      <c r="I1304" s="169"/>
      <c r="J1304" s="167"/>
      <c r="K1304" s="169"/>
      <c r="L1304" s="167"/>
      <c r="M1304" s="169"/>
      <c r="N1304" s="167"/>
      <c r="O1304" s="169"/>
    </row>
    <row r="1305" spans="2:15" s="453" customFormat="1" ht="14" x14ac:dyDescent="0.2">
      <c r="B1305" s="309"/>
      <c r="C1305" s="310"/>
      <c r="D1305" s="743" t="s">
        <v>1358</v>
      </c>
      <c r="E1305" s="743"/>
      <c r="F1305" s="743"/>
      <c r="G1305" s="743"/>
      <c r="H1305" s="744"/>
      <c r="I1305" s="169"/>
      <c r="J1305" s="167"/>
      <c r="K1305" s="169"/>
      <c r="L1305" s="167"/>
      <c r="M1305" s="169"/>
      <c r="N1305" s="167"/>
      <c r="O1305" s="169"/>
    </row>
    <row r="1306" spans="2:15" s="453" customFormat="1" ht="14" x14ac:dyDescent="0.2">
      <c r="B1306" s="309"/>
      <c r="C1306" s="310"/>
      <c r="F1306" s="743" t="s">
        <v>617</v>
      </c>
      <c r="G1306" s="743"/>
      <c r="H1306" s="744"/>
      <c r="I1306" s="169"/>
      <c r="J1306" s="167"/>
      <c r="K1306" s="169"/>
      <c r="L1306" s="167"/>
      <c r="M1306" s="169"/>
      <c r="N1306" s="167"/>
      <c r="O1306" s="169"/>
    </row>
    <row r="1307" spans="2:15" s="453" customFormat="1" ht="14" x14ac:dyDescent="0.2">
      <c r="B1307" s="309"/>
      <c r="C1307" s="310"/>
      <c r="D1307" s="743" t="s">
        <v>618</v>
      </c>
      <c r="E1307" s="743"/>
      <c r="F1307" s="743"/>
      <c r="G1307" s="743"/>
      <c r="H1307" s="744"/>
      <c r="I1307" s="169"/>
      <c r="J1307" s="167"/>
      <c r="K1307" s="169"/>
      <c r="L1307" s="167"/>
      <c r="M1307" s="169"/>
      <c r="N1307" s="167"/>
      <c r="O1307" s="169"/>
    </row>
    <row r="1308" spans="2:15" s="453" customFormat="1" ht="14" x14ac:dyDescent="0.2">
      <c r="B1308" s="309"/>
      <c r="C1308" s="310"/>
      <c r="F1308" s="622" t="s">
        <v>619</v>
      </c>
      <c r="G1308" s="622"/>
      <c r="H1308" s="736"/>
      <c r="I1308" s="169"/>
      <c r="J1308" s="167"/>
      <c r="K1308" s="169"/>
      <c r="L1308" s="167"/>
      <c r="M1308" s="169"/>
      <c r="N1308" s="167"/>
      <c r="O1308" s="169"/>
    </row>
    <row r="1309" spans="2:15" s="453" customFormat="1" ht="14" x14ac:dyDescent="0.2">
      <c r="B1309" s="318"/>
      <c r="C1309" s="319"/>
      <c r="D1309" s="303"/>
      <c r="E1309" s="303"/>
      <c r="F1309" s="745" t="s">
        <v>604</v>
      </c>
      <c r="G1309" s="745"/>
      <c r="H1309" s="746"/>
      <c r="I1309" s="169"/>
      <c r="J1309" s="167"/>
      <c r="K1309" s="169"/>
      <c r="L1309" s="167"/>
      <c r="M1309" s="169"/>
      <c r="N1309" s="167"/>
      <c r="O1309" s="169"/>
    </row>
    <row r="1310" spans="2:15" s="453" customFormat="1" ht="14" x14ac:dyDescent="0.2">
      <c r="B1310" s="311">
        <v>4</v>
      </c>
      <c r="C1310" s="738" t="s">
        <v>620</v>
      </c>
      <c r="D1310" s="738"/>
      <c r="E1310" s="738"/>
      <c r="F1310" s="738"/>
      <c r="G1310" s="738"/>
      <c r="H1310" s="292"/>
      <c r="I1310" s="168" t="s">
        <v>211</v>
      </c>
      <c r="J1310" s="166" t="s">
        <v>211</v>
      </c>
      <c r="K1310" s="168" t="s">
        <v>211</v>
      </c>
      <c r="L1310" s="166" t="s">
        <v>211</v>
      </c>
      <c r="M1310" s="168" t="s">
        <v>211</v>
      </c>
      <c r="N1310" s="166" t="s">
        <v>211</v>
      </c>
      <c r="O1310" s="168" t="s">
        <v>211</v>
      </c>
    </row>
    <row r="1311" spans="2:15" s="453" customFormat="1" ht="14" x14ac:dyDescent="0.2">
      <c r="B1311" s="320"/>
      <c r="C1311" s="569" t="s">
        <v>818</v>
      </c>
      <c r="D1311" s="569"/>
      <c r="E1311" s="569"/>
      <c r="F1311" s="569"/>
      <c r="G1311" s="569"/>
      <c r="H1311" s="296"/>
      <c r="I1311" s="168" t="s">
        <v>211</v>
      </c>
      <c r="J1311" s="166" t="s">
        <v>211</v>
      </c>
      <c r="K1311" s="168" t="s">
        <v>211</v>
      </c>
      <c r="L1311" s="166" t="s">
        <v>211</v>
      </c>
      <c r="M1311" s="168" t="s">
        <v>211</v>
      </c>
      <c r="N1311" s="166" t="s">
        <v>211</v>
      </c>
      <c r="O1311" s="168" t="s">
        <v>211</v>
      </c>
    </row>
    <row r="1312" spans="2:15" s="453" customFormat="1" ht="12.75" customHeight="1" x14ac:dyDescent="0.2">
      <c r="B1312" s="309"/>
      <c r="C1312" s="635" t="s">
        <v>621</v>
      </c>
      <c r="D1312" s="635"/>
      <c r="E1312" s="635"/>
      <c r="F1312" s="635"/>
      <c r="G1312" s="635"/>
      <c r="H1312" s="296"/>
      <c r="I1312" s="168" t="s">
        <v>211</v>
      </c>
      <c r="J1312" s="166" t="s">
        <v>211</v>
      </c>
      <c r="K1312" s="168" t="s">
        <v>211</v>
      </c>
      <c r="L1312" s="166" t="s">
        <v>211</v>
      </c>
      <c r="M1312" s="168" t="s">
        <v>211</v>
      </c>
      <c r="N1312" s="166" t="s">
        <v>211</v>
      </c>
      <c r="O1312" s="168" t="s">
        <v>211</v>
      </c>
    </row>
    <row r="1313" spans="2:15" s="453" customFormat="1" ht="14" x14ac:dyDescent="0.2">
      <c r="B1313" s="309"/>
      <c r="C1313" s="635"/>
      <c r="D1313" s="635"/>
      <c r="E1313" s="635"/>
      <c r="F1313" s="635"/>
      <c r="G1313" s="635"/>
      <c r="H1313" s="294"/>
      <c r="I1313" s="169"/>
      <c r="J1313" s="167"/>
      <c r="K1313" s="169"/>
      <c r="L1313" s="167"/>
      <c r="M1313" s="169"/>
      <c r="N1313" s="167"/>
      <c r="O1313" s="169"/>
    </row>
    <row r="1314" spans="2:15" s="453" customFormat="1" ht="14" x14ac:dyDescent="0.2">
      <c r="B1314" s="309"/>
      <c r="C1314" s="310"/>
      <c r="F1314" s="743" t="s">
        <v>622</v>
      </c>
      <c r="G1314" s="743"/>
      <c r="H1314" s="744"/>
      <c r="I1314" s="169"/>
      <c r="J1314" s="167"/>
      <c r="K1314" s="169"/>
      <c r="L1314" s="167"/>
      <c r="M1314" s="169"/>
      <c r="N1314" s="167"/>
      <c r="O1314" s="169"/>
    </row>
    <row r="1315" spans="2:15" s="453" customFormat="1" ht="14" x14ac:dyDescent="0.2">
      <c r="B1315" s="309"/>
      <c r="C1315" s="310"/>
      <c r="D1315" s="743" t="s">
        <v>623</v>
      </c>
      <c r="E1315" s="743"/>
      <c r="F1315" s="743"/>
      <c r="G1315" s="743"/>
      <c r="H1315" s="744"/>
      <c r="I1315" s="169"/>
      <c r="J1315" s="167"/>
      <c r="K1315" s="169"/>
      <c r="L1315" s="167"/>
      <c r="M1315" s="169"/>
      <c r="N1315" s="167"/>
      <c r="O1315" s="169"/>
    </row>
    <row r="1316" spans="2:15" s="453" customFormat="1" ht="14" x14ac:dyDescent="0.2">
      <c r="B1316" s="309"/>
      <c r="C1316" s="310"/>
      <c r="F1316" s="622" t="s">
        <v>624</v>
      </c>
      <c r="G1316" s="622"/>
      <c r="H1316" s="736"/>
      <c r="I1316" s="169"/>
      <c r="J1316" s="167"/>
      <c r="K1316" s="169"/>
      <c r="L1316" s="167"/>
      <c r="M1316" s="169"/>
      <c r="N1316" s="167"/>
      <c r="O1316" s="169"/>
    </row>
    <row r="1317" spans="2:15" s="453" customFormat="1" ht="14" x14ac:dyDescent="0.2">
      <c r="B1317" s="318"/>
      <c r="C1317" s="319"/>
      <c r="D1317" s="303"/>
      <c r="E1317" s="303"/>
      <c r="F1317" s="745" t="s">
        <v>604</v>
      </c>
      <c r="G1317" s="745"/>
      <c r="H1317" s="746"/>
      <c r="I1317" s="169"/>
      <c r="J1317" s="167"/>
      <c r="K1317" s="169"/>
      <c r="L1317" s="167"/>
      <c r="M1317" s="169"/>
      <c r="N1317" s="167"/>
      <c r="O1317" s="169"/>
    </row>
    <row r="1318" spans="2:15" s="453" customFormat="1" ht="14" x14ac:dyDescent="0.2">
      <c r="B1318" s="112"/>
      <c r="I1318" s="135"/>
      <c r="J1318" s="105"/>
      <c r="K1318" s="135"/>
      <c r="L1318" s="105"/>
      <c r="M1318" s="135"/>
      <c r="N1318" s="105"/>
      <c r="O1318" s="135"/>
    </row>
    <row r="1319" spans="2:15" s="453" customFormat="1" ht="14" x14ac:dyDescent="0.2">
      <c r="B1319" s="343" t="s">
        <v>625</v>
      </c>
      <c r="C1319" s="344"/>
      <c r="D1319" s="344"/>
      <c r="E1319" s="345"/>
      <c r="F1319" s="345"/>
      <c r="G1319" s="345"/>
      <c r="H1319" s="346"/>
      <c r="I1319" s="135"/>
      <c r="J1319" s="105"/>
      <c r="K1319" s="135"/>
      <c r="L1319" s="105"/>
      <c r="M1319" s="135"/>
      <c r="N1319" s="105"/>
      <c r="O1319" s="135"/>
    </row>
    <row r="1320" spans="2:15" s="453" customFormat="1" ht="14" x14ac:dyDescent="0.2">
      <c r="B1320" s="311">
        <v>1</v>
      </c>
      <c r="C1320" s="738" t="s">
        <v>626</v>
      </c>
      <c r="D1320" s="738"/>
      <c r="E1320" s="738"/>
      <c r="F1320" s="738"/>
      <c r="G1320" s="738"/>
      <c r="H1320" s="292"/>
      <c r="I1320" s="168" t="s">
        <v>211</v>
      </c>
      <c r="J1320" s="166" t="s">
        <v>211</v>
      </c>
      <c r="K1320" s="168" t="s">
        <v>211</v>
      </c>
      <c r="L1320" s="166" t="s">
        <v>211</v>
      </c>
      <c r="M1320" s="168" t="s">
        <v>211</v>
      </c>
      <c r="N1320" s="166" t="s">
        <v>211</v>
      </c>
      <c r="O1320" s="168" t="s">
        <v>211</v>
      </c>
    </row>
    <row r="1321" spans="2:15" s="453" customFormat="1" ht="14" x14ac:dyDescent="0.2">
      <c r="B1321" s="309"/>
      <c r="C1321" s="569" t="s">
        <v>627</v>
      </c>
      <c r="D1321" s="569"/>
      <c r="E1321" s="569"/>
      <c r="F1321" s="569"/>
      <c r="G1321" s="569"/>
      <c r="H1321" s="296"/>
      <c r="I1321" s="168" t="s">
        <v>211</v>
      </c>
      <c r="J1321" s="166" t="s">
        <v>211</v>
      </c>
      <c r="K1321" s="168" t="s">
        <v>211</v>
      </c>
      <c r="L1321" s="166" t="s">
        <v>211</v>
      </c>
      <c r="M1321" s="168" t="s">
        <v>211</v>
      </c>
      <c r="N1321" s="166" t="s">
        <v>211</v>
      </c>
      <c r="O1321" s="168" t="s">
        <v>211</v>
      </c>
    </row>
    <row r="1322" spans="2:15" s="453" customFormat="1" ht="14" x14ac:dyDescent="0.2">
      <c r="B1322" s="309"/>
      <c r="C1322" s="606" t="s">
        <v>628</v>
      </c>
      <c r="D1322" s="606"/>
      <c r="E1322" s="606"/>
      <c r="F1322" s="606"/>
      <c r="G1322" s="606"/>
      <c r="H1322" s="296"/>
      <c r="I1322" s="168" t="s">
        <v>211</v>
      </c>
      <c r="J1322" s="166" t="s">
        <v>211</v>
      </c>
      <c r="K1322" s="168" t="s">
        <v>211</v>
      </c>
      <c r="L1322" s="166" t="s">
        <v>211</v>
      </c>
      <c r="M1322" s="168" t="s">
        <v>211</v>
      </c>
      <c r="N1322" s="166" t="s">
        <v>211</v>
      </c>
      <c r="O1322" s="168" t="s">
        <v>211</v>
      </c>
    </row>
    <row r="1323" spans="2:15" s="453" customFormat="1" ht="14" x14ac:dyDescent="0.2">
      <c r="B1323" s="309"/>
      <c r="C1323" s="606"/>
      <c r="D1323" s="606"/>
      <c r="E1323" s="606"/>
      <c r="F1323" s="606"/>
      <c r="G1323" s="606"/>
      <c r="H1323" s="294"/>
      <c r="I1323" s="169"/>
      <c r="J1323" s="167"/>
      <c r="K1323" s="169"/>
      <c r="L1323" s="167"/>
      <c r="M1323" s="169"/>
      <c r="N1323" s="167"/>
      <c r="O1323" s="169"/>
    </row>
    <row r="1324" spans="2:15" s="453" customFormat="1" ht="14" x14ac:dyDescent="0.2">
      <c r="B1324" s="318"/>
      <c r="C1324" s="640" t="s">
        <v>629</v>
      </c>
      <c r="D1324" s="640"/>
      <c r="E1324" s="640"/>
      <c r="F1324" s="640"/>
      <c r="G1324" s="640"/>
      <c r="H1324" s="341"/>
      <c r="I1324" s="168" t="s">
        <v>211</v>
      </c>
      <c r="J1324" s="166" t="s">
        <v>211</v>
      </c>
      <c r="K1324" s="168" t="s">
        <v>211</v>
      </c>
      <c r="L1324" s="166" t="s">
        <v>211</v>
      </c>
      <c r="M1324" s="168" t="s">
        <v>211</v>
      </c>
      <c r="N1324" s="166" t="s">
        <v>211</v>
      </c>
      <c r="O1324" s="168" t="s">
        <v>211</v>
      </c>
    </row>
    <row r="1325" spans="2:15" s="453" customFormat="1" ht="12.75" customHeight="1" x14ac:dyDescent="0.2">
      <c r="B1325" s="311">
        <v>2</v>
      </c>
      <c r="C1325" s="618" t="s">
        <v>630</v>
      </c>
      <c r="D1325" s="618"/>
      <c r="E1325" s="618"/>
      <c r="F1325" s="618"/>
      <c r="G1325" s="618"/>
      <c r="H1325" s="292"/>
      <c r="I1325" s="168" t="s">
        <v>211</v>
      </c>
      <c r="J1325" s="166" t="s">
        <v>211</v>
      </c>
      <c r="K1325" s="168" t="s">
        <v>211</v>
      </c>
      <c r="L1325" s="166" t="s">
        <v>211</v>
      </c>
      <c r="M1325" s="168" t="s">
        <v>211</v>
      </c>
      <c r="N1325" s="166" t="s">
        <v>211</v>
      </c>
      <c r="O1325" s="168" t="s">
        <v>211</v>
      </c>
    </row>
    <row r="1326" spans="2:15" s="453" customFormat="1" ht="14" x14ac:dyDescent="0.2">
      <c r="B1326" s="309"/>
      <c r="C1326" s="606" t="s">
        <v>819</v>
      </c>
      <c r="D1326" s="606"/>
      <c r="E1326" s="606"/>
      <c r="F1326" s="606"/>
      <c r="G1326" s="606"/>
      <c r="H1326" s="296"/>
      <c r="I1326" s="168" t="s">
        <v>211</v>
      </c>
      <c r="J1326" s="166" t="s">
        <v>211</v>
      </c>
      <c r="K1326" s="168" t="s">
        <v>211</v>
      </c>
      <c r="L1326" s="166" t="s">
        <v>211</v>
      </c>
      <c r="M1326" s="168" t="s">
        <v>211</v>
      </c>
      <c r="N1326" s="166" t="s">
        <v>211</v>
      </c>
      <c r="O1326" s="168" t="s">
        <v>211</v>
      </c>
    </row>
    <row r="1327" spans="2:15" s="453" customFormat="1" ht="14" x14ac:dyDescent="0.2">
      <c r="B1327" s="309"/>
      <c r="C1327" s="606"/>
      <c r="D1327" s="606"/>
      <c r="E1327" s="606"/>
      <c r="F1327" s="606"/>
      <c r="G1327" s="606"/>
      <c r="H1327" s="294"/>
      <c r="I1327" s="169"/>
      <c r="J1327" s="167"/>
      <c r="K1327" s="169"/>
      <c r="L1327" s="167"/>
      <c r="M1327" s="169"/>
      <c r="N1327" s="167"/>
      <c r="O1327" s="169"/>
    </row>
    <row r="1328" spans="2:15" s="453" customFormat="1" ht="14" x14ac:dyDescent="0.2">
      <c r="B1328" s="309"/>
      <c r="C1328" s="569" t="s">
        <v>631</v>
      </c>
      <c r="D1328" s="569"/>
      <c r="E1328" s="569"/>
      <c r="F1328" s="569"/>
      <c r="G1328" s="569"/>
      <c r="H1328" s="296"/>
      <c r="I1328" s="168" t="s">
        <v>211</v>
      </c>
      <c r="J1328" s="166" t="s">
        <v>211</v>
      </c>
      <c r="K1328" s="168" t="s">
        <v>211</v>
      </c>
      <c r="L1328" s="166" t="s">
        <v>211</v>
      </c>
      <c r="M1328" s="168" t="s">
        <v>211</v>
      </c>
      <c r="N1328" s="166" t="s">
        <v>211</v>
      </c>
      <c r="O1328" s="168" t="s">
        <v>211</v>
      </c>
    </row>
    <row r="1329" spans="2:15" s="453" customFormat="1" ht="14" x14ac:dyDescent="0.2">
      <c r="B1329" s="309"/>
      <c r="C1329" s="310"/>
      <c r="F1329" s="622" t="s">
        <v>1289</v>
      </c>
      <c r="G1329" s="622"/>
      <c r="H1329" s="736"/>
      <c r="I1329" s="169"/>
      <c r="J1329" s="167"/>
      <c r="K1329" s="169"/>
      <c r="L1329" s="167"/>
      <c r="M1329" s="169"/>
      <c r="N1329" s="167"/>
      <c r="O1329" s="169"/>
    </row>
    <row r="1330" spans="2:15" s="453" customFormat="1" ht="14" x14ac:dyDescent="0.2">
      <c r="B1330" s="309"/>
      <c r="C1330" s="756" t="s">
        <v>632</v>
      </c>
      <c r="D1330" s="756"/>
      <c r="E1330" s="756"/>
      <c r="F1330" s="756"/>
      <c r="G1330" s="756"/>
      <c r="H1330" s="757"/>
      <c r="I1330" s="169"/>
      <c r="J1330" s="167"/>
      <c r="K1330" s="169"/>
      <c r="L1330" s="167"/>
      <c r="M1330" s="169"/>
      <c r="N1330" s="167"/>
      <c r="O1330" s="169"/>
    </row>
    <row r="1331" spans="2:15" s="453" customFormat="1" ht="14" x14ac:dyDescent="0.2">
      <c r="B1331" s="318"/>
      <c r="C1331" s="754" t="s">
        <v>633</v>
      </c>
      <c r="D1331" s="754"/>
      <c r="E1331" s="754"/>
      <c r="F1331" s="754"/>
      <c r="G1331" s="754"/>
      <c r="H1331" s="755"/>
      <c r="I1331" s="169"/>
      <c r="J1331" s="167"/>
      <c r="K1331" s="169"/>
      <c r="L1331" s="167"/>
      <c r="M1331" s="169"/>
      <c r="N1331" s="167"/>
      <c r="O1331" s="169"/>
    </row>
    <row r="1332" spans="2:15" s="453" customFormat="1" ht="12.75" customHeight="1" x14ac:dyDescent="0.2">
      <c r="B1332" s="311">
        <v>3</v>
      </c>
      <c r="C1332" s="618" t="s">
        <v>634</v>
      </c>
      <c r="D1332" s="618"/>
      <c r="E1332" s="618"/>
      <c r="F1332" s="618"/>
      <c r="G1332" s="618"/>
      <c r="H1332" s="292"/>
      <c r="I1332" s="168" t="s">
        <v>211</v>
      </c>
      <c r="J1332" s="166" t="s">
        <v>211</v>
      </c>
      <c r="K1332" s="168" t="s">
        <v>211</v>
      </c>
      <c r="L1332" s="166" t="s">
        <v>211</v>
      </c>
      <c r="M1332" s="168" t="s">
        <v>211</v>
      </c>
      <c r="N1332" s="166" t="s">
        <v>211</v>
      </c>
      <c r="O1332" s="168" t="s">
        <v>211</v>
      </c>
    </row>
    <row r="1333" spans="2:15" s="453" customFormat="1" ht="14" x14ac:dyDescent="0.2">
      <c r="B1333" s="309"/>
      <c r="C1333" s="606" t="s">
        <v>820</v>
      </c>
      <c r="D1333" s="606"/>
      <c r="E1333" s="606"/>
      <c r="F1333" s="606"/>
      <c r="G1333" s="606"/>
      <c r="H1333" s="296"/>
      <c r="I1333" s="168" t="s">
        <v>211</v>
      </c>
      <c r="J1333" s="166" t="s">
        <v>211</v>
      </c>
      <c r="K1333" s="168" t="s">
        <v>211</v>
      </c>
      <c r="L1333" s="166" t="s">
        <v>211</v>
      </c>
      <c r="M1333" s="168" t="s">
        <v>211</v>
      </c>
      <c r="N1333" s="166" t="s">
        <v>211</v>
      </c>
      <c r="O1333" s="168" t="s">
        <v>211</v>
      </c>
    </row>
    <row r="1334" spans="2:15" s="453" customFormat="1" ht="14" x14ac:dyDescent="0.2">
      <c r="B1334" s="309"/>
      <c r="C1334" s="606"/>
      <c r="D1334" s="606"/>
      <c r="E1334" s="606"/>
      <c r="F1334" s="606"/>
      <c r="G1334" s="606"/>
      <c r="H1334" s="294"/>
      <c r="I1334" s="169"/>
      <c r="J1334" s="167"/>
      <c r="K1334" s="169"/>
      <c r="L1334" s="167"/>
      <c r="M1334" s="169"/>
      <c r="N1334" s="167"/>
      <c r="O1334" s="169"/>
    </row>
    <row r="1335" spans="2:15" s="453" customFormat="1" ht="14" x14ac:dyDescent="0.2">
      <c r="B1335" s="309"/>
      <c r="C1335" s="606" t="s">
        <v>821</v>
      </c>
      <c r="D1335" s="606"/>
      <c r="E1335" s="606"/>
      <c r="F1335" s="606"/>
      <c r="G1335" s="606"/>
      <c r="H1335" s="296"/>
      <c r="I1335" s="168" t="s">
        <v>211</v>
      </c>
      <c r="J1335" s="166" t="s">
        <v>211</v>
      </c>
      <c r="K1335" s="168" t="s">
        <v>211</v>
      </c>
      <c r="L1335" s="166" t="s">
        <v>211</v>
      </c>
      <c r="M1335" s="168" t="s">
        <v>211</v>
      </c>
      <c r="N1335" s="166" t="s">
        <v>211</v>
      </c>
      <c r="O1335" s="168" t="s">
        <v>211</v>
      </c>
    </row>
    <row r="1336" spans="2:15" s="453" customFormat="1" ht="14" x14ac:dyDescent="0.2">
      <c r="B1336" s="309"/>
      <c r="C1336" s="606"/>
      <c r="D1336" s="606"/>
      <c r="E1336" s="606"/>
      <c r="F1336" s="606"/>
      <c r="G1336" s="606"/>
      <c r="H1336" s="294"/>
      <c r="I1336" s="169"/>
      <c r="J1336" s="167"/>
      <c r="K1336" s="169"/>
      <c r="L1336" s="167"/>
      <c r="M1336" s="169"/>
      <c r="N1336" s="167"/>
      <c r="O1336" s="169"/>
    </row>
    <row r="1337" spans="2:15" s="453" customFormat="1" ht="14" x14ac:dyDescent="0.2">
      <c r="B1337" s="309"/>
      <c r="C1337" s="569" t="s">
        <v>473</v>
      </c>
      <c r="D1337" s="569"/>
      <c r="E1337" s="569"/>
      <c r="F1337" s="569"/>
      <c r="G1337" s="569"/>
      <c r="H1337" s="296"/>
      <c r="I1337" s="168" t="s">
        <v>211</v>
      </c>
      <c r="J1337" s="166" t="s">
        <v>211</v>
      </c>
      <c r="K1337" s="168" t="s">
        <v>211</v>
      </c>
      <c r="L1337" s="166" t="s">
        <v>211</v>
      </c>
      <c r="M1337" s="168" t="s">
        <v>211</v>
      </c>
      <c r="N1337" s="166" t="s">
        <v>211</v>
      </c>
      <c r="O1337" s="168" t="s">
        <v>211</v>
      </c>
    </row>
    <row r="1338" spans="2:15" s="453" customFormat="1" ht="14" x14ac:dyDescent="0.2">
      <c r="B1338" s="309"/>
      <c r="C1338" s="310"/>
      <c r="F1338" s="622" t="s">
        <v>635</v>
      </c>
      <c r="G1338" s="622"/>
      <c r="H1338" s="736"/>
      <c r="I1338" s="169"/>
      <c r="J1338" s="167"/>
      <c r="K1338" s="169"/>
      <c r="L1338" s="167"/>
      <c r="M1338" s="169"/>
      <c r="N1338" s="167"/>
      <c r="O1338" s="169"/>
    </row>
    <row r="1339" spans="2:15" s="453" customFormat="1" ht="14" x14ac:dyDescent="0.2">
      <c r="B1339" s="318"/>
      <c r="C1339" s="319"/>
      <c r="D1339" s="303"/>
      <c r="E1339" s="303"/>
      <c r="F1339" s="751" t="s">
        <v>474</v>
      </c>
      <c r="G1339" s="751"/>
      <c r="H1339" s="752"/>
      <c r="I1339" s="169"/>
      <c r="J1339" s="167"/>
      <c r="K1339" s="169"/>
      <c r="L1339" s="167"/>
      <c r="M1339" s="169"/>
      <c r="N1339" s="167"/>
      <c r="O1339" s="169"/>
    </row>
    <row r="1340" spans="2:15" s="453" customFormat="1" ht="14" x14ac:dyDescent="0.2">
      <c r="B1340" s="311">
        <v>4</v>
      </c>
      <c r="C1340" s="568" t="s">
        <v>1762</v>
      </c>
      <c r="D1340" s="568"/>
      <c r="E1340" s="568"/>
      <c r="F1340" s="568"/>
      <c r="G1340" s="568"/>
      <c r="H1340" s="292"/>
      <c r="I1340" s="168" t="s">
        <v>211</v>
      </c>
      <c r="J1340" s="166" t="s">
        <v>211</v>
      </c>
      <c r="K1340" s="168" t="s">
        <v>211</v>
      </c>
      <c r="L1340" s="166" t="s">
        <v>211</v>
      </c>
      <c r="M1340" s="168" t="s">
        <v>211</v>
      </c>
      <c r="N1340" s="166" t="s">
        <v>211</v>
      </c>
      <c r="O1340" s="168" t="s">
        <v>211</v>
      </c>
    </row>
    <row r="1341" spans="2:15" s="453" customFormat="1" ht="14" x14ac:dyDescent="0.2">
      <c r="B1341" s="316"/>
      <c r="C1341" s="606"/>
      <c r="D1341" s="606"/>
      <c r="E1341" s="606"/>
      <c r="F1341" s="606"/>
      <c r="G1341" s="606"/>
      <c r="H1341" s="294"/>
      <c r="I1341" s="169"/>
      <c r="J1341" s="167"/>
      <c r="K1341" s="169"/>
      <c r="L1341" s="167"/>
      <c r="M1341" s="169"/>
      <c r="N1341" s="167"/>
      <c r="O1341" s="169"/>
    </row>
    <row r="1342" spans="2:15" s="453" customFormat="1" ht="12.75" customHeight="1" x14ac:dyDescent="0.2">
      <c r="B1342" s="309"/>
      <c r="C1342" s="761" t="s">
        <v>636</v>
      </c>
      <c r="D1342" s="761"/>
      <c r="E1342" s="761"/>
      <c r="F1342" s="761"/>
      <c r="G1342" s="761"/>
      <c r="H1342" s="296"/>
      <c r="I1342" s="168" t="s">
        <v>211</v>
      </c>
      <c r="J1342" s="166" t="s">
        <v>211</v>
      </c>
      <c r="K1342" s="168" t="s">
        <v>211</v>
      </c>
      <c r="L1342" s="166" t="s">
        <v>211</v>
      </c>
      <c r="M1342" s="168" t="s">
        <v>211</v>
      </c>
      <c r="N1342" s="166" t="s">
        <v>211</v>
      </c>
      <c r="O1342" s="168" t="s">
        <v>211</v>
      </c>
    </row>
    <row r="1343" spans="2:15" s="453" customFormat="1" ht="14" x14ac:dyDescent="0.2">
      <c r="B1343" s="309"/>
      <c r="C1343" s="761"/>
      <c r="D1343" s="761"/>
      <c r="E1343" s="761"/>
      <c r="F1343" s="761"/>
      <c r="G1343" s="761"/>
      <c r="H1343" s="294"/>
      <c r="I1343" s="169"/>
      <c r="J1343" s="167"/>
      <c r="K1343" s="169"/>
      <c r="L1343" s="167"/>
      <c r="M1343" s="169"/>
      <c r="N1343" s="167"/>
      <c r="O1343" s="169"/>
    </row>
    <row r="1344" spans="2:15" s="453" customFormat="1" ht="14" x14ac:dyDescent="0.2">
      <c r="B1344" s="309"/>
      <c r="C1344" s="569" t="s">
        <v>822</v>
      </c>
      <c r="D1344" s="569"/>
      <c r="E1344" s="569"/>
      <c r="F1344" s="569"/>
      <c r="G1344" s="569"/>
      <c r="H1344" s="296"/>
      <c r="I1344" s="168" t="s">
        <v>211</v>
      </c>
      <c r="J1344" s="166" t="s">
        <v>211</v>
      </c>
      <c r="K1344" s="168" t="s">
        <v>211</v>
      </c>
      <c r="L1344" s="166" t="s">
        <v>211</v>
      </c>
      <c r="M1344" s="168" t="s">
        <v>211</v>
      </c>
      <c r="N1344" s="166" t="s">
        <v>211</v>
      </c>
      <c r="O1344" s="168" t="s">
        <v>211</v>
      </c>
    </row>
    <row r="1345" spans="2:15" s="453" customFormat="1" ht="14" x14ac:dyDescent="0.2">
      <c r="B1345" s="309"/>
      <c r="C1345" s="569" t="s">
        <v>637</v>
      </c>
      <c r="D1345" s="569"/>
      <c r="E1345" s="569"/>
      <c r="F1345" s="569"/>
      <c r="G1345" s="569"/>
      <c r="H1345" s="296"/>
      <c r="I1345" s="168" t="s">
        <v>211</v>
      </c>
      <c r="J1345" s="166" t="s">
        <v>211</v>
      </c>
      <c r="K1345" s="168" t="s">
        <v>211</v>
      </c>
      <c r="L1345" s="166" t="s">
        <v>211</v>
      </c>
      <c r="M1345" s="168" t="s">
        <v>211</v>
      </c>
      <c r="N1345" s="166" t="s">
        <v>211</v>
      </c>
      <c r="O1345" s="168" t="s">
        <v>211</v>
      </c>
    </row>
    <row r="1346" spans="2:15" s="453" customFormat="1" ht="14" x14ac:dyDescent="0.2">
      <c r="B1346" s="309"/>
      <c r="C1346" s="310"/>
      <c r="F1346" s="749" t="s">
        <v>638</v>
      </c>
      <c r="G1346" s="749"/>
      <c r="H1346" s="750"/>
      <c r="I1346" s="169"/>
      <c r="J1346" s="167"/>
      <c r="K1346" s="169"/>
      <c r="L1346" s="167"/>
      <c r="M1346" s="169"/>
      <c r="N1346" s="167"/>
      <c r="O1346" s="169"/>
    </row>
    <row r="1347" spans="2:15" s="453" customFormat="1" ht="14" x14ac:dyDescent="0.2">
      <c r="B1347" s="318"/>
      <c r="C1347" s="319"/>
      <c r="D1347" s="303"/>
      <c r="E1347" s="303"/>
      <c r="F1347" s="751" t="s">
        <v>474</v>
      </c>
      <c r="G1347" s="751"/>
      <c r="H1347" s="752"/>
      <c r="I1347" s="169"/>
      <c r="J1347" s="167"/>
      <c r="K1347" s="169"/>
      <c r="L1347" s="167"/>
      <c r="M1347" s="169"/>
      <c r="N1347" s="167"/>
      <c r="O1347" s="169"/>
    </row>
    <row r="1348" spans="2:15" s="453" customFormat="1" ht="12.75" customHeight="1" x14ac:dyDescent="0.2">
      <c r="B1348" s="311">
        <v>5</v>
      </c>
      <c r="C1348" s="618" t="s">
        <v>634</v>
      </c>
      <c r="D1348" s="618"/>
      <c r="E1348" s="618"/>
      <c r="F1348" s="618"/>
      <c r="G1348" s="618"/>
      <c r="H1348" s="292"/>
      <c r="I1348" s="168" t="s">
        <v>211</v>
      </c>
      <c r="J1348" s="166" t="s">
        <v>211</v>
      </c>
      <c r="K1348" s="168" t="s">
        <v>211</v>
      </c>
      <c r="L1348" s="166" t="s">
        <v>211</v>
      </c>
      <c r="M1348" s="168" t="s">
        <v>211</v>
      </c>
      <c r="N1348" s="166" t="s">
        <v>211</v>
      </c>
      <c r="O1348" s="168" t="s">
        <v>211</v>
      </c>
    </row>
    <row r="1349" spans="2:15" s="453" customFormat="1" ht="14" x14ac:dyDescent="0.2">
      <c r="B1349" s="309"/>
      <c r="C1349" s="606" t="s">
        <v>820</v>
      </c>
      <c r="D1349" s="606"/>
      <c r="E1349" s="606"/>
      <c r="F1349" s="606"/>
      <c r="G1349" s="606"/>
      <c r="H1349" s="296"/>
      <c r="I1349" s="168" t="s">
        <v>211</v>
      </c>
      <c r="J1349" s="166" t="s">
        <v>211</v>
      </c>
      <c r="K1349" s="168" t="s">
        <v>211</v>
      </c>
      <c r="L1349" s="166" t="s">
        <v>211</v>
      </c>
      <c r="M1349" s="168" t="s">
        <v>211</v>
      </c>
      <c r="N1349" s="166" t="s">
        <v>211</v>
      </c>
      <c r="O1349" s="168" t="s">
        <v>211</v>
      </c>
    </row>
    <row r="1350" spans="2:15" s="453" customFormat="1" ht="14" x14ac:dyDescent="0.2">
      <c r="B1350" s="309"/>
      <c r="C1350" s="606"/>
      <c r="D1350" s="606"/>
      <c r="E1350" s="606"/>
      <c r="F1350" s="606"/>
      <c r="G1350" s="606"/>
      <c r="H1350" s="294"/>
      <c r="I1350" s="169"/>
      <c r="J1350" s="167"/>
      <c r="K1350" s="169"/>
      <c r="L1350" s="167"/>
      <c r="M1350" s="169"/>
      <c r="N1350" s="167"/>
      <c r="O1350" s="169"/>
    </row>
    <row r="1351" spans="2:15" s="453" customFormat="1" ht="14" x14ac:dyDescent="0.2">
      <c r="B1351" s="309"/>
      <c r="C1351" s="606" t="s">
        <v>639</v>
      </c>
      <c r="D1351" s="606"/>
      <c r="E1351" s="606"/>
      <c r="F1351" s="606"/>
      <c r="G1351" s="606"/>
      <c r="H1351" s="296"/>
      <c r="I1351" s="168" t="s">
        <v>211</v>
      </c>
      <c r="J1351" s="166" t="s">
        <v>211</v>
      </c>
      <c r="K1351" s="168" t="s">
        <v>211</v>
      </c>
      <c r="L1351" s="166" t="s">
        <v>211</v>
      </c>
      <c r="M1351" s="168" t="s">
        <v>211</v>
      </c>
      <c r="N1351" s="166" t="s">
        <v>211</v>
      </c>
      <c r="O1351" s="168" t="s">
        <v>211</v>
      </c>
    </row>
    <row r="1352" spans="2:15" s="453" customFormat="1" ht="14" x14ac:dyDescent="0.2">
      <c r="B1352" s="309"/>
      <c r="C1352" s="606"/>
      <c r="D1352" s="606"/>
      <c r="E1352" s="606"/>
      <c r="F1352" s="606"/>
      <c r="G1352" s="606"/>
      <c r="H1352" s="294"/>
      <c r="I1352" s="169"/>
      <c r="J1352" s="167"/>
      <c r="K1352" s="169"/>
      <c r="L1352" s="167"/>
      <c r="M1352" s="169"/>
      <c r="N1352" s="167"/>
      <c r="O1352" s="169"/>
    </row>
    <row r="1353" spans="2:15" s="453" customFormat="1" ht="14" x14ac:dyDescent="0.2">
      <c r="B1353" s="309"/>
      <c r="C1353" s="569" t="s">
        <v>473</v>
      </c>
      <c r="D1353" s="569"/>
      <c r="E1353" s="569"/>
      <c r="F1353" s="569"/>
      <c r="G1353" s="569"/>
      <c r="H1353" s="296"/>
      <c r="I1353" s="168" t="s">
        <v>211</v>
      </c>
      <c r="J1353" s="166" t="s">
        <v>211</v>
      </c>
      <c r="K1353" s="168" t="s">
        <v>211</v>
      </c>
      <c r="L1353" s="166" t="s">
        <v>211</v>
      </c>
      <c r="M1353" s="168" t="s">
        <v>211</v>
      </c>
      <c r="N1353" s="166" t="s">
        <v>211</v>
      </c>
      <c r="O1353" s="168" t="s">
        <v>211</v>
      </c>
    </row>
    <row r="1354" spans="2:15" s="453" customFormat="1" ht="14" x14ac:dyDescent="0.2">
      <c r="B1354" s="309"/>
      <c r="C1354" s="310"/>
      <c r="F1354" s="622" t="s">
        <v>640</v>
      </c>
      <c r="G1354" s="622"/>
      <c r="H1354" s="736"/>
      <c r="I1354" s="169"/>
      <c r="J1354" s="167"/>
      <c r="K1354" s="169"/>
      <c r="L1354" s="167"/>
      <c r="M1354" s="169"/>
      <c r="N1354" s="167"/>
      <c r="O1354" s="169"/>
    </row>
    <row r="1355" spans="2:15" s="453" customFormat="1" ht="14" x14ac:dyDescent="0.2">
      <c r="B1355" s="318"/>
      <c r="C1355" s="319"/>
      <c r="D1355" s="303"/>
      <c r="E1355" s="303"/>
      <c r="F1355" s="751" t="s">
        <v>474</v>
      </c>
      <c r="G1355" s="751"/>
      <c r="H1355" s="752"/>
      <c r="I1355" s="169"/>
      <c r="J1355" s="167"/>
      <c r="K1355" s="169"/>
      <c r="L1355" s="167"/>
      <c r="M1355" s="169"/>
      <c r="N1355" s="167"/>
      <c r="O1355" s="169"/>
    </row>
    <row r="1356" spans="2:15" s="453" customFormat="1" ht="12.75" customHeight="1" x14ac:dyDescent="0.2">
      <c r="B1356" s="311">
        <v>6</v>
      </c>
      <c r="C1356" s="618" t="s">
        <v>641</v>
      </c>
      <c r="D1356" s="618"/>
      <c r="E1356" s="618"/>
      <c r="F1356" s="618"/>
      <c r="G1356" s="618"/>
      <c r="H1356" s="292"/>
      <c r="I1356" s="168" t="s">
        <v>211</v>
      </c>
      <c r="J1356" s="166" t="s">
        <v>211</v>
      </c>
      <c r="K1356" s="168" t="s">
        <v>211</v>
      </c>
      <c r="L1356" s="166" t="s">
        <v>211</v>
      </c>
      <c r="M1356" s="168" t="s">
        <v>211</v>
      </c>
      <c r="N1356" s="166" t="s">
        <v>211</v>
      </c>
      <c r="O1356" s="168" t="s">
        <v>211</v>
      </c>
    </row>
    <row r="1357" spans="2:15" s="453" customFormat="1" ht="12.75" customHeight="1" x14ac:dyDescent="0.2">
      <c r="B1357" s="309"/>
      <c r="C1357" s="761" t="s">
        <v>1269</v>
      </c>
      <c r="D1357" s="761"/>
      <c r="E1357" s="761"/>
      <c r="F1357" s="761"/>
      <c r="G1357" s="761"/>
      <c r="H1357" s="296"/>
      <c r="I1357" s="168" t="s">
        <v>211</v>
      </c>
      <c r="J1357" s="166" t="s">
        <v>211</v>
      </c>
      <c r="K1357" s="168" t="s">
        <v>211</v>
      </c>
      <c r="L1357" s="166" t="s">
        <v>211</v>
      </c>
      <c r="M1357" s="168" t="s">
        <v>211</v>
      </c>
      <c r="N1357" s="166" t="s">
        <v>211</v>
      </c>
      <c r="O1357" s="168" t="s">
        <v>211</v>
      </c>
    </row>
    <row r="1358" spans="2:15" s="453" customFormat="1" ht="14" x14ac:dyDescent="0.2">
      <c r="B1358" s="309"/>
      <c r="C1358" s="761"/>
      <c r="D1358" s="761"/>
      <c r="E1358" s="761"/>
      <c r="F1358" s="761"/>
      <c r="G1358" s="761"/>
      <c r="H1358" s="294"/>
      <c r="I1358" s="169"/>
      <c r="J1358" s="167"/>
      <c r="K1358" s="169"/>
      <c r="L1358" s="167"/>
      <c r="M1358" s="169"/>
      <c r="N1358" s="167"/>
      <c r="O1358" s="169"/>
    </row>
    <row r="1359" spans="2:15" s="453" customFormat="1" ht="14" x14ac:dyDescent="0.2">
      <c r="B1359" s="309"/>
      <c r="C1359" s="569" t="s">
        <v>1270</v>
      </c>
      <c r="D1359" s="569"/>
      <c r="E1359" s="569"/>
      <c r="F1359" s="569"/>
      <c r="G1359" s="569"/>
      <c r="H1359" s="296"/>
      <c r="I1359" s="168" t="s">
        <v>211</v>
      </c>
      <c r="J1359" s="166" t="s">
        <v>211</v>
      </c>
      <c r="K1359" s="168" t="s">
        <v>211</v>
      </c>
      <c r="L1359" s="166" t="s">
        <v>211</v>
      </c>
      <c r="M1359" s="168" t="s">
        <v>211</v>
      </c>
      <c r="N1359" s="166" t="s">
        <v>211</v>
      </c>
      <c r="O1359" s="168" t="s">
        <v>211</v>
      </c>
    </row>
    <row r="1360" spans="2:15" s="453" customFormat="1" ht="14" x14ac:dyDescent="0.2">
      <c r="B1360" s="309"/>
      <c r="C1360" s="569" t="s">
        <v>637</v>
      </c>
      <c r="D1360" s="569"/>
      <c r="E1360" s="569"/>
      <c r="F1360" s="569"/>
      <c r="G1360" s="569"/>
      <c r="H1360" s="296"/>
      <c r="I1360" s="168" t="s">
        <v>211</v>
      </c>
      <c r="J1360" s="166" t="s">
        <v>211</v>
      </c>
      <c r="K1360" s="168" t="s">
        <v>211</v>
      </c>
      <c r="L1360" s="166" t="s">
        <v>211</v>
      </c>
      <c r="M1360" s="168" t="s">
        <v>211</v>
      </c>
      <c r="N1360" s="166" t="s">
        <v>211</v>
      </c>
      <c r="O1360" s="168" t="s">
        <v>211</v>
      </c>
    </row>
    <row r="1361" spans="2:15" s="453" customFormat="1" ht="14" x14ac:dyDescent="0.2">
      <c r="B1361" s="309"/>
      <c r="C1361" s="310"/>
      <c r="F1361" s="622" t="s">
        <v>642</v>
      </c>
      <c r="G1361" s="622"/>
      <c r="H1361" s="736"/>
      <c r="I1361" s="169"/>
      <c r="J1361" s="167"/>
      <c r="K1361" s="169"/>
      <c r="L1361" s="167"/>
      <c r="M1361" s="169"/>
      <c r="N1361" s="167"/>
      <c r="O1361" s="169"/>
    </row>
    <row r="1362" spans="2:15" s="453" customFormat="1" ht="14" x14ac:dyDescent="0.2">
      <c r="B1362" s="318"/>
      <c r="C1362" s="319"/>
      <c r="D1362" s="303"/>
      <c r="E1362" s="303"/>
      <c r="F1362" s="751" t="s">
        <v>643</v>
      </c>
      <c r="G1362" s="751"/>
      <c r="H1362" s="752"/>
      <c r="I1362" s="169"/>
      <c r="J1362" s="167"/>
      <c r="K1362" s="169"/>
      <c r="L1362" s="167"/>
      <c r="M1362" s="169"/>
      <c r="N1362" s="167"/>
      <c r="O1362" s="169"/>
    </row>
    <row r="1363" spans="2:15" s="453" customFormat="1" ht="14" x14ac:dyDescent="0.2">
      <c r="B1363" s="311">
        <v>7</v>
      </c>
      <c r="C1363" s="568" t="s">
        <v>1932</v>
      </c>
      <c r="D1363" s="568"/>
      <c r="E1363" s="568"/>
      <c r="F1363" s="568"/>
      <c r="G1363" s="568"/>
      <c r="H1363" s="292"/>
      <c r="I1363" s="168" t="s">
        <v>211</v>
      </c>
      <c r="J1363" s="166" t="s">
        <v>211</v>
      </c>
      <c r="K1363" s="168" t="s">
        <v>211</v>
      </c>
      <c r="L1363" s="166" t="s">
        <v>211</v>
      </c>
      <c r="M1363" s="168" t="s">
        <v>211</v>
      </c>
      <c r="N1363" s="166" t="s">
        <v>211</v>
      </c>
      <c r="O1363" s="168" t="s">
        <v>211</v>
      </c>
    </row>
    <row r="1364" spans="2:15" s="453" customFormat="1" ht="14" x14ac:dyDescent="0.2">
      <c r="B1364" s="316"/>
      <c r="C1364" s="606"/>
      <c r="D1364" s="606"/>
      <c r="E1364" s="606"/>
      <c r="F1364" s="606"/>
      <c r="G1364" s="606"/>
      <c r="H1364" s="294"/>
      <c r="I1364" s="169"/>
      <c r="J1364" s="167"/>
      <c r="K1364" s="169"/>
      <c r="L1364" s="167"/>
      <c r="M1364" s="169"/>
      <c r="N1364" s="167"/>
      <c r="O1364" s="169"/>
    </row>
    <row r="1365" spans="2:15" s="453" customFormat="1" ht="14" x14ac:dyDescent="0.2">
      <c r="B1365" s="309"/>
      <c r="C1365" s="606" t="s">
        <v>644</v>
      </c>
      <c r="D1365" s="606"/>
      <c r="E1365" s="606"/>
      <c r="F1365" s="606"/>
      <c r="G1365" s="606"/>
      <c r="H1365" s="296"/>
      <c r="I1365" s="168" t="s">
        <v>211</v>
      </c>
      <c r="J1365" s="166" t="s">
        <v>211</v>
      </c>
      <c r="K1365" s="168" t="s">
        <v>211</v>
      </c>
      <c r="L1365" s="166" t="s">
        <v>211</v>
      </c>
      <c r="M1365" s="168" t="s">
        <v>211</v>
      </c>
      <c r="N1365" s="166" t="s">
        <v>211</v>
      </c>
      <c r="O1365" s="168" t="s">
        <v>211</v>
      </c>
    </row>
    <row r="1366" spans="2:15" s="453" customFormat="1" ht="14" x14ac:dyDescent="0.2">
      <c r="B1366" s="309"/>
      <c r="C1366" s="606"/>
      <c r="D1366" s="606"/>
      <c r="E1366" s="606"/>
      <c r="F1366" s="606"/>
      <c r="G1366" s="606"/>
      <c r="H1366" s="294"/>
      <c r="I1366" s="169"/>
      <c r="J1366" s="167"/>
      <c r="K1366" s="169"/>
      <c r="L1366" s="167"/>
      <c r="M1366" s="169"/>
      <c r="N1366" s="167"/>
      <c r="O1366" s="169"/>
    </row>
    <row r="1367" spans="2:15" s="453" customFormat="1" ht="14" x14ac:dyDescent="0.2">
      <c r="B1367" s="309"/>
      <c r="C1367" s="569" t="s">
        <v>1270</v>
      </c>
      <c r="D1367" s="569"/>
      <c r="E1367" s="569"/>
      <c r="F1367" s="569"/>
      <c r="G1367" s="569"/>
      <c r="H1367" s="296"/>
      <c r="I1367" s="168" t="s">
        <v>211</v>
      </c>
      <c r="J1367" s="166" t="s">
        <v>211</v>
      </c>
      <c r="K1367" s="168" t="s">
        <v>211</v>
      </c>
      <c r="L1367" s="166" t="s">
        <v>211</v>
      </c>
      <c r="M1367" s="168" t="s">
        <v>211</v>
      </c>
      <c r="N1367" s="166" t="s">
        <v>211</v>
      </c>
      <c r="O1367" s="168" t="s">
        <v>211</v>
      </c>
    </row>
    <row r="1368" spans="2:15" s="453" customFormat="1" ht="14" x14ac:dyDescent="0.2">
      <c r="B1368" s="309"/>
      <c r="C1368" s="569" t="s">
        <v>637</v>
      </c>
      <c r="D1368" s="569"/>
      <c r="E1368" s="569"/>
      <c r="F1368" s="569"/>
      <c r="G1368" s="569"/>
      <c r="H1368" s="296"/>
      <c r="I1368" s="168" t="s">
        <v>211</v>
      </c>
      <c r="J1368" s="166" t="s">
        <v>211</v>
      </c>
      <c r="K1368" s="168" t="s">
        <v>211</v>
      </c>
      <c r="L1368" s="166" t="s">
        <v>211</v>
      </c>
      <c r="M1368" s="168" t="s">
        <v>211</v>
      </c>
      <c r="N1368" s="166" t="s">
        <v>211</v>
      </c>
      <c r="O1368" s="168" t="s">
        <v>211</v>
      </c>
    </row>
    <row r="1369" spans="2:15" s="453" customFormat="1" ht="14" x14ac:dyDescent="0.2">
      <c r="B1369" s="309"/>
      <c r="C1369" s="310"/>
      <c r="F1369" s="622" t="s">
        <v>642</v>
      </c>
      <c r="G1369" s="622"/>
      <c r="H1369" s="736"/>
      <c r="I1369" s="169"/>
      <c r="J1369" s="167"/>
      <c r="K1369" s="169"/>
      <c r="L1369" s="167"/>
      <c r="M1369" s="169"/>
      <c r="N1369" s="167"/>
      <c r="O1369" s="169"/>
    </row>
    <row r="1370" spans="2:15" s="453" customFormat="1" ht="14" x14ac:dyDescent="0.2">
      <c r="B1370" s="318"/>
      <c r="C1370" s="319"/>
      <c r="D1370" s="303"/>
      <c r="E1370" s="303"/>
      <c r="F1370" s="751" t="s">
        <v>474</v>
      </c>
      <c r="G1370" s="751"/>
      <c r="H1370" s="752"/>
      <c r="I1370" s="169"/>
      <c r="J1370" s="167"/>
      <c r="K1370" s="169"/>
      <c r="L1370" s="167"/>
      <c r="M1370" s="169"/>
      <c r="N1370" s="167"/>
      <c r="O1370" s="169"/>
    </row>
    <row r="1371" spans="2:15" s="453" customFormat="1" ht="14" x14ac:dyDescent="0.2">
      <c r="B1371" s="311">
        <v>8</v>
      </c>
      <c r="C1371" s="568" t="s">
        <v>645</v>
      </c>
      <c r="D1371" s="568"/>
      <c r="E1371" s="568"/>
      <c r="F1371" s="568"/>
      <c r="G1371" s="568"/>
      <c r="H1371" s="292"/>
      <c r="I1371" s="168" t="s">
        <v>211</v>
      </c>
      <c r="J1371" s="166" t="s">
        <v>211</v>
      </c>
      <c r="K1371" s="168" t="s">
        <v>211</v>
      </c>
      <c r="L1371" s="166" t="s">
        <v>211</v>
      </c>
      <c r="M1371" s="168" t="s">
        <v>211</v>
      </c>
      <c r="N1371" s="166" t="s">
        <v>211</v>
      </c>
      <c r="O1371" s="168" t="s">
        <v>211</v>
      </c>
    </row>
    <row r="1372" spans="2:15" s="453" customFormat="1" ht="14" x14ac:dyDescent="0.2">
      <c r="B1372" s="316"/>
      <c r="C1372" s="606"/>
      <c r="D1372" s="606"/>
      <c r="E1372" s="606"/>
      <c r="F1372" s="606"/>
      <c r="G1372" s="606"/>
      <c r="H1372" s="294"/>
      <c r="I1372" s="169"/>
      <c r="J1372" s="167"/>
      <c r="K1372" s="169"/>
      <c r="L1372" s="167"/>
      <c r="M1372" s="169"/>
      <c r="N1372" s="167"/>
      <c r="O1372" s="169"/>
    </row>
    <row r="1373" spans="2:15" s="453" customFormat="1" ht="14" x14ac:dyDescent="0.2">
      <c r="B1373" s="309"/>
      <c r="C1373" s="569" t="s">
        <v>646</v>
      </c>
      <c r="D1373" s="569"/>
      <c r="E1373" s="569"/>
      <c r="F1373" s="569"/>
      <c r="G1373" s="569"/>
      <c r="H1373" s="296"/>
      <c r="I1373" s="168" t="s">
        <v>211</v>
      </c>
      <c r="J1373" s="166" t="s">
        <v>211</v>
      </c>
      <c r="K1373" s="168" t="s">
        <v>211</v>
      </c>
      <c r="L1373" s="166" t="s">
        <v>211</v>
      </c>
      <c r="M1373" s="168" t="s">
        <v>211</v>
      </c>
      <c r="N1373" s="166" t="s">
        <v>211</v>
      </c>
      <c r="O1373" s="168" t="s">
        <v>211</v>
      </c>
    </row>
    <row r="1374" spans="2:15" s="453" customFormat="1" ht="14" x14ac:dyDescent="0.2">
      <c r="B1374" s="309"/>
      <c r="C1374" s="569" t="s">
        <v>823</v>
      </c>
      <c r="D1374" s="569"/>
      <c r="E1374" s="569"/>
      <c r="F1374" s="569"/>
      <c r="G1374" s="569"/>
      <c r="H1374" s="296"/>
      <c r="I1374" s="168" t="s">
        <v>211</v>
      </c>
      <c r="J1374" s="166" t="s">
        <v>211</v>
      </c>
      <c r="K1374" s="168" t="s">
        <v>211</v>
      </c>
      <c r="L1374" s="166" t="s">
        <v>211</v>
      </c>
      <c r="M1374" s="168" t="s">
        <v>211</v>
      </c>
      <c r="N1374" s="166" t="s">
        <v>211</v>
      </c>
      <c r="O1374" s="168" t="s">
        <v>211</v>
      </c>
    </row>
    <row r="1375" spans="2:15" s="453" customFormat="1" ht="14" x14ac:dyDescent="0.2">
      <c r="B1375" s="309"/>
      <c r="C1375" s="310"/>
      <c r="F1375" s="743" t="s">
        <v>824</v>
      </c>
      <c r="G1375" s="743"/>
      <c r="H1375" s="744"/>
      <c r="I1375" s="169"/>
      <c r="J1375" s="167"/>
      <c r="K1375" s="169"/>
      <c r="L1375" s="167"/>
      <c r="M1375" s="169"/>
      <c r="N1375" s="167"/>
      <c r="O1375" s="169"/>
    </row>
    <row r="1376" spans="2:15" s="453" customFormat="1" ht="14" x14ac:dyDescent="0.2">
      <c r="B1376" s="309"/>
      <c r="C1376" s="756" t="s">
        <v>632</v>
      </c>
      <c r="D1376" s="756"/>
      <c r="E1376" s="756"/>
      <c r="F1376" s="756"/>
      <c r="G1376" s="756"/>
      <c r="H1376" s="757"/>
      <c r="I1376" s="169"/>
      <c r="J1376" s="167"/>
      <c r="K1376" s="169"/>
      <c r="L1376" s="167"/>
      <c r="M1376" s="169"/>
      <c r="N1376" s="167"/>
      <c r="O1376" s="169"/>
    </row>
    <row r="1377" spans="2:16" s="453" customFormat="1" ht="14" x14ac:dyDescent="0.2">
      <c r="B1377" s="309"/>
      <c r="C1377" s="310"/>
      <c r="D1377" s="631" t="s">
        <v>633</v>
      </c>
      <c r="E1377" s="631"/>
      <c r="F1377" s="631"/>
      <c r="G1377" s="631"/>
      <c r="H1377" s="632"/>
      <c r="I1377" s="169"/>
      <c r="J1377" s="167"/>
      <c r="K1377" s="169"/>
      <c r="L1377" s="167"/>
      <c r="M1377" s="169"/>
      <c r="N1377" s="167"/>
      <c r="O1377" s="169"/>
    </row>
    <row r="1378" spans="2:16" s="453" customFormat="1" ht="14" x14ac:dyDescent="0.2">
      <c r="B1378" s="309"/>
      <c r="C1378" s="310"/>
      <c r="F1378" s="743" t="s">
        <v>647</v>
      </c>
      <c r="G1378" s="743"/>
      <c r="H1378" s="744"/>
      <c r="I1378" s="169"/>
      <c r="J1378" s="167"/>
      <c r="K1378" s="169"/>
      <c r="L1378" s="167"/>
      <c r="M1378" s="169"/>
      <c r="N1378" s="167"/>
      <c r="O1378" s="169"/>
    </row>
    <row r="1379" spans="2:16" s="453" customFormat="1" ht="14" x14ac:dyDescent="0.2">
      <c r="B1379" s="318"/>
      <c r="C1379" s="319"/>
      <c r="D1379" s="303"/>
      <c r="E1379" s="303"/>
      <c r="F1379" s="745" t="s">
        <v>648</v>
      </c>
      <c r="G1379" s="745"/>
      <c r="H1379" s="746"/>
      <c r="I1379" s="169"/>
      <c r="J1379" s="167"/>
      <c r="K1379" s="169"/>
      <c r="L1379" s="167"/>
      <c r="M1379" s="169"/>
      <c r="N1379" s="167"/>
      <c r="O1379" s="169"/>
    </row>
    <row r="1380" spans="2:16" s="453" customFormat="1" ht="14" x14ac:dyDescent="0.2">
      <c r="B1380" s="311">
        <v>9</v>
      </c>
      <c r="C1380" s="568" t="s">
        <v>649</v>
      </c>
      <c r="D1380" s="568"/>
      <c r="E1380" s="568"/>
      <c r="F1380" s="568"/>
      <c r="G1380" s="568"/>
      <c r="H1380" s="292"/>
      <c r="I1380" s="168" t="s">
        <v>211</v>
      </c>
      <c r="J1380" s="166" t="s">
        <v>211</v>
      </c>
      <c r="K1380" s="168" t="s">
        <v>211</v>
      </c>
      <c r="L1380" s="166" t="s">
        <v>211</v>
      </c>
      <c r="M1380" s="168" t="s">
        <v>211</v>
      </c>
      <c r="N1380" s="166" t="s">
        <v>211</v>
      </c>
      <c r="O1380" s="168" t="s">
        <v>211</v>
      </c>
    </row>
    <row r="1381" spans="2:16" s="453" customFormat="1" ht="14" x14ac:dyDescent="0.2">
      <c r="B1381" s="316"/>
      <c r="C1381" s="606"/>
      <c r="D1381" s="606"/>
      <c r="E1381" s="606"/>
      <c r="F1381" s="606"/>
      <c r="G1381" s="606"/>
      <c r="H1381" s="294"/>
      <c r="I1381" s="169"/>
      <c r="J1381" s="167"/>
      <c r="K1381" s="169"/>
      <c r="L1381" s="167"/>
      <c r="M1381" s="169"/>
      <c r="N1381" s="167"/>
      <c r="O1381" s="169"/>
    </row>
    <row r="1382" spans="2:16" s="453" customFormat="1" ht="14" x14ac:dyDescent="0.2">
      <c r="B1382" s="309"/>
      <c r="C1382" s="569" t="s">
        <v>650</v>
      </c>
      <c r="D1382" s="569"/>
      <c r="E1382" s="569"/>
      <c r="F1382" s="569"/>
      <c r="G1382" s="569"/>
      <c r="H1382" s="296"/>
      <c r="I1382" s="168" t="s">
        <v>211</v>
      </c>
      <c r="J1382" s="166" t="s">
        <v>211</v>
      </c>
      <c r="K1382" s="168" t="s">
        <v>211</v>
      </c>
      <c r="L1382" s="166" t="s">
        <v>211</v>
      </c>
      <c r="M1382" s="168" t="s">
        <v>211</v>
      </c>
      <c r="N1382" s="166" t="s">
        <v>211</v>
      </c>
      <c r="O1382" s="168" t="s">
        <v>211</v>
      </c>
    </row>
    <row r="1383" spans="2:16" s="453" customFormat="1" ht="14" x14ac:dyDescent="0.2">
      <c r="B1383" s="309"/>
      <c r="C1383" s="569" t="s">
        <v>651</v>
      </c>
      <c r="D1383" s="569"/>
      <c r="E1383" s="569"/>
      <c r="F1383" s="569"/>
      <c r="G1383" s="569"/>
      <c r="H1383" s="296"/>
      <c r="I1383" s="168" t="s">
        <v>211</v>
      </c>
      <c r="J1383" s="166" t="s">
        <v>211</v>
      </c>
      <c r="K1383" s="168" t="s">
        <v>211</v>
      </c>
      <c r="L1383" s="166" t="s">
        <v>211</v>
      </c>
      <c r="M1383" s="168" t="s">
        <v>211</v>
      </c>
      <c r="N1383" s="166" t="s">
        <v>211</v>
      </c>
      <c r="O1383" s="168" t="s">
        <v>211</v>
      </c>
    </row>
    <row r="1384" spans="2:16" s="453" customFormat="1" ht="12.75" customHeight="1" x14ac:dyDescent="0.2">
      <c r="B1384" s="309"/>
      <c r="C1384" s="606" t="s">
        <v>652</v>
      </c>
      <c r="D1384" s="606"/>
      <c r="E1384" s="606"/>
      <c r="F1384" s="606"/>
      <c r="G1384" s="606"/>
      <c r="H1384" s="296"/>
      <c r="I1384" s="168" t="s">
        <v>211</v>
      </c>
      <c r="J1384" s="166" t="s">
        <v>211</v>
      </c>
      <c r="K1384" s="168" t="s">
        <v>211</v>
      </c>
      <c r="L1384" s="166" t="s">
        <v>211</v>
      </c>
      <c r="M1384" s="168" t="s">
        <v>211</v>
      </c>
      <c r="N1384" s="166" t="s">
        <v>211</v>
      </c>
      <c r="O1384" s="168" t="s">
        <v>211</v>
      </c>
    </row>
    <row r="1385" spans="2:16" s="453" customFormat="1" ht="14" x14ac:dyDescent="0.2">
      <c r="B1385" s="318"/>
      <c r="C1385" s="640" t="s">
        <v>653</v>
      </c>
      <c r="D1385" s="640"/>
      <c r="E1385" s="640"/>
      <c r="F1385" s="640"/>
      <c r="G1385" s="640"/>
      <c r="H1385" s="341"/>
      <c r="I1385" s="168" t="s">
        <v>211</v>
      </c>
      <c r="J1385" s="166" t="s">
        <v>211</v>
      </c>
      <c r="K1385" s="168" t="s">
        <v>211</v>
      </c>
      <c r="L1385" s="166" t="s">
        <v>211</v>
      </c>
      <c r="M1385" s="168" t="s">
        <v>211</v>
      </c>
      <c r="N1385" s="166" t="s">
        <v>211</v>
      </c>
      <c r="O1385" s="168" t="s">
        <v>211</v>
      </c>
    </row>
    <row r="1386" spans="2:16" s="453" customFormat="1" ht="14" x14ac:dyDescent="0.2">
      <c r="B1386" s="112"/>
      <c r="I1386" s="165">
        <f>COUNTIF(I1240:I1385,Data!$A$1)</f>
        <v>0</v>
      </c>
      <c r="J1386" s="206">
        <f>COUNTIF(J1240:J1385,Data!$A$1)</f>
        <v>0</v>
      </c>
      <c r="K1386" s="165">
        <f>COUNTIF(K1240:K1385,Data!$A$1)</f>
        <v>0</v>
      </c>
      <c r="L1386" s="206">
        <f>COUNTIF(L1240:L1385,Data!$A$1)</f>
        <v>0</v>
      </c>
      <c r="M1386" s="165">
        <f>COUNTIF(M1240:M1385,Data!$A$1)</f>
        <v>0</v>
      </c>
      <c r="N1386" s="206">
        <f>COUNTIF(N1240:N1385,Data!$A$1)</f>
        <v>0</v>
      </c>
      <c r="O1386" s="165">
        <f>COUNTIF(O1240:O1385,Data!$A$1)</f>
        <v>0</v>
      </c>
      <c r="P1386" s="107">
        <f>SUM(I1386:K1386,M1386:N1386)</f>
        <v>0</v>
      </c>
    </row>
    <row r="1387" spans="2:16" s="453" customFormat="1" ht="14" x14ac:dyDescent="0.2">
      <c r="B1387" s="347" t="s">
        <v>654</v>
      </c>
      <c r="C1387" s="348"/>
      <c r="D1387" s="348"/>
      <c r="E1387" s="349"/>
      <c r="F1387" s="349"/>
      <c r="G1387" s="349"/>
      <c r="H1387" s="350"/>
      <c r="I1387" s="165">
        <f>SUM(I1386*5)</f>
        <v>0</v>
      </c>
      <c r="J1387" s="207"/>
      <c r="K1387" s="165">
        <f>SUM(K1386*4)</f>
        <v>0</v>
      </c>
      <c r="L1387" s="207"/>
      <c r="M1387" s="165">
        <f>SUM(M1386*5)</f>
        <v>0</v>
      </c>
      <c r="N1387" s="207">
        <f>SUM(N1386*5)</f>
        <v>0</v>
      </c>
      <c r="O1387" s="165">
        <f>SUM(I1387:N1387)</f>
        <v>0</v>
      </c>
      <c r="P1387" s="107">
        <f>SUM(P1386*5)</f>
        <v>0</v>
      </c>
    </row>
    <row r="1388" spans="2:16" s="453" customFormat="1" ht="14" x14ac:dyDescent="0.2">
      <c r="B1388" s="311">
        <v>1</v>
      </c>
      <c r="C1388" s="568" t="s">
        <v>655</v>
      </c>
      <c r="D1388" s="568"/>
      <c r="E1388" s="568"/>
      <c r="F1388" s="568"/>
      <c r="G1388" s="568"/>
      <c r="H1388" s="292"/>
      <c r="I1388" s="168" t="s">
        <v>211</v>
      </c>
      <c r="J1388" s="166" t="s">
        <v>211</v>
      </c>
      <c r="K1388" s="168" t="s">
        <v>211</v>
      </c>
      <c r="L1388" s="166" t="s">
        <v>211</v>
      </c>
      <c r="M1388" s="168" t="s">
        <v>211</v>
      </c>
      <c r="N1388" s="166" t="s">
        <v>211</v>
      </c>
      <c r="O1388" s="168" t="s">
        <v>211</v>
      </c>
    </row>
    <row r="1389" spans="2:16" s="453" customFormat="1" ht="14" x14ac:dyDescent="0.2">
      <c r="B1389" s="316"/>
      <c r="C1389" s="606"/>
      <c r="D1389" s="606"/>
      <c r="E1389" s="606"/>
      <c r="F1389" s="606"/>
      <c r="G1389" s="606"/>
      <c r="H1389" s="294"/>
      <c r="I1389" s="169"/>
      <c r="J1389" s="167"/>
      <c r="K1389" s="169"/>
      <c r="L1389" s="167"/>
      <c r="M1389" s="169"/>
      <c r="N1389" s="167"/>
      <c r="O1389" s="169"/>
    </row>
    <row r="1390" spans="2:16" s="453" customFormat="1" ht="14" x14ac:dyDescent="0.2">
      <c r="B1390" s="316"/>
      <c r="C1390" s="606"/>
      <c r="D1390" s="606"/>
      <c r="E1390" s="606"/>
      <c r="F1390" s="606"/>
      <c r="G1390" s="606"/>
      <c r="H1390" s="294"/>
      <c r="I1390" s="169"/>
      <c r="J1390" s="167"/>
      <c r="K1390" s="169"/>
      <c r="L1390" s="167"/>
      <c r="M1390" s="169"/>
      <c r="N1390" s="167"/>
      <c r="O1390" s="169"/>
    </row>
    <row r="1391" spans="2:16" s="453" customFormat="1" ht="14" x14ac:dyDescent="0.2">
      <c r="B1391" s="318"/>
      <c r="C1391" s="640" t="s">
        <v>656</v>
      </c>
      <c r="D1391" s="640"/>
      <c r="E1391" s="640"/>
      <c r="F1391" s="640"/>
      <c r="G1391" s="640"/>
      <c r="H1391" s="341"/>
      <c r="I1391" s="168" t="s">
        <v>211</v>
      </c>
      <c r="J1391" s="166" t="s">
        <v>211</v>
      </c>
      <c r="K1391" s="168" t="s">
        <v>211</v>
      </c>
      <c r="L1391" s="166" t="s">
        <v>211</v>
      </c>
      <c r="M1391" s="168" t="s">
        <v>211</v>
      </c>
      <c r="N1391" s="166" t="s">
        <v>211</v>
      </c>
      <c r="O1391" s="168" t="s">
        <v>211</v>
      </c>
    </row>
    <row r="1392" spans="2:16" s="453" customFormat="1" ht="14" x14ac:dyDescent="0.2">
      <c r="B1392" s="311">
        <v>2</v>
      </c>
      <c r="C1392" s="738" t="s">
        <v>657</v>
      </c>
      <c r="D1392" s="738"/>
      <c r="E1392" s="738"/>
      <c r="F1392" s="738"/>
      <c r="G1392" s="738"/>
      <c r="H1392" s="292"/>
      <c r="I1392" s="168" t="s">
        <v>211</v>
      </c>
      <c r="J1392" s="166" t="s">
        <v>211</v>
      </c>
      <c r="K1392" s="168" t="s">
        <v>211</v>
      </c>
      <c r="L1392" s="166" t="s">
        <v>211</v>
      </c>
      <c r="M1392" s="168" t="s">
        <v>211</v>
      </c>
      <c r="N1392" s="166" t="s">
        <v>211</v>
      </c>
      <c r="O1392" s="168" t="s">
        <v>211</v>
      </c>
    </row>
    <row r="1393" spans="2:16" s="453" customFormat="1" ht="12.75" customHeight="1" x14ac:dyDescent="0.2">
      <c r="B1393" s="309"/>
      <c r="C1393" s="633" t="s">
        <v>658</v>
      </c>
      <c r="D1393" s="633"/>
      <c r="E1393" s="633"/>
      <c r="F1393" s="633"/>
      <c r="G1393" s="633"/>
      <c r="H1393" s="296"/>
      <c r="I1393" s="168" t="s">
        <v>211</v>
      </c>
      <c r="J1393" s="166" t="s">
        <v>211</v>
      </c>
      <c r="K1393" s="168" t="s">
        <v>211</v>
      </c>
      <c r="L1393" s="166" t="s">
        <v>211</v>
      </c>
      <c r="M1393" s="168" t="s">
        <v>211</v>
      </c>
      <c r="N1393" s="166" t="s">
        <v>211</v>
      </c>
      <c r="O1393" s="168" t="s">
        <v>211</v>
      </c>
    </row>
    <row r="1394" spans="2:16" s="453" customFormat="1" ht="14" x14ac:dyDescent="0.2">
      <c r="B1394" s="309"/>
      <c r="C1394" s="569" t="s">
        <v>659</v>
      </c>
      <c r="D1394" s="569"/>
      <c r="E1394" s="569"/>
      <c r="F1394" s="569"/>
      <c r="G1394" s="569"/>
      <c r="H1394" s="294"/>
      <c r="I1394" s="169"/>
      <c r="J1394" s="167"/>
      <c r="K1394" s="169"/>
      <c r="L1394" s="167"/>
      <c r="M1394" s="169"/>
      <c r="N1394" s="167"/>
      <c r="O1394" s="169"/>
    </row>
    <row r="1395" spans="2:16" s="453" customFormat="1" ht="14" x14ac:dyDescent="0.2">
      <c r="B1395" s="309"/>
      <c r="C1395" s="569" t="s">
        <v>660</v>
      </c>
      <c r="D1395" s="569"/>
      <c r="E1395" s="569"/>
      <c r="F1395" s="569"/>
      <c r="G1395" s="569"/>
      <c r="H1395" s="294"/>
      <c r="I1395" s="169"/>
      <c r="J1395" s="167"/>
      <c r="K1395" s="169"/>
      <c r="L1395" s="167"/>
      <c r="M1395" s="169"/>
      <c r="N1395" s="167"/>
      <c r="O1395" s="169"/>
    </row>
    <row r="1396" spans="2:16" s="453" customFormat="1" ht="14" x14ac:dyDescent="0.2">
      <c r="B1396" s="309"/>
      <c r="C1396" s="606" t="s">
        <v>661</v>
      </c>
      <c r="D1396" s="606"/>
      <c r="E1396" s="606"/>
      <c r="F1396" s="606"/>
      <c r="G1396" s="606"/>
      <c r="H1396" s="294"/>
      <c r="I1396" s="169"/>
      <c r="J1396" s="167"/>
      <c r="K1396" s="169"/>
      <c r="L1396" s="167"/>
      <c r="M1396" s="169"/>
      <c r="N1396" s="167"/>
      <c r="O1396" s="169"/>
    </row>
    <row r="1397" spans="2:16" s="453" customFormat="1" ht="14" x14ac:dyDescent="0.2">
      <c r="B1397" s="318"/>
      <c r="C1397" s="639"/>
      <c r="D1397" s="639"/>
      <c r="E1397" s="639"/>
      <c r="F1397" s="639"/>
      <c r="G1397" s="639"/>
      <c r="H1397" s="298"/>
      <c r="I1397" s="169"/>
      <c r="J1397" s="167"/>
      <c r="K1397" s="169"/>
      <c r="L1397" s="167"/>
      <c r="M1397" s="169"/>
      <c r="N1397" s="167"/>
      <c r="O1397" s="169"/>
    </row>
    <row r="1398" spans="2:16" s="453" customFormat="1" ht="14" x14ac:dyDescent="0.2">
      <c r="B1398" s="311">
        <v>3</v>
      </c>
      <c r="C1398" s="738" t="s">
        <v>662</v>
      </c>
      <c r="D1398" s="738"/>
      <c r="E1398" s="738"/>
      <c r="F1398" s="738"/>
      <c r="G1398" s="738"/>
      <c r="H1398" s="292"/>
      <c r="I1398" s="168" t="s">
        <v>211</v>
      </c>
      <c r="J1398" s="166" t="s">
        <v>211</v>
      </c>
      <c r="K1398" s="168" t="s">
        <v>211</v>
      </c>
      <c r="L1398" s="166" t="s">
        <v>211</v>
      </c>
      <c r="M1398" s="168" t="s">
        <v>211</v>
      </c>
      <c r="N1398" s="166" t="s">
        <v>211</v>
      </c>
      <c r="O1398" s="168" t="s">
        <v>211</v>
      </c>
    </row>
    <row r="1399" spans="2:16" s="453" customFormat="1" ht="14" x14ac:dyDescent="0.2">
      <c r="B1399" s="309"/>
      <c r="C1399" s="569" t="s">
        <v>663</v>
      </c>
      <c r="D1399" s="569"/>
      <c r="E1399" s="569"/>
      <c r="F1399" s="569"/>
      <c r="G1399" s="569"/>
      <c r="H1399" s="296"/>
      <c r="I1399" s="168" t="s">
        <v>211</v>
      </c>
      <c r="J1399" s="166" t="s">
        <v>211</v>
      </c>
      <c r="K1399" s="168" t="s">
        <v>211</v>
      </c>
      <c r="L1399" s="166" t="s">
        <v>211</v>
      </c>
      <c r="M1399" s="168" t="s">
        <v>211</v>
      </c>
      <c r="N1399" s="166" t="s">
        <v>211</v>
      </c>
      <c r="O1399" s="168" t="s">
        <v>211</v>
      </c>
    </row>
    <row r="1400" spans="2:16" s="453" customFormat="1" ht="14" x14ac:dyDescent="0.2">
      <c r="B1400" s="309"/>
      <c r="C1400" s="569" t="s">
        <v>664</v>
      </c>
      <c r="D1400" s="569"/>
      <c r="E1400" s="569"/>
      <c r="F1400" s="569"/>
      <c r="G1400" s="569"/>
      <c r="H1400" s="294"/>
      <c r="I1400" s="169"/>
      <c r="J1400" s="167"/>
      <c r="K1400" s="169"/>
      <c r="L1400" s="167"/>
      <c r="M1400" s="169"/>
      <c r="N1400" s="167"/>
      <c r="O1400" s="169"/>
    </row>
    <row r="1401" spans="2:16" s="453" customFormat="1" ht="12.75" customHeight="1" x14ac:dyDescent="0.2">
      <c r="B1401" s="309"/>
      <c r="C1401" s="606" t="s">
        <v>825</v>
      </c>
      <c r="D1401" s="606"/>
      <c r="E1401" s="606"/>
      <c r="F1401" s="606"/>
      <c r="G1401" s="606"/>
      <c r="H1401" s="294"/>
      <c r="I1401" s="169"/>
      <c r="J1401" s="167"/>
      <c r="K1401" s="169"/>
      <c r="L1401" s="167"/>
      <c r="M1401" s="169"/>
      <c r="N1401" s="167"/>
      <c r="O1401" s="169"/>
    </row>
    <row r="1402" spans="2:16" s="453" customFormat="1" ht="14" x14ac:dyDescent="0.2">
      <c r="B1402" s="309"/>
      <c r="C1402" s="569" t="s">
        <v>665</v>
      </c>
      <c r="D1402" s="569"/>
      <c r="E1402" s="569"/>
      <c r="F1402" s="569"/>
      <c r="G1402" s="569"/>
      <c r="H1402" s="294"/>
      <c r="I1402" s="169"/>
      <c r="J1402" s="167"/>
      <c r="K1402" s="169"/>
      <c r="L1402" s="167"/>
      <c r="M1402" s="169"/>
      <c r="N1402" s="167"/>
      <c r="O1402" s="169"/>
    </row>
    <row r="1403" spans="2:16" s="453" customFormat="1" ht="14" x14ac:dyDescent="0.2">
      <c r="B1403" s="318"/>
      <c r="C1403" s="640" t="s">
        <v>666</v>
      </c>
      <c r="D1403" s="640"/>
      <c r="E1403" s="640"/>
      <c r="F1403" s="640"/>
      <c r="G1403" s="640"/>
      <c r="H1403" s="298"/>
      <c r="I1403" s="169"/>
      <c r="J1403" s="167"/>
      <c r="K1403" s="169"/>
      <c r="L1403" s="167"/>
      <c r="M1403" s="169"/>
      <c r="N1403" s="167"/>
      <c r="O1403" s="169"/>
    </row>
    <row r="1404" spans="2:16" s="453" customFormat="1" ht="12.75" customHeight="1" x14ac:dyDescent="0.2">
      <c r="B1404" s="311">
        <v>4</v>
      </c>
      <c r="C1404" s="568" t="s">
        <v>667</v>
      </c>
      <c r="D1404" s="568"/>
      <c r="E1404" s="568"/>
      <c r="F1404" s="568"/>
      <c r="G1404" s="568"/>
      <c r="H1404" s="292"/>
      <c r="I1404" s="168" t="s">
        <v>211</v>
      </c>
      <c r="J1404" s="166" t="s">
        <v>211</v>
      </c>
      <c r="K1404" s="168" t="s">
        <v>211</v>
      </c>
      <c r="L1404" s="166" t="s">
        <v>211</v>
      </c>
      <c r="M1404" s="168" t="s">
        <v>211</v>
      </c>
      <c r="N1404" s="166" t="s">
        <v>211</v>
      </c>
      <c r="O1404" s="168" t="s">
        <v>211</v>
      </c>
    </row>
    <row r="1405" spans="2:16" s="453" customFormat="1" ht="14" x14ac:dyDescent="0.2">
      <c r="B1405" s="309"/>
      <c r="C1405" s="569" t="s">
        <v>668</v>
      </c>
      <c r="D1405" s="569"/>
      <c r="E1405" s="569"/>
      <c r="F1405" s="569"/>
      <c r="G1405" s="569"/>
      <c r="H1405" s="296"/>
      <c r="I1405" s="168" t="s">
        <v>211</v>
      </c>
      <c r="J1405" s="166" t="s">
        <v>211</v>
      </c>
      <c r="K1405" s="168" t="s">
        <v>211</v>
      </c>
      <c r="L1405" s="166" t="s">
        <v>211</v>
      </c>
      <c r="M1405" s="168" t="s">
        <v>211</v>
      </c>
      <c r="N1405" s="166" t="s">
        <v>211</v>
      </c>
      <c r="O1405" s="168" t="s">
        <v>211</v>
      </c>
    </row>
    <row r="1406" spans="2:16" s="453" customFormat="1" ht="12.75" customHeight="1" x14ac:dyDescent="0.2">
      <c r="B1406" s="309"/>
      <c r="C1406" s="606" t="s">
        <v>826</v>
      </c>
      <c r="D1406" s="606"/>
      <c r="E1406" s="606"/>
      <c r="F1406" s="606"/>
      <c r="G1406" s="606"/>
      <c r="H1406" s="296"/>
      <c r="I1406" s="168" t="s">
        <v>211</v>
      </c>
      <c r="J1406" s="166" t="s">
        <v>211</v>
      </c>
      <c r="K1406" s="168" t="s">
        <v>211</v>
      </c>
      <c r="L1406" s="166" t="s">
        <v>211</v>
      </c>
      <c r="M1406" s="168" t="s">
        <v>211</v>
      </c>
      <c r="N1406" s="166" t="s">
        <v>211</v>
      </c>
      <c r="O1406" s="168" t="s">
        <v>211</v>
      </c>
    </row>
    <row r="1407" spans="2:16" s="453" customFormat="1" ht="14" x14ac:dyDescent="0.2">
      <c r="B1407" s="309"/>
      <c r="C1407" s="569" t="s">
        <v>669</v>
      </c>
      <c r="D1407" s="569"/>
      <c r="E1407" s="569"/>
      <c r="F1407" s="569"/>
      <c r="G1407" s="569"/>
      <c r="H1407" s="294"/>
      <c r="I1407" s="172">
        <f>COUNTIF(I1388:I1406,Data!$A$1)</f>
        <v>0</v>
      </c>
      <c r="J1407" s="203">
        <f>COUNTIF(J1388:J1406,Data!$A$1)</f>
        <v>0</v>
      </c>
      <c r="K1407" s="172">
        <f>COUNTIF(K1388:K1406,Data!$A$1)</f>
        <v>0</v>
      </c>
      <c r="L1407" s="203">
        <f>COUNTIF(L1388:L1406,Data!$A$1)</f>
        <v>0</v>
      </c>
      <c r="M1407" s="172">
        <f>COUNTIF(M1388:M1406,Data!$A$1)</f>
        <v>0</v>
      </c>
      <c r="N1407" s="203">
        <f>COUNTIF(N1388:N1406,Data!$A$1)</f>
        <v>0</v>
      </c>
      <c r="O1407" s="172">
        <f>COUNTIF(O1388:O1406,Data!$A$1)</f>
        <v>0</v>
      </c>
      <c r="P1407" s="107">
        <f>SUM(I1407:K1407,M1407:N1407)</f>
        <v>0</v>
      </c>
    </row>
    <row r="1408" spans="2:16" s="453" customFormat="1" ht="14" x14ac:dyDescent="0.2">
      <c r="B1408" s="309"/>
      <c r="C1408" s="569" t="s">
        <v>670</v>
      </c>
      <c r="D1408" s="569"/>
      <c r="E1408" s="569"/>
      <c r="F1408" s="569"/>
      <c r="G1408" s="569"/>
      <c r="H1408" s="294"/>
      <c r="I1408" s="172">
        <f>SUM(I1407*15)</f>
        <v>0</v>
      </c>
      <c r="J1408" s="202"/>
      <c r="K1408" s="172">
        <f>SUM(K1407*10)</f>
        <v>0</v>
      </c>
      <c r="L1408" s="202"/>
      <c r="M1408" s="172">
        <f>SUM(M1407*15)</f>
        <v>0</v>
      </c>
      <c r="N1408" s="205">
        <f>SUM(N1407*15)</f>
        <v>0</v>
      </c>
      <c r="O1408" s="172">
        <f>SUM(I1408:N1408)</f>
        <v>0</v>
      </c>
      <c r="P1408" s="107">
        <f>SUM(P1407*15)</f>
        <v>0</v>
      </c>
    </row>
    <row r="1409" spans="2:15" s="453" customFormat="1" ht="14" x14ac:dyDescent="0.2">
      <c r="B1409" s="309"/>
      <c r="C1409" s="569" t="s">
        <v>827</v>
      </c>
      <c r="D1409" s="569"/>
      <c r="E1409" s="569"/>
      <c r="F1409" s="569"/>
      <c r="G1409" s="569"/>
      <c r="H1409" s="294"/>
      <c r="I1409" s="169"/>
      <c r="J1409" s="167"/>
      <c r="K1409" s="169"/>
      <c r="L1409" s="167"/>
      <c r="M1409" s="169"/>
      <c r="N1409" s="167"/>
      <c r="O1409" s="169"/>
    </row>
    <row r="1410" spans="2:15" s="453" customFormat="1" ht="14" x14ac:dyDescent="0.2">
      <c r="B1410" s="318"/>
      <c r="C1410" s="640" t="s">
        <v>671</v>
      </c>
      <c r="D1410" s="640"/>
      <c r="E1410" s="640"/>
      <c r="F1410" s="640"/>
      <c r="G1410" s="640"/>
      <c r="H1410" s="298"/>
      <c r="I1410" s="169"/>
      <c r="J1410" s="167"/>
      <c r="K1410" s="169"/>
      <c r="L1410" s="167"/>
      <c r="M1410" s="169"/>
      <c r="N1410" s="167"/>
      <c r="O1410" s="169"/>
    </row>
    <row r="1411" spans="2:15" s="453" customFormat="1" ht="12.75" customHeight="1" x14ac:dyDescent="0.2">
      <c r="B1411" s="308" t="s">
        <v>333</v>
      </c>
      <c r="C1411" s="853" t="s">
        <v>672</v>
      </c>
      <c r="D1411" s="853"/>
      <c r="E1411" s="853"/>
      <c r="F1411" s="853"/>
      <c r="G1411" s="853"/>
      <c r="H1411" s="294"/>
      <c r="I1411" s="169"/>
      <c r="J1411" s="167"/>
      <c r="K1411" s="169"/>
      <c r="L1411" s="167"/>
      <c r="M1411" s="169"/>
      <c r="N1411" s="167"/>
      <c r="O1411" s="169"/>
    </row>
    <row r="1412" spans="2:15" s="453" customFormat="1" ht="14" x14ac:dyDescent="0.2">
      <c r="B1412" s="308"/>
      <c r="C1412" s="854"/>
      <c r="D1412" s="854"/>
      <c r="E1412" s="854"/>
      <c r="F1412" s="854"/>
      <c r="G1412" s="854"/>
      <c r="H1412" s="294"/>
      <c r="I1412" s="169"/>
      <c r="J1412" s="167"/>
      <c r="K1412" s="169"/>
      <c r="L1412" s="167"/>
      <c r="M1412" s="169"/>
      <c r="N1412" s="167"/>
      <c r="O1412" s="169"/>
    </row>
    <row r="1413" spans="2:15" s="453" customFormat="1" ht="14" x14ac:dyDescent="0.2">
      <c r="B1413" s="308" t="s">
        <v>333</v>
      </c>
      <c r="C1413" s="628" t="s">
        <v>673</v>
      </c>
      <c r="D1413" s="628"/>
      <c r="E1413" s="628"/>
      <c r="F1413" s="628"/>
      <c r="G1413" s="628"/>
      <c r="H1413" s="294"/>
      <c r="I1413" s="169"/>
      <c r="J1413" s="167"/>
      <c r="K1413" s="169"/>
      <c r="L1413" s="167"/>
      <c r="M1413" s="169"/>
      <c r="N1413" s="167"/>
      <c r="O1413" s="169"/>
    </row>
    <row r="1414" spans="2:15" s="453" customFormat="1" ht="14" x14ac:dyDescent="0.2">
      <c r="B1414" s="308"/>
      <c r="C1414" s="628"/>
      <c r="D1414" s="628"/>
      <c r="E1414" s="628"/>
      <c r="F1414" s="628"/>
      <c r="G1414" s="628"/>
      <c r="H1414" s="294"/>
      <c r="I1414" s="169"/>
      <c r="J1414" s="167"/>
      <c r="K1414" s="169"/>
      <c r="L1414" s="167"/>
      <c r="M1414" s="169"/>
      <c r="N1414" s="167"/>
      <c r="O1414" s="169"/>
    </row>
    <row r="1415" spans="2:15" s="453" customFormat="1" ht="14" x14ac:dyDescent="0.2">
      <c r="B1415" s="325"/>
      <c r="C1415" s="634" t="s">
        <v>674</v>
      </c>
      <c r="D1415" s="634"/>
      <c r="E1415" s="634"/>
      <c r="F1415" s="634"/>
      <c r="G1415" s="634"/>
      <c r="H1415" s="294"/>
      <c r="I1415" s="169"/>
      <c r="J1415" s="167"/>
      <c r="K1415" s="169"/>
      <c r="L1415" s="167"/>
      <c r="M1415" s="169"/>
      <c r="N1415" s="167"/>
      <c r="O1415" s="169"/>
    </row>
    <row r="1416" spans="2:15" s="453" customFormat="1" ht="14" x14ac:dyDescent="0.2">
      <c r="B1416" s="325"/>
      <c r="C1416" s="634" t="s">
        <v>675</v>
      </c>
      <c r="D1416" s="634"/>
      <c r="E1416" s="634"/>
      <c r="F1416" s="634"/>
      <c r="G1416" s="634"/>
      <c r="H1416" s="294"/>
      <c r="I1416" s="169"/>
      <c r="J1416" s="167"/>
      <c r="K1416" s="169"/>
      <c r="L1416" s="167"/>
      <c r="M1416" s="169"/>
      <c r="N1416" s="167"/>
      <c r="O1416" s="169"/>
    </row>
    <row r="1417" spans="2:15" s="453" customFormat="1" ht="14" x14ac:dyDescent="0.2">
      <c r="B1417" s="325"/>
      <c r="C1417" s="634" t="s">
        <v>676</v>
      </c>
      <c r="D1417" s="634"/>
      <c r="E1417" s="634"/>
      <c r="F1417" s="634"/>
      <c r="G1417" s="634"/>
      <c r="H1417" s="294"/>
      <c r="I1417" s="169"/>
      <c r="J1417" s="167"/>
      <c r="K1417" s="169"/>
      <c r="L1417" s="167"/>
      <c r="M1417" s="169"/>
      <c r="N1417" s="167"/>
      <c r="O1417" s="169"/>
    </row>
    <row r="1418" spans="2:15" s="453" customFormat="1" ht="14" x14ac:dyDescent="0.2">
      <c r="B1418" s="342"/>
      <c r="C1418" s="638" t="s">
        <v>677</v>
      </c>
      <c r="D1418" s="638"/>
      <c r="E1418" s="638"/>
      <c r="F1418" s="638"/>
      <c r="G1418" s="638"/>
      <c r="H1418" s="298"/>
      <c r="I1418" s="169"/>
      <c r="J1418" s="167"/>
      <c r="K1418" s="169"/>
      <c r="L1418" s="167"/>
      <c r="M1418" s="169"/>
      <c r="N1418" s="167"/>
      <c r="O1418" s="169"/>
    </row>
    <row r="1419" spans="2:15" s="453" customFormat="1" ht="14" x14ac:dyDescent="0.2">
      <c r="B1419" s="112"/>
      <c r="I1419" s="135"/>
      <c r="J1419" s="105"/>
      <c r="K1419" s="135"/>
      <c r="L1419" s="105"/>
      <c r="M1419" s="135"/>
      <c r="N1419" s="105"/>
      <c r="O1419" s="135"/>
    </row>
    <row r="1420" spans="2:15" s="453" customFormat="1" ht="14" x14ac:dyDescent="0.2">
      <c r="B1420" s="330" t="s">
        <v>678</v>
      </c>
      <c r="C1420" s="331"/>
      <c r="D1420" s="331"/>
      <c r="E1420" s="136"/>
      <c r="F1420" s="136"/>
      <c r="G1420" s="136"/>
      <c r="H1420" s="332"/>
      <c r="I1420" s="135"/>
      <c r="J1420" s="105"/>
      <c r="K1420" s="135"/>
      <c r="L1420" s="105"/>
      <c r="M1420" s="135"/>
      <c r="N1420" s="105"/>
      <c r="O1420" s="135"/>
    </row>
    <row r="1421" spans="2:15" s="453" customFormat="1" ht="14" x14ac:dyDescent="0.2">
      <c r="B1421" s="311">
        <v>1</v>
      </c>
      <c r="C1421" s="568" t="s">
        <v>679</v>
      </c>
      <c r="D1421" s="568"/>
      <c r="E1421" s="568"/>
      <c r="F1421" s="568"/>
      <c r="G1421" s="568"/>
      <c r="H1421" s="292"/>
      <c r="I1421" s="168" t="s">
        <v>211</v>
      </c>
      <c r="J1421" s="166" t="s">
        <v>211</v>
      </c>
      <c r="K1421" s="168" t="s">
        <v>211</v>
      </c>
      <c r="L1421" s="166" t="s">
        <v>211</v>
      </c>
      <c r="M1421" s="168" t="s">
        <v>211</v>
      </c>
      <c r="N1421" s="166" t="s">
        <v>211</v>
      </c>
      <c r="O1421" s="168" t="s">
        <v>211</v>
      </c>
    </row>
    <row r="1422" spans="2:15" s="453" customFormat="1" ht="14" x14ac:dyDescent="0.2">
      <c r="B1422" s="316"/>
      <c r="C1422" s="606"/>
      <c r="D1422" s="606"/>
      <c r="E1422" s="606"/>
      <c r="F1422" s="606"/>
      <c r="G1422" s="606"/>
      <c r="H1422" s="294"/>
      <c r="I1422" s="169"/>
      <c r="J1422" s="167"/>
      <c r="K1422" s="169"/>
      <c r="L1422" s="167"/>
      <c r="M1422" s="169"/>
      <c r="N1422" s="167"/>
      <c r="O1422" s="169"/>
    </row>
    <row r="1423" spans="2:15" s="453" customFormat="1" ht="12.75" customHeight="1" x14ac:dyDescent="0.2">
      <c r="B1423" s="309"/>
      <c r="C1423" s="606" t="s">
        <v>680</v>
      </c>
      <c r="D1423" s="606"/>
      <c r="E1423" s="606"/>
      <c r="F1423" s="606"/>
      <c r="G1423" s="606"/>
      <c r="H1423" s="296"/>
      <c r="I1423" s="168" t="s">
        <v>211</v>
      </c>
      <c r="J1423" s="166" t="s">
        <v>211</v>
      </c>
      <c r="K1423" s="168" t="s">
        <v>211</v>
      </c>
      <c r="L1423" s="166" t="s">
        <v>211</v>
      </c>
      <c r="M1423" s="168" t="s">
        <v>211</v>
      </c>
      <c r="N1423" s="166" t="s">
        <v>211</v>
      </c>
      <c r="O1423" s="168" t="s">
        <v>211</v>
      </c>
    </row>
    <row r="1424" spans="2:15" s="453" customFormat="1" ht="14" x14ac:dyDescent="0.2">
      <c r="B1424" s="309"/>
      <c r="C1424" s="569" t="s">
        <v>828</v>
      </c>
      <c r="D1424" s="569"/>
      <c r="E1424" s="569"/>
      <c r="F1424" s="569"/>
      <c r="G1424" s="569"/>
      <c r="H1424" s="296"/>
      <c r="I1424" s="168" t="s">
        <v>211</v>
      </c>
      <c r="J1424" s="166" t="s">
        <v>211</v>
      </c>
      <c r="K1424" s="168" t="s">
        <v>211</v>
      </c>
      <c r="L1424" s="166" t="s">
        <v>211</v>
      </c>
      <c r="M1424" s="168" t="s">
        <v>211</v>
      </c>
      <c r="N1424" s="166" t="s">
        <v>211</v>
      </c>
      <c r="O1424" s="168" t="s">
        <v>211</v>
      </c>
    </row>
    <row r="1425" spans="2:15" s="453" customFormat="1" ht="12.75" customHeight="1" x14ac:dyDescent="0.2">
      <c r="B1425" s="309"/>
      <c r="C1425" s="606" t="s">
        <v>681</v>
      </c>
      <c r="D1425" s="606"/>
      <c r="E1425" s="606"/>
      <c r="F1425" s="606"/>
      <c r="G1425" s="606"/>
      <c r="H1425" s="296"/>
      <c r="I1425" s="168" t="s">
        <v>211</v>
      </c>
      <c r="J1425" s="166" t="s">
        <v>211</v>
      </c>
      <c r="K1425" s="168" t="s">
        <v>211</v>
      </c>
      <c r="L1425" s="166" t="s">
        <v>211</v>
      </c>
      <c r="M1425" s="168" t="s">
        <v>211</v>
      </c>
      <c r="N1425" s="166" t="s">
        <v>211</v>
      </c>
      <c r="O1425" s="168" t="s">
        <v>211</v>
      </c>
    </row>
    <row r="1426" spans="2:15" s="453" customFormat="1" ht="14" x14ac:dyDescent="0.2">
      <c r="B1426" s="309"/>
      <c r="C1426" s="310"/>
      <c r="F1426" s="622" t="s">
        <v>682</v>
      </c>
      <c r="G1426" s="622"/>
      <c r="H1426" s="736"/>
      <c r="I1426" s="169"/>
      <c r="J1426" s="167"/>
      <c r="K1426" s="169"/>
      <c r="L1426" s="167"/>
      <c r="M1426" s="169"/>
      <c r="N1426" s="167"/>
      <c r="O1426" s="169"/>
    </row>
    <row r="1427" spans="2:15" s="453" customFormat="1" ht="14" x14ac:dyDescent="0.2">
      <c r="B1427" s="309"/>
      <c r="C1427" s="569" t="s">
        <v>829</v>
      </c>
      <c r="D1427" s="569"/>
      <c r="E1427" s="569"/>
      <c r="F1427" s="569"/>
      <c r="G1427" s="569"/>
      <c r="H1427" s="296"/>
      <c r="I1427" s="168" t="s">
        <v>211</v>
      </c>
      <c r="J1427" s="166" t="s">
        <v>211</v>
      </c>
      <c r="K1427" s="168" t="s">
        <v>211</v>
      </c>
      <c r="L1427" s="166" t="s">
        <v>211</v>
      </c>
      <c r="M1427" s="168" t="s">
        <v>211</v>
      </c>
      <c r="N1427" s="166" t="s">
        <v>211</v>
      </c>
      <c r="O1427" s="168" t="s">
        <v>211</v>
      </c>
    </row>
    <row r="1428" spans="2:15" s="453" customFormat="1" ht="14" x14ac:dyDescent="0.2">
      <c r="B1428" s="309"/>
      <c r="C1428" s="310"/>
      <c r="F1428" s="622" t="s">
        <v>682</v>
      </c>
      <c r="G1428" s="622"/>
      <c r="H1428" s="736"/>
      <c r="I1428" s="169"/>
      <c r="J1428" s="167"/>
      <c r="K1428" s="169"/>
      <c r="L1428" s="167"/>
      <c r="M1428" s="169"/>
      <c r="N1428" s="167"/>
      <c r="O1428" s="169"/>
    </row>
    <row r="1429" spans="2:15" s="453" customFormat="1" ht="14" x14ac:dyDescent="0.2">
      <c r="B1429" s="318"/>
      <c r="C1429" s="319"/>
      <c r="D1429" s="303"/>
      <c r="E1429" s="303"/>
      <c r="F1429" s="751" t="s">
        <v>683</v>
      </c>
      <c r="G1429" s="751"/>
      <c r="H1429" s="752"/>
      <c r="I1429" s="169"/>
      <c r="J1429" s="167"/>
      <c r="K1429" s="169"/>
      <c r="L1429" s="167"/>
      <c r="M1429" s="169"/>
      <c r="N1429" s="167"/>
      <c r="O1429" s="169"/>
    </row>
    <row r="1430" spans="2:15" s="453" customFormat="1" ht="14" x14ac:dyDescent="0.2">
      <c r="B1430" s="327" t="s">
        <v>10</v>
      </c>
      <c r="C1430" s="568" t="s">
        <v>684</v>
      </c>
      <c r="D1430" s="568"/>
      <c r="E1430" s="568"/>
      <c r="F1430" s="568"/>
      <c r="G1430" s="568"/>
      <c r="H1430" s="292"/>
      <c r="I1430" s="168" t="s">
        <v>211</v>
      </c>
      <c r="J1430" s="166" t="s">
        <v>211</v>
      </c>
      <c r="K1430" s="168" t="s">
        <v>211</v>
      </c>
      <c r="L1430" s="166" t="s">
        <v>211</v>
      </c>
      <c r="M1430" s="168" t="s">
        <v>211</v>
      </c>
      <c r="N1430" s="166" t="s">
        <v>211</v>
      </c>
      <c r="O1430" s="168" t="s">
        <v>211</v>
      </c>
    </row>
    <row r="1431" spans="2:15" s="453" customFormat="1" ht="14" x14ac:dyDescent="0.2">
      <c r="B1431" s="328"/>
      <c r="C1431" s="606"/>
      <c r="D1431" s="606"/>
      <c r="E1431" s="606"/>
      <c r="F1431" s="606"/>
      <c r="G1431" s="606"/>
      <c r="H1431" s="294"/>
      <c r="I1431" s="169"/>
      <c r="J1431" s="167"/>
      <c r="K1431" s="169"/>
      <c r="L1431" s="167"/>
      <c r="M1431" s="169"/>
      <c r="N1431" s="167"/>
      <c r="O1431" s="169"/>
    </row>
    <row r="1432" spans="2:15" s="453" customFormat="1" ht="14" x14ac:dyDescent="0.2">
      <c r="B1432" s="309"/>
      <c r="C1432" s="606" t="s">
        <v>830</v>
      </c>
      <c r="D1432" s="606"/>
      <c r="E1432" s="606"/>
      <c r="F1432" s="606"/>
      <c r="G1432" s="606"/>
      <c r="H1432" s="296"/>
      <c r="I1432" s="168" t="s">
        <v>211</v>
      </c>
      <c r="J1432" s="166" t="s">
        <v>211</v>
      </c>
      <c r="K1432" s="168" t="s">
        <v>211</v>
      </c>
      <c r="L1432" s="166" t="s">
        <v>211</v>
      </c>
      <c r="M1432" s="168" t="s">
        <v>211</v>
      </c>
      <c r="N1432" s="166" t="s">
        <v>211</v>
      </c>
      <c r="O1432" s="168" t="s">
        <v>211</v>
      </c>
    </row>
    <row r="1433" spans="2:15" s="453" customFormat="1" ht="14" x14ac:dyDescent="0.2">
      <c r="B1433" s="309"/>
      <c r="C1433" s="606"/>
      <c r="D1433" s="606"/>
      <c r="E1433" s="606"/>
      <c r="F1433" s="606"/>
      <c r="G1433" s="606"/>
      <c r="H1433" s="294"/>
      <c r="I1433" s="169"/>
      <c r="J1433" s="167"/>
      <c r="K1433" s="169"/>
      <c r="L1433" s="167"/>
      <c r="M1433" s="169"/>
      <c r="N1433" s="167"/>
      <c r="O1433" s="169"/>
    </row>
    <row r="1434" spans="2:15" s="453" customFormat="1" ht="14" x14ac:dyDescent="0.2">
      <c r="B1434" s="309"/>
      <c r="C1434" s="310"/>
      <c r="F1434" s="743" t="s">
        <v>685</v>
      </c>
      <c r="G1434" s="743"/>
      <c r="H1434" s="744"/>
      <c r="I1434" s="169"/>
      <c r="J1434" s="167"/>
      <c r="K1434" s="169"/>
      <c r="L1434" s="167"/>
      <c r="M1434" s="169"/>
      <c r="N1434" s="167"/>
      <c r="O1434" s="169"/>
    </row>
    <row r="1435" spans="2:15" s="453" customFormat="1" ht="14" x14ac:dyDescent="0.2">
      <c r="B1435" s="309"/>
      <c r="C1435" s="606" t="s">
        <v>686</v>
      </c>
      <c r="D1435" s="606"/>
      <c r="E1435" s="606"/>
      <c r="F1435" s="606"/>
      <c r="G1435" s="606"/>
      <c r="H1435" s="296"/>
      <c r="I1435" s="168" t="s">
        <v>211</v>
      </c>
      <c r="J1435" s="166" t="s">
        <v>211</v>
      </c>
      <c r="K1435" s="168" t="s">
        <v>211</v>
      </c>
      <c r="L1435" s="166" t="s">
        <v>211</v>
      </c>
      <c r="M1435" s="168" t="s">
        <v>211</v>
      </c>
      <c r="N1435" s="166" t="s">
        <v>211</v>
      </c>
      <c r="O1435" s="168" t="s">
        <v>211</v>
      </c>
    </row>
    <row r="1436" spans="2:15" s="453" customFormat="1" ht="14" x14ac:dyDescent="0.2">
      <c r="B1436" s="309"/>
      <c r="C1436" s="606"/>
      <c r="D1436" s="606"/>
      <c r="E1436" s="606"/>
      <c r="F1436" s="606"/>
      <c r="G1436" s="606"/>
      <c r="H1436" s="294"/>
      <c r="I1436" s="169"/>
      <c r="J1436" s="167"/>
      <c r="K1436" s="169"/>
      <c r="L1436" s="167"/>
      <c r="M1436" s="169"/>
      <c r="N1436" s="167"/>
      <c r="O1436" s="169"/>
    </row>
    <row r="1437" spans="2:15" s="453" customFormat="1" ht="14" x14ac:dyDescent="0.2">
      <c r="B1437" s="309"/>
      <c r="C1437" s="569" t="s">
        <v>831</v>
      </c>
      <c r="D1437" s="569"/>
      <c r="E1437" s="569"/>
      <c r="F1437" s="569"/>
      <c r="G1437" s="569"/>
      <c r="H1437" s="296"/>
      <c r="I1437" s="168" t="s">
        <v>211</v>
      </c>
      <c r="J1437" s="166" t="s">
        <v>211</v>
      </c>
      <c r="K1437" s="168" t="s">
        <v>211</v>
      </c>
      <c r="L1437" s="166" t="s">
        <v>211</v>
      </c>
      <c r="M1437" s="168" t="s">
        <v>211</v>
      </c>
      <c r="N1437" s="166" t="s">
        <v>211</v>
      </c>
      <c r="O1437" s="168" t="s">
        <v>211</v>
      </c>
    </row>
    <row r="1438" spans="2:15" s="453" customFormat="1" ht="12.75" customHeight="1" x14ac:dyDescent="0.2">
      <c r="B1438" s="309"/>
      <c r="C1438" s="606" t="s">
        <v>687</v>
      </c>
      <c r="D1438" s="606"/>
      <c r="E1438" s="606"/>
      <c r="F1438" s="606"/>
      <c r="G1438" s="606"/>
      <c r="H1438" s="296"/>
      <c r="I1438" s="168" t="s">
        <v>211</v>
      </c>
      <c r="J1438" s="166" t="s">
        <v>211</v>
      </c>
      <c r="K1438" s="168" t="s">
        <v>211</v>
      </c>
      <c r="L1438" s="166" t="s">
        <v>211</v>
      </c>
      <c r="M1438" s="168" t="s">
        <v>211</v>
      </c>
      <c r="N1438" s="166" t="s">
        <v>211</v>
      </c>
      <c r="O1438" s="168" t="s">
        <v>211</v>
      </c>
    </row>
    <row r="1439" spans="2:15" s="453" customFormat="1" ht="14" x14ac:dyDescent="0.2">
      <c r="B1439" s="309"/>
      <c r="C1439" s="310"/>
      <c r="F1439" s="622" t="s">
        <v>682</v>
      </c>
      <c r="G1439" s="622"/>
      <c r="H1439" s="736"/>
      <c r="I1439" s="169"/>
      <c r="J1439" s="167"/>
      <c r="K1439" s="169"/>
      <c r="L1439" s="167"/>
      <c r="M1439" s="169"/>
      <c r="N1439" s="167"/>
      <c r="O1439" s="169"/>
    </row>
    <row r="1440" spans="2:15" s="453" customFormat="1" ht="14" x14ac:dyDescent="0.2">
      <c r="B1440" s="318"/>
      <c r="C1440" s="319"/>
      <c r="D1440" s="303"/>
      <c r="E1440" s="303"/>
      <c r="F1440" s="751" t="s">
        <v>685</v>
      </c>
      <c r="G1440" s="751"/>
      <c r="H1440" s="752"/>
      <c r="I1440" s="169"/>
      <c r="J1440" s="167"/>
      <c r="K1440" s="169"/>
      <c r="L1440" s="167"/>
      <c r="M1440" s="169"/>
      <c r="N1440" s="167"/>
      <c r="O1440" s="169"/>
    </row>
    <row r="1441" spans="2:15" s="453" customFormat="1" ht="12.75" customHeight="1" x14ac:dyDescent="0.2">
      <c r="B1441" s="327" t="s">
        <v>179</v>
      </c>
      <c r="C1441" s="618" t="s">
        <v>688</v>
      </c>
      <c r="D1441" s="618"/>
      <c r="E1441" s="618"/>
      <c r="F1441" s="618"/>
      <c r="G1441" s="618"/>
      <c r="H1441" s="292"/>
      <c r="I1441" s="168" t="s">
        <v>211</v>
      </c>
      <c r="J1441" s="166" t="s">
        <v>211</v>
      </c>
      <c r="K1441" s="168" t="s">
        <v>211</v>
      </c>
      <c r="L1441" s="166" t="s">
        <v>211</v>
      </c>
      <c r="M1441" s="168" t="s">
        <v>211</v>
      </c>
      <c r="N1441" s="166" t="s">
        <v>211</v>
      </c>
      <c r="O1441" s="168" t="s">
        <v>211</v>
      </c>
    </row>
    <row r="1442" spans="2:15" s="453" customFormat="1" ht="14" x14ac:dyDescent="0.2">
      <c r="B1442" s="328"/>
      <c r="C1442" s="619"/>
      <c r="D1442" s="619"/>
      <c r="E1442" s="619"/>
      <c r="F1442" s="619"/>
      <c r="G1442" s="619"/>
      <c r="H1442" s="294"/>
      <c r="I1442" s="169"/>
      <c r="J1442" s="167"/>
      <c r="K1442" s="169"/>
      <c r="L1442" s="167"/>
      <c r="M1442" s="169"/>
      <c r="N1442" s="167"/>
      <c r="O1442" s="169"/>
    </row>
    <row r="1443" spans="2:15" s="453" customFormat="1" ht="14" x14ac:dyDescent="0.2">
      <c r="B1443" s="328"/>
      <c r="C1443" s="606" t="s">
        <v>686</v>
      </c>
      <c r="D1443" s="606"/>
      <c r="E1443" s="606"/>
      <c r="F1443" s="606"/>
      <c r="G1443" s="606"/>
      <c r="H1443" s="296"/>
      <c r="I1443" s="168" t="s">
        <v>211</v>
      </c>
      <c r="J1443" s="166" t="s">
        <v>211</v>
      </c>
      <c r="K1443" s="168" t="s">
        <v>211</v>
      </c>
      <c r="L1443" s="166" t="s">
        <v>211</v>
      </c>
      <c r="M1443" s="168" t="s">
        <v>211</v>
      </c>
      <c r="N1443" s="166" t="s">
        <v>211</v>
      </c>
      <c r="O1443" s="168" t="s">
        <v>211</v>
      </c>
    </row>
    <row r="1444" spans="2:15" s="453" customFormat="1" ht="14" x14ac:dyDescent="0.2">
      <c r="B1444" s="309"/>
      <c r="C1444" s="606"/>
      <c r="D1444" s="606"/>
      <c r="E1444" s="606"/>
      <c r="F1444" s="606"/>
      <c r="G1444" s="606"/>
      <c r="H1444" s="294"/>
      <c r="I1444" s="169"/>
      <c r="J1444" s="167"/>
      <c r="K1444" s="169"/>
      <c r="L1444" s="167"/>
      <c r="M1444" s="169"/>
      <c r="N1444" s="167"/>
      <c r="O1444" s="169"/>
    </row>
    <row r="1445" spans="2:15" s="453" customFormat="1" ht="14" x14ac:dyDescent="0.2">
      <c r="B1445" s="309"/>
      <c r="C1445" s="606" t="s">
        <v>689</v>
      </c>
      <c r="D1445" s="606"/>
      <c r="E1445" s="606"/>
      <c r="F1445" s="606"/>
      <c r="G1445" s="606"/>
      <c r="H1445" s="296"/>
      <c r="I1445" s="168" t="s">
        <v>211</v>
      </c>
      <c r="J1445" s="166" t="s">
        <v>211</v>
      </c>
      <c r="K1445" s="168" t="s">
        <v>211</v>
      </c>
      <c r="L1445" s="166" t="s">
        <v>211</v>
      </c>
      <c r="M1445" s="168" t="s">
        <v>211</v>
      </c>
      <c r="N1445" s="166" t="s">
        <v>211</v>
      </c>
      <c r="O1445" s="168" t="s">
        <v>211</v>
      </c>
    </row>
    <row r="1446" spans="2:15" s="453" customFormat="1" ht="14" x14ac:dyDescent="0.2">
      <c r="B1446" s="309"/>
      <c r="C1446" s="606"/>
      <c r="D1446" s="606"/>
      <c r="E1446" s="606"/>
      <c r="F1446" s="606"/>
      <c r="G1446" s="606"/>
      <c r="H1446" s="294"/>
      <c r="I1446" s="169"/>
      <c r="J1446" s="167"/>
      <c r="K1446" s="169"/>
      <c r="L1446" s="167"/>
      <c r="M1446" s="169"/>
      <c r="N1446" s="167"/>
      <c r="O1446" s="169"/>
    </row>
    <row r="1447" spans="2:15" s="453" customFormat="1" ht="14" x14ac:dyDescent="0.2">
      <c r="B1447" s="309"/>
      <c r="C1447" s="606"/>
      <c r="D1447" s="606"/>
      <c r="E1447" s="606"/>
      <c r="F1447" s="606"/>
      <c r="G1447" s="606"/>
      <c r="H1447" s="294"/>
      <c r="I1447" s="169"/>
      <c r="J1447" s="167"/>
      <c r="K1447" s="169"/>
      <c r="L1447" s="167"/>
      <c r="M1447" s="169"/>
      <c r="N1447" s="167"/>
      <c r="O1447" s="169"/>
    </row>
    <row r="1448" spans="2:15" s="453" customFormat="1" ht="14" x14ac:dyDescent="0.2">
      <c r="B1448" s="309"/>
      <c r="C1448" s="569" t="s">
        <v>831</v>
      </c>
      <c r="D1448" s="569"/>
      <c r="E1448" s="569"/>
      <c r="F1448" s="569"/>
      <c r="G1448" s="569"/>
      <c r="H1448" s="296"/>
      <c r="I1448" s="168" t="s">
        <v>211</v>
      </c>
      <c r="J1448" s="166" t="s">
        <v>211</v>
      </c>
      <c r="K1448" s="168" t="s">
        <v>211</v>
      </c>
      <c r="L1448" s="166" t="s">
        <v>211</v>
      </c>
      <c r="M1448" s="168" t="s">
        <v>211</v>
      </c>
      <c r="N1448" s="166" t="s">
        <v>211</v>
      </c>
      <c r="O1448" s="168" t="s">
        <v>211</v>
      </c>
    </row>
    <row r="1449" spans="2:15" s="453" customFormat="1" ht="12.75" customHeight="1" x14ac:dyDescent="0.2">
      <c r="B1449" s="309"/>
      <c r="C1449" s="606" t="s">
        <v>687</v>
      </c>
      <c r="D1449" s="606"/>
      <c r="E1449" s="606"/>
      <c r="F1449" s="606"/>
      <c r="G1449" s="606"/>
      <c r="H1449" s="296"/>
      <c r="I1449" s="168" t="s">
        <v>211</v>
      </c>
      <c r="J1449" s="166" t="s">
        <v>211</v>
      </c>
      <c r="K1449" s="168" t="s">
        <v>211</v>
      </c>
      <c r="L1449" s="166" t="s">
        <v>211</v>
      </c>
      <c r="M1449" s="168" t="s">
        <v>211</v>
      </c>
      <c r="N1449" s="166" t="s">
        <v>211</v>
      </c>
      <c r="O1449" s="168" t="s">
        <v>211</v>
      </c>
    </row>
    <row r="1450" spans="2:15" s="453" customFormat="1" ht="14" x14ac:dyDescent="0.2">
      <c r="B1450" s="309"/>
      <c r="F1450" s="622" t="s">
        <v>682</v>
      </c>
      <c r="G1450" s="622"/>
      <c r="H1450" s="736"/>
      <c r="I1450" s="169"/>
      <c r="J1450" s="167"/>
      <c r="K1450" s="169"/>
      <c r="L1450" s="167"/>
      <c r="M1450" s="169"/>
      <c r="N1450" s="167"/>
      <c r="O1450" s="169"/>
    </row>
    <row r="1451" spans="2:15" s="453" customFormat="1" ht="14" x14ac:dyDescent="0.2">
      <c r="B1451" s="318"/>
      <c r="C1451" s="303"/>
      <c r="D1451" s="303"/>
      <c r="E1451" s="303"/>
      <c r="F1451" s="751" t="s">
        <v>690</v>
      </c>
      <c r="G1451" s="751"/>
      <c r="H1451" s="752"/>
      <c r="I1451" s="169"/>
      <c r="J1451" s="167"/>
      <c r="K1451" s="169"/>
      <c r="L1451" s="167"/>
      <c r="M1451" s="169"/>
      <c r="N1451" s="167"/>
      <c r="O1451" s="169"/>
    </row>
    <row r="1452" spans="2:15" s="453" customFormat="1" ht="14" x14ac:dyDescent="0.2">
      <c r="B1452" s="327" t="s">
        <v>691</v>
      </c>
      <c r="C1452" s="738" t="s">
        <v>692</v>
      </c>
      <c r="D1452" s="738"/>
      <c r="E1452" s="738"/>
      <c r="F1452" s="738"/>
      <c r="G1452" s="738"/>
      <c r="H1452" s="292"/>
      <c r="I1452" s="168" t="s">
        <v>211</v>
      </c>
      <c r="J1452" s="166" t="s">
        <v>211</v>
      </c>
      <c r="K1452" s="168" t="s">
        <v>211</v>
      </c>
      <c r="L1452" s="166" t="s">
        <v>211</v>
      </c>
      <c r="M1452" s="168" t="s">
        <v>211</v>
      </c>
      <c r="N1452" s="166" t="s">
        <v>211</v>
      </c>
      <c r="O1452" s="168" t="s">
        <v>211</v>
      </c>
    </row>
    <row r="1453" spans="2:15" s="453" customFormat="1" ht="14" x14ac:dyDescent="0.2">
      <c r="B1453" s="309"/>
      <c r="C1453" s="606" t="s">
        <v>832</v>
      </c>
      <c r="D1453" s="606"/>
      <c r="E1453" s="606"/>
      <c r="F1453" s="606"/>
      <c r="G1453" s="606"/>
      <c r="H1453" s="296"/>
      <c r="I1453" s="168" t="s">
        <v>211</v>
      </c>
      <c r="J1453" s="166" t="s">
        <v>211</v>
      </c>
      <c r="K1453" s="168" t="s">
        <v>211</v>
      </c>
      <c r="L1453" s="166" t="s">
        <v>211</v>
      </c>
      <c r="M1453" s="168" t="s">
        <v>211</v>
      </c>
      <c r="N1453" s="166" t="s">
        <v>211</v>
      </c>
      <c r="O1453" s="168" t="s">
        <v>211</v>
      </c>
    </row>
    <row r="1454" spans="2:15" s="453" customFormat="1" ht="14" x14ac:dyDescent="0.2">
      <c r="B1454" s="309"/>
      <c r="C1454" s="606"/>
      <c r="D1454" s="606"/>
      <c r="E1454" s="606"/>
      <c r="F1454" s="606"/>
      <c r="G1454" s="606"/>
      <c r="H1454" s="294"/>
      <c r="I1454" s="169"/>
      <c r="J1454" s="167"/>
      <c r="K1454" s="169"/>
      <c r="L1454" s="167"/>
      <c r="M1454" s="169"/>
      <c r="N1454" s="167"/>
      <c r="O1454" s="169"/>
    </row>
    <row r="1455" spans="2:15" s="453" customFormat="1" ht="14" x14ac:dyDescent="0.2">
      <c r="B1455" s="320"/>
      <c r="C1455" s="606" t="s">
        <v>833</v>
      </c>
      <c r="D1455" s="606"/>
      <c r="E1455" s="606"/>
      <c r="F1455" s="606"/>
      <c r="G1455" s="606"/>
      <c r="H1455" s="296"/>
      <c r="I1455" s="168" t="s">
        <v>211</v>
      </c>
      <c r="J1455" s="166" t="s">
        <v>211</v>
      </c>
      <c r="K1455" s="168" t="s">
        <v>211</v>
      </c>
      <c r="L1455" s="166" t="s">
        <v>211</v>
      </c>
      <c r="M1455" s="168" t="s">
        <v>211</v>
      </c>
      <c r="N1455" s="166" t="s">
        <v>211</v>
      </c>
      <c r="O1455" s="168" t="s">
        <v>211</v>
      </c>
    </row>
    <row r="1456" spans="2:15" s="453" customFormat="1" ht="14" x14ac:dyDescent="0.2">
      <c r="B1456" s="309"/>
      <c r="C1456" s="606"/>
      <c r="D1456" s="606"/>
      <c r="E1456" s="606"/>
      <c r="F1456" s="606"/>
      <c r="G1456" s="606"/>
      <c r="H1456" s="294"/>
      <c r="I1456" s="169"/>
      <c r="J1456" s="167"/>
      <c r="K1456" s="169"/>
      <c r="L1456" s="167"/>
      <c r="M1456" s="169"/>
      <c r="N1456" s="167"/>
      <c r="O1456" s="169"/>
    </row>
    <row r="1457" spans="2:15" s="453" customFormat="1" ht="14" x14ac:dyDescent="0.2">
      <c r="B1457" s="309"/>
      <c r="C1457" s="606"/>
      <c r="D1457" s="606"/>
      <c r="E1457" s="606"/>
      <c r="F1457" s="606"/>
      <c r="G1457" s="606"/>
      <c r="H1457" s="294"/>
      <c r="I1457" s="169"/>
      <c r="J1457" s="167"/>
      <c r="K1457" s="169"/>
      <c r="L1457" s="167"/>
      <c r="M1457" s="169"/>
      <c r="N1457" s="167"/>
      <c r="O1457" s="169"/>
    </row>
    <row r="1458" spans="2:15" s="453" customFormat="1" ht="12.75" customHeight="1" x14ac:dyDescent="0.2">
      <c r="B1458" s="309"/>
      <c r="C1458" s="606" t="s">
        <v>693</v>
      </c>
      <c r="D1458" s="606"/>
      <c r="E1458" s="606"/>
      <c r="F1458" s="606"/>
      <c r="G1458" s="606"/>
      <c r="H1458" s="296"/>
      <c r="I1458" s="168" t="s">
        <v>211</v>
      </c>
      <c r="J1458" s="166" t="s">
        <v>211</v>
      </c>
      <c r="K1458" s="168" t="s">
        <v>211</v>
      </c>
      <c r="L1458" s="166" t="s">
        <v>211</v>
      </c>
      <c r="M1458" s="168" t="s">
        <v>211</v>
      </c>
      <c r="N1458" s="166" t="s">
        <v>211</v>
      </c>
      <c r="O1458" s="168" t="s">
        <v>211</v>
      </c>
    </row>
    <row r="1459" spans="2:15" s="453" customFormat="1" ht="12.75" customHeight="1" x14ac:dyDescent="0.2">
      <c r="B1459" s="309"/>
      <c r="C1459" s="606" t="s">
        <v>834</v>
      </c>
      <c r="D1459" s="606"/>
      <c r="E1459" s="606"/>
      <c r="F1459" s="606"/>
      <c r="G1459" s="606"/>
      <c r="H1459" s="296"/>
      <c r="I1459" s="168" t="s">
        <v>211</v>
      </c>
      <c r="J1459" s="166" t="s">
        <v>211</v>
      </c>
      <c r="K1459" s="168" t="s">
        <v>211</v>
      </c>
      <c r="L1459" s="166" t="s">
        <v>211</v>
      </c>
      <c r="M1459" s="168" t="s">
        <v>211</v>
      </c>
      <c r="N1459" s="166" t="s">
        <v>211</v>
      </c>
      <c r="O1459" s="168" t="s">
        <v>211</v>
      </c>
    </row>
    <row r="1460" spans="2:15" s="453" customFormat="1" ht="14" x14ac:dyDescent="0.2">
      <c r="B1460" s="309"/>
      <c r="C1460" s="606"/>
      <c r="D1460" s="606"/>
      <c r="E1460" s="606"/>
      <c r="F1460" s="606"/>
      <c r="G1460" s="606"/>
      <c r="H1460" s="294"/>
      <c r="I1460" s="169"/>
      <c r="J1460" s="167"/>
      <c r="K1460" s="169"/>
      <c r="L1460" s="167"/>
      <c r="M1460" s="169"/>
      <c r="N1460" s="167"/>
      <c r="O1460" s="169"/>
    </row>
    <row r="1461" spans="2:15" s="453" customFormat="1" ht="14" x14ac:dyDescent="0.2">
      <c r="B1461" s="327" t="s">
        <v>694</v>
      </c>
      <c r="C1461" s="568" t="s">
        <v>695</v>
      </c>
      <c r="D1461" s="568"/>
      <c r="E1461" s="568"/>
      <c r="F1461" s="568"/>
      <c r="G1461" s="568"/>
      <c r="H1461" s="292"/>
      <c r="I1461" s="168" t="s">
        <v>211</v>
      </c>
      <c r="J1461" s="166" t="s">
        <v>211</v>
      </c>
      <c r="K1461" s="168" t="s">
        <v>211</v>
      </c>
      <c r="L1461" s="166" t="s">
        <v>211</v>
      </c>
      <c r="M1461" s="168" t="s">
        <v>211</v>
      </c>
      <c r="N1461" s="166" t="s">
        <v>211</v>
      </c>
      <c r="O1461" s="168" t="s">
        <v>211</v>
      </c>
    </row>
    <row r="1462" spans="2:15" s="453" customFormat="1" ht="14" x14ac:dyDescent="0.2">
      <c r="B1462" s="328"/>
      <c r="C1462" s="606"/>
      <c r="D1462" s="606"/>
      <c r="E1462" s="606"/>
      <c r="F1462" s="606"/>
      <c r="G1462" s="606"/>
      <c r="H1462" s="294"/>
      <c r="I1462" s="169"/>
      <c r="J1462" s="167"/>
      <c r="K1462" s="169"/>
      <c r="L1462" s="167"/>
      <c r="M1462" s="169"/>
      <c r="N1462" s="167"/>
      <c r="O1462" s="169"/>
    </row>
    <row r="1463" spans="2:15" s="453" customFormat="1" ht="14" x14ac:dyDescent="0.2">
      <c r="B1463" s="309"/>
      <c r="C1463" s="569" t="s">
        <v>696</v>
      </c>
      <c r="D1463" s="569"/>
      <c r="E1463" s="569"/>
      <c r="F1463" s="569"/>
      <c r="G1463" s="569"/>
      <c r="H1463" s="296"/>
      <c r="I1463" s="168" t="s">
        <v>211</v>
      </c>
      <c r="J1463" s="166" t="s">
        <v>211</v>
      </c>
      <c r="K1463" s="168" t="s">
        <v>211</v>
      </c>
      <c r="L1463" s="166" t="s">
        <v>211</v>
      </c>
      <c r="M1463" s="168" t="s">
        <v>211</v>
      </c>
      <c r="N1463" s="166" t="s">
        <v>211</v>
      </c>
      <c r="O1463" s="168" t="s">
        <v>211</v>
      </c>
    </row>
    <row r="1464" spans="2:15" s="453" customFormat="1" ht="12.75" customHeight="1" x14ac:dyDescent="0.2">
      <c r="B1464" s="309"/>
      <c r="C1464" s="606" t="s">
        <v>697</v>
      </c>
      <c r="D1464" s="606"/>
      <c r="E1464" s="606"/>
      <c r="F1464" s="606"/>
      <c r="G1464" s="606"/>
      <c r="H1464" s="296"/>
      <c r="I1464" s="168" t="s">
        <v>211</v>
      </c>
      <c r="J1464" s="166" t="s">
        <v>211</v>
      </c>
      <c r="K1464" s="168" t="s">
        <v>211</v>
      </c>
      <c r="L1464" s="166" t="s">
        <v>211</v>
      </c>
      <c r="M1464" s="168" t="s">
        <v>211</v>
      </c>
      <c r="N1464" s="166" t="s">
        <v>211</v>
      </c>
      <c r="O1464" s="168" t="s">
        <v>211</v>
      </c>
    </row>
    <row r="1465" spans="2:15" s="453" customFormat="1" ht="14" x14ac:dyDescent="0.2">
      <c r="B1465" s="309"/>
      <c r="C1465" s="606" t="s">
        <v>698</v>
      </c>
      <c r="D1465" s="606"/>
      <c r="E1465" s="606"/>
      <c r="F1465" s="606"/>
      <c r="G1465" s="606"/>
      <c r="H1465" s="296"/>
      <c r="I1465" s="168" t="s">
        <v>211</v>
      </c>
      <c r="J1465" s="166" t="s">
        <v>211</v>
      </c>
      <c r="K1465" s="168" t="s">
        <v>211</v>
      </c>
      <c r="L1465" s="166" t="s">
        <v>211</v>
      </c>
      <c r="M1465" s="168" t="s">
        <v>211</v>
      </c>
      <c r="N1465" s="166" t="s">
        <v>211</v>
      </c>
      <c r="O1465" s="168" t="s">
        <v>211</v>
      </c>
    </row>
    <row r="1466" spans="2:15" s="453" customFormat="1" ht="14" x14ac:dyDescent="0.2">
      <c r="B1466" s="309"/>
      <c r="C1466" s="606"/>
      <c r="D1466" s="606"/>
      <c r="E1466" s="606"/>
      <c r="F1466" s="606"/>
      <c r="G1466" s="606"/>
      <c r="H1466" s="294"/>
      <c r="I1466" s="169"/>
      <c r="J1466" s="167"/>
      <c r="K1466" s="169"/>
      <c r="L1466" s="167"/>
      <c r="M1466" s="169"/>
      <c r="N1466" s="167"/>
      <c r="O1466" s="169"/>
    </row>
    <row r="1467" spans="2:15" s="453" customFormat="1" ht="14" x14ac:dyDescent="0.2">
      <c r="B1467" s="309"/>
      <c r="C1467" s="569" t="s">
        <v>1933</v>
      </c>
      <c r="D1467" s="569"/>
      <c r="E1467" s="569"/>
      <c r="F1467" s="569"/>
      <c r="G1467" s="569"/>
      <c r="H1467" s="296"/>
      <c r="I1467" s="168" t="s">
        <v>211</v>
      </c>
      <c r="J1467" s="166" t="s">
        <v>211</v>
      </c>
      <c r="K1467" s="168" t="s">
        <v>211</v>
      </c>
      <c r="L1467" s="166" t="s">
        <v>211</v>
      </c>
      <c r="M1467" s="168" t="s">
        <v>211</v>
      </c>
      <c r="N1467" s="166" t="s">
        <v>211</v>
      </c>
      <c r="O1467" s="168" t="s">
        <v>211</v>
      </c>
    </row>
    <row r="1468" spans="2:15" s="453" customFormat="1" ht="14" x14ac:dyDescent="0.2">
      <c r="B1468" s="309"/>
      <c r="C1468" s="606" t="s">
        <v>699</v>
      </c>
      <c r="D1468" s="606"/>
      <c r="E1468" s="606"/>
      <c r="F1468" s="606"/>
      <c r="G1468" s="606"/>
      <c r="H1468" s="296"/>
      <c r="I1468" s="168" t="s">
        <v>211</v>
      </c>
      <c r="J1468" s="166" t="s">
        <v>211</v>
      </c>
      <c r="K1468" s="168" t="s">
        <v>211</v>
      </c>
      <c r="L1468" s="166" t="s">
        <v>211</v>
      </c>
      <c r="M1468" s="168" t="s">
        <v>211</v>
      </c>
      <c r="N1468" s="166" t="s">
        <v>211</v>
      </c>
      <c r="O1468" s="168" t="s">
        <v>211</v>
      </c>
    </row>
    <row r="1469" spans="2:15" s="453" customFormat="1" ht="14" x14ac:dyDescent="0.2">
      <c r="B1469" s="309"/>
      <c r="C1469" s="606"/>
      <c r="D1469" s="606"/>
      <c r="E1469" s="606"/>
      <c r="F1469" s="606"/>
      <c r="G1469" s="606"/>
      <c r="H1469" s="294"/>
      <c r="I1469" s="169"/>
      <c r="J1469" s="167"/>
      <c r="K1469" s="169"/>
      <c r="L1469" s="167"/>
      <c r="M1469" s="169"/>
      <c r="N1469" s="167"/>
      <c r="O1469" s="169"/>
    </row>
    <row r="1470" spans="2:15" s="453" customFormat="1" ht="14" x14ac:dyDescent="0.2">
      <c r="B1470" s="309"/>
      <c r="C1470" s="606" t="s">
        <v>700</v>
      </c>
      <c r="D1470" s="606"/>
      <c r="E1470" s="606"/>
      <c r="F1470" s="606"/>
      <c r="G1470" s="606"/>
      <c r="H1470" s="296"/>
      <c r="I1470" s="168" t="s">
        <v>211</v>
      </c>
      <c r="J1470" s="166" t="s">
        <v>211</v>
      </c>
      <c r="K1470" s="168" t="s">
        <v>211</v>
      </c>
      <c r="L1470" s="166" t="s">
        <v>211</v>
      </c>
      <c r="M1470" s="168" t="s">
        <v>211</v>
      </c>
      <c r="N1470" s="166" t="s">
        <v>211</v>
      </c>
      <c r="O1470" s="168" t="s">
        <v>211</v>
      </c>
    </row>
    <row r="1471" spans="2:15" s="453" customFormat="1" ht="14" x14ac:dyDescent="0.2">
      <c r="B1471" s="309"/>
      <c r="C1471" s="606"/>
      <c r="D1471" s="606"/>
      <c r="E1471" s="606"/>
      <c r="F1471" s="606"/>
      <c r="G1471" s="606"/>
      <c r="H1471" s="294"/>
      <c r="I1471" s="169"/>
      <c r="J1471" s="167"/>
      <c r="K1471" s="169"/>
      <c r="L1471" s="167"/>
      <c r="M1471" s="169"/>
      <c r="N1471" s="167"/>
      <c r="O1471" s="169"/>
    </row>
    <row r="1472" spans="2:15" s="453" customFormat="1" ht="14" x14ac:dyDescent="0.2">
      <c r="B1472" s="318"/>
      <c r="C1472" s="639"/>
      <c r="D1472" s="639"/>
      <c r="E1472" s="639"/>
      <c r="F1472" s="639"/>
      <c r="G1472" s="639"/>
      <c r="H1472" s="298"/>
      <c r="I1472" s="169"/>
      <c r="J1472" s="167"/>
      <c r="K1472" s="169"/>
      <c r="L1472" s="167"/>
      <c r="M1472" s="169"/>
      <c r="N1472" s="167"/>
      <c r="O1472" s="169"/>
    </row>
    <row r="1473" spans="2:15" s="453" customFormat="1" ht="14" x14ac:dyDescent="0.2">
      <c r="B1473" s="311">
        <v>2</v>
      </c>
      <c r="C1473" s="568" t="s">
        <v>701</v>
      </c>
      <c r="D1473" s="568"/>
      <c r="E1473" s="568"/>
      <c r="F1473" s="568"/>
      <c r="G1473" s="568"/>
      <c r="H1473" s="292"/>
      <c r="I1473" s="168" t="s">
        <v>211</v>
      </c>
      <c r="J1473" s="166" t="s">
        <v>211</v>
      </c>
      <c r="K1473" s="168" t="s">
        <v>211</v>
      </c>
      <c r="L1473" s="166" t="s">
        <v>211</v>
      </c>
      <c r="M1473" s="168" t="s">
        <v>211</v>
      </c>
      <c r="N1473" s="166" t="s">
        <v>211</v>
      </c>
      <c r="O1473" s="168" t="s">
        <v>211</v>
      </c>
    </row>
    <row r="1474" spans="2:15" s="453" customFormat="1" ht="14" x14ac:dyDescent="0.2">
      <c r="B1474" s="316"/>
      <c r="C1474" s="606"/>
      <c r="D1474" s="606"/>
      <c r="E1474" s="606"/>
      <c r="F1474" s="606"/>
      <c r="G1474" s="606"/>
      <c r="H1474" s="294"/>
      <c r="I1474" s="169"/>
      <c r="J1474" s="167"/>
      <c r="K1474" s="169"/>
      <c r="L1474" s="167"/>
      <c r="M1474" s="169"/>
      <c r="N1474" s="167"/>
      <c r="O1474" s="169"/>
    </row>
    <row r="1475" spans="2:15" s="453" customFormat="1" ht="14" x14ac:dyDescent="0.2">
      <c r="B1475" s="309"/>
      <c r="C1475" s="310"/>
      <c r="F1475" s="743" t="s">
        <v>702</v>
      </c>
      <c r="G1475" s="743"/>
      <c r="H1475" s="744"/>
      <c r="I1475" s="169"/>
      <c r="J1475" s="167"/>
      <c r="K1475" s="169"/>
      <c r="L1475" s="167"/>
      <c r="M1475" s="169"/>
      <c r="N1475" s="167"/>
      <c r="O1475" s="169"/>
    </row>
    <row r="1476" spans="2:15" s="453" customFormat="1" ht="14" x14ac:dyDescent="0.2">
      <c r="B1476" s="309"/>
      <c r="C1476" s="606" t="s">
        <v>703</v>
      </c>
      <c r="D1476" s="606"/>
      <c r="E1476" s="606"/>
      <c r="F1476" s="606"/>
      <c r="G1476" s="606"/>
      <c r="H1476" s="296"/>
      <c r="I1476" s="168" t="s">
        <v>211</v>
      </c>
      <c r="J1476" s="166" t="s">
        <v>211</v>
      </c>
      <c r="K1476" s="168" t="s">
        <v>211</v>
      </c>
      <c r="L1476" s="166" t="s">
        <v>211</v>
      </c>
      <c r="M1476" s="168" t="s">
        <v>211</v>
      </c>
      <c r="N1476" s="166" t="s">
        <v>211</v>
      </c>
      <c r="O1476" s="168" t="s">
        <v>211</v>
      </c>
    </row>
    <row r="1477" spans="2:15" s="453" customFormat="1" ht="14" x14ac:dyDescent="0.2">
      <c r="B1477" s="309"/>
      <c r="C1477" s="606"/>
      <c r="D1477" s="606"/>
      <c r="E1477" s="606"/>
      <c r="F1477" s="606"/>
      <c r="G1477" s="606"/>
      <c r="H1477" s="294"/>
      <c r="I1477" s="169"/>
      <c r="J1477" s="167"/>
      <c r="K1477" s="169"/>
      <c r="L1477" s="167"/>
      <c r="M1477" s="169"/>
      <c r="N1477" s="167"/>
      <c r="O1477" s="169"/>
    </row>
    <row r="1478" spans="2:15" s="453" customFormat="1" ht="12.75" customHeight="1" x14ac:dyDescent="0.2">
      <c r="B1478" s="309"/>
      <c r="C1478" s="606" t="s">
        <v>680</v>
      </c>
      <c r="D1478" s="606"/>
      <c r="E1478" s="606"/>
      <c r="F1478" s="606"/>
      <c r="G1478" s="606"/>
      <c r="H1478" s="296"/>
      <c r="I1478" s="168" t="s">
        <v>211</v>
      </c>
      <c r="J1478" s="166" t="s">
        <v>211</v>
      </c>
      <c r="K1478" s="168" t="s">
        <v>211</v>
      </c>
      <c r="L1478" s="166" t="s">
        <v>211</v>
      </c>
      <c r="M1478" s="168" t="s">
        <v>211</v>
      </c>
      <c r="N1478" s="166" t="s">
        <v>211</v>
      </c>
      <c r="O1478" s="168" t="s">
        <v>211</v>
      </c>
    </row>
    <row r="1479" spans="2:15" s="453" customFormat="1" ht="12.75" customHeight="1" x14ac:dyDescent="0.2">
      <c r="B1479" s="309"/>
      <c r="C1479" s="606" t="s">
        <v>1934</v>
      </c>
      <c r="D1479" s="606"/>
      <c r="E1479" s="606"/>
      <c r="F1479" s="606"/>
      <c r="G1479" s="606"/>
      <c r="H1479" s="296"/>
      <c r="I1479" s="168" t="s">
        <v>211</v>
      </c>
      <c r="J1479" s="166" t="s">
        <v>211</v>
      </c>
      <c r="K1479" s="168" t="s">
        <v>211</v>
      </c>
      <c r="L1479" s="166" t="s">
        <v>211</v>
      </c>
      <c r="M1479" s="168" t="s">
        <v>211</v>
      </c>
      <c r="N1479" s="166" t="s">
        <v>211</v>
      </c>
      <c r="O1479" s="168" t="s">
        <v>211</v>
      </c>
    </row>
    <row r="1480" spans="2:15" s="453" customFormat="1" ht="14" x14ac:dyDescent="0.2">
      <c r="B1480" s="309"/>
      <c r="C1480" s="606" t="s">
        <v>835</v>
      </c>
      <c r="D1480" s="606"/>
      <c r="E1480" s="606"/>
      <c r="F1480" s="606"/>
      <c r="G1480" s="606"/>
      <c r="H1480" s="296"/>
      <c r="I1480" s="168" t="s">
        <v>211</v>
      </c>
      <c r="J1480" s="166" t="s">
        <v>211</v>
      </c>
      <c r="K1480" s="168" t="s">
        <v>211</v>
      </c>
      <c r="L1480" s="166" t="s">
        <v>211</v>
      </c>
      <c r="M1480" s="168" t="s">
        <v>211</v>
      </c>
      <c r="N1480" s="166" t="s">
        <v>211</v>
      </c>
      <c r="O1480" s="168" t="s">
        <v>211</v>
      </c>
    </row>
    <row r="1481" spans="2:15" s="453" customFormat="1" ht="14" x14ac:dyDescent="0.2">
      <c r="B1481" s="309"/>
      <c r="C1481" s="606"/>
      <c r="D1481" s="606"/>
      <c r="E1481" s="606"/>
      <c r="F1481" s="606"/>
      <c r="G1481" s="606"/>
      <c r="H1481" s="294"/>
      <c r="I1481" s="169"/>
      <c r="J1481" s="167"/>
      <c r="K1481" s="169"/>
      <c r="L1481" s="167"/>
      <c r="M1481" s="169"/>
      <c r="N1481" s="167"/>
      <c r="O1481" s="169"/>
    </row>
    <row r="1482" spans="2:15" s="453" customFormat="1" ht="12.75" customHeight="1" x14ac:dyDescent="0.2">
      <c r="B1482" s="309"/>
      <c r="C1482" s="606" t="s">
        <v>704</v>
      </c>
      <c r="D1482" s="606"/>
      <c r="E1482" s="606"/>
      <c r="F1482" s="606"/>
      <c r="G1482" s="606"/>
      <c r="H1482" s="296"/>
      <c r="I1482" s="168" t="s">
        <v>211</v>
      </c>
      <c r="J1482" s="166" t="s">
        <v>211</v>
      </c>
      <c r="K1482" s="168" t="s">
        <v>211</v>
      </c>
      <c r="L1482" s="166" t="s">
        <v>211</v>
      </c>
      <c r="M1482" s="168" t="s">
        <v>211</v>
      </c>
      <c r="N1482" s="166" t="s">
        <v>211</v>
      </c>
      <c r="O1482" s="168" t="s">
        <v>211</v>
      </c>
    </row>
    <row r="1483" spans="2:15" s="453" customFormat="1" ht="14" x14ac:dyDescent="0.2">
      <c r="B1483" s="309"/>
      <c r="C1483" s="310"/>
      <c r="F1483" s="622" t="s">
        <v>705</v>
      </c>
      <c r="G1483" s="622"/>
      <c r="H1483" s="736"/>
      <c r="I1483" s="169"/>
      <c r="J1483" s="167"/>
      <c r="K1483" s="169"/>
      <c r="L1483" s="167"/>
      <c r="M1483" s="169"/>
      <c r="N1483" s="167"/>
      <c r="O1483" s="169"/>
    </row>
    <row r="1484" spans="2:15" s="453" customFormat="1" ht="14" x14ac:dyDescent="0.2">
      <c r="B1484" s="309"/>
      <c r="C1484" s="606" t="s">
        <v>836</v>
      </c>
      <c r="D1484" s="606"/>
      <c r="E1484" s="606"/>
      <c r="F1484" s="606"/>
      <c r="G1484" s="606"/>
      <c r="H1484" s="296"/>
      <c r="I1484" s="168" t="s">
        <v>211</v>
      </c>
      <c r="J1484" s="166" t="s">
        <v>211</v>
      </c>
      <c r="K1484" s="168" t="s">
        <v>211</v>
      </c>
      <c r="L1484" s="166" t="s">
        <v>211</v>
      </c>
      <c r="M1484" s="168" t="s">
        <v>211</v>
      </c>
      <c r="N1484" s="166" t="s">
        <v>211</v>
      </c>
      <c r="O1484" s="168" t="s">
        <v>211</v>
      </c>
    </row>
    <row r="1485" spans="2:15" s="453" customFormat="1" ht="14" x14ac:dyDescent="0.2">
      <c r="B1485" s="309"/>
      <c r="C1485" s="606"/>
      <c r="D1485" s="606"/>
      <c r="E1485" s="606"/>
      <c r="F1485" s="606"/>
      <c r="G1485" s="606"/>
      <c r="H1485" s="294"/>
      <c r="I1485" s="169"/>
      <c r="J1485" s="167"/>
      <c r="K1485" s="169"/>
      <c r="L1485" s="167"/>
      <c r="M1485" s="169"/>
      <c r="N1485" s="167"/>
      <c r="O1485" s="169"/>
    </row>
    <row r="1486" spans="2:15" s="453" customFormat="1" ht="14" x14ac:dyDescent="0.2">
      <c r="B1486" s="309"/>
      <c r="C1486" s="569" t="s">
        <v>706</v>
      </c>
      <c r="D1486" s="569"/>
      <c r="E1486" s="569"/>
      <c r="F1486" s="569"/>
      <c r="G1486" s="569"/>
      <c r="H1486" s="296"/>
      <c r="I1486" s="168" t="s">
        <v>211</v>
      </c>
      <c r="J1486" s="166" t="s">
        <v>211</v>
      </c>
      <c r="K1486" s="168" t="s">
        <v>211</v>
      </c>
      <c r="L1486" s="166" t="s">
        <v>211</v>
      </c>
      <c r="M1486" s="168" t="s">
        <v>211</v>
      </c>
      <c r="N1486" s="166" t="s">
        <v>211</v>
      </c>
      <c r="O1486" s="168" t="s">
        <v>211</v>
      </c>
    </row>
    <row r="1487" spans="2:15" s="453" customFormat="1" ht="14" x14ac:dyDescent="0.2">
      <c r="B1487" s="309"/>
      <c r="F1487" s="622" t="s">
        <v>705</v>
      </c>
      <c r="G1487" s="622"/>
      <c r="H1487" s="736"/>
      <c r="I1487" s="169"/>
      <c r="J1487" s="167"/>
      <c r="K1487" s="169"/>
      <c r="L1487" s="167"/>
      <c r="M1487" s="169"/>
      <c r="N1487" s="167"/>
      <c r="O1487" s="169"/>
    </row>
    <row r="1488" spans="2:15" s="453" customFormat="1" ht="14" x14ac:dyDescent="0.2">
      <c r="B1488" s="318"/>
      <c r="C1488" s="319"/>
      <c r="D1488" s="303"/>
      <c r="E1488" s="303"/>
      <c r="F1488" s="751" t="s">
        <v>707</v>
      </c>
      <c r="G1488" s="751"/>
      <c r="H1488" s="752"/>
      <c r="I1488" s="169"/>
      <c r="J1488" s="167"/>
      <c r="K1488" s="169"/>
      <c r="L1488" s="167"/>
      <c r="M1488" s="169"/>
      <c r="N1488" s="167"/>
      <c r="O1488" s="169"/>
    </row>
    <row r="1489" spans="2:15" s="453" customFormat="1" ht="12.75" customHeight="1" x14ac:dyDescent="0.2">
      <c r="B1489" s="327" t="s">
        <v>11</v>
      </c>
      <c r="C1489" s="568" t="s">
        <v>838</v>
      </c>
      <c r="D1489" s="568"/>
      <c r="E1489" s="568"/>
      <c r="F1489" s="568"/>
      <c r="G1489" s="568"/>
      <c r="H1489" s="292"/>
      <c r="I1489" s="168" t="s">
        <v>211</v>
      </c>
      <c r="J1489" s="166" t="s">
        <v>211</v>
      </c>
      <c r="K1489" s="168" t="s">
        <v>211</v>
      </c>
      <c r="L1489" s="166" t="s">
        <v>211</v>
      </c>
      <c r="M1489" s="168" t="s">
        <v>211</v>
      </c>
      <c r="N1489" s="166" t="s">
        <v>211</v>
      </c>
      <c r="O1489" s="168" t="s">
        <v>211</v>
      </c>
    </row>
    <row r="1490" spans="2:15" s="453" customFormat="1" ht="14" x14ac:dyDescent="0.2">
      <c r="B1490" s="320"/>
      <c r="C1490" s="742"/>
      <c r="D1490" s="742"/>
      <c r="E1490" s="742"/>
      <c r="F1490" s="742"/>
      <c r="G1490" s="742"/>
      <c r="H1490" s="294"/>
      <c r="I1490" s="169"/>
      <c r="J1490" s="167"/>
      <c r="K1490" s="169"/>
      <c r="L1490" s="167"/>
      <c r="M1490" s="169"/>
      <c r="N1490" s="167"/>
      <c r="O1490" s="169"/>
    </row>
    <row r="1491" spans="2:15" s="453" customFormat="1" ht="14" x14ac:dyDescent="0.2">
      <c r="B1491" s="328"/>
      <c r="C1491" s="351"/>
      <c r="D1491" s="310"/>
      <c r="F1491" s="622" t="s">
        <v>705</v>
      </c>
      <c r="G1491" s="622"/>
      <c r="H1491" s="736"/>
      <c r="I1491" s="169"/>
      <c r="J1491" s="167"/>
      <c r="K1491" s="169"/>
      <c r="L1491" s="167"/>
      <c r="M1491" s="169"/>
      <c r="N1491" s="167"/>
      <c r="O1491" s="169"/>
    </row>
    <row r="1492" spans="2:15" s="453" customFormat="1" ht="14" x14ac:dyDescent="0.2">
      <c r="B1492" s="309"/>
      <c r="C1492" s="606" t="s">
        <v>708</v>
      </c>
      <c r="D1492" s="606"/>
      <c r="E1492" s="606"/>
      <c r="F1492" s="606"/>
      <c r="G1492" s="606"/>
      <c r="H1492" s="296"/>
      <c r="I1492" s="168" t="s">
        <v>211</v>
      </c>
      <c r="J1492" s="166" t="s">
        <v>211</v>
      </c>
      <c r="K1492" s="168" t="s">
        <v>211</v>
      </c>
      <c r="L1492" s="166" t="s">
        <v>211</v>
      </c>
      <c r="M1492" s="168" t="s">
        <v>211</v>
      </c>
      <c r="N1492" s="166" t="s">
        <v>211</v>
      </c>
      <c r="O1492" s="168" t="s">
        <v>211</v>
      </c>
    </row>
    <row r="1493" spans="2:15" s="453" customFormat="1" ht="14" x14ac:dyDescent="0.2">
      <c r="B1493" s="309"/>
      <c r="C1493" s="606"/>
      <c r="D1493" s="606"/>
      <c r="E1493" s="606"/>
      <c r="F1493" s="606"/>
      <c r="G1493" s="606"/>
      <c r="H1493" s="294"/>
      <c r="I1493" s="169"/>
      <c r="J1493" s="167"/>
      <c r="K1493" s="169"/>
      <c r="L1493" s="167"/>
      <c r="M1493" s="169"/>
      <c r="N1493" s="167"/>
      <c r="O1493" s="169"/>
    </row>
    <row r="1494" spans="2:15" s="453" customFormat="1" ht="14" x14ac:dyDescent="0.2">
      <c r="B1494" s="309"/>
      <c r="C1494" s="351"/>
      <c r="D1494" s="310"/>
      <c r="F1494" s="743" t="s">
        <v>709</v>
      </c>
      <c r="G1494" s="743"/>
      <c r="H1494" s="744"/>
      <c r="I1494" s="169"/>
      <c r="J1494" s="167"/>
      <c r="K1494" s="169"/>
      <c r="L1494" s="167"/>
      <c r="M1494" s="169"/>
      <c r="N1494" s="167"/>
      <c r="O1494" s="169"/>
    </row>
    <row r="1495" spans="2:15" s="453" customFormat="1" ht="14" x14ac:dyDescent="0.2">
      <c r="B1495" s="309"/>
      <c r="C1495" s="606" t="s">
        <v>686</v>
      </c>
      <c r="D1495" s="606"/>
      <c r="E1495" s="606"/>
      <c r="F1495" s="606"/>
      <c r="G1495" s="606"/>
      <c r="H1495" s="296"/>
      <c r="I1495" s="168" t="s">
        <v>211</v>
      </c>
      <c r="J1495" s="166" t="s">
        <v>211</v>
      </c>
      <c r="K1495" s="168" t="s">
        <v>211</v>
      </c>
      <c r="L1495" s="166" t="s">
        <v>211</v>
      </c>
      <c r="M1495" s="168" t="s">
        <v>211</v>
      </c>
      <c r="N1495" s="166" t="s">
        <v>211</v>
      </c>
      <c r="O1495" s="168" t="s">
        <v>211</v>
      </c>
    </row>
    <row r="1496" spans="2:15" s="453" customFormat="1" ht="14" x14ac:dyDescent="0.2">
      <c r="B1496" s="309"/>
      <c r="C1496" s="606"/>
      <c r="D1496" s="606"/>
      <c r="E1496" s="606"/>
      <c r="F1496" s="606"/>
      <c r="G1496" s="606"/>
      <c r="H1496" s="294"/>
      <c r="I1496" s="169"/>
      <c r="J1496" s="167"/>
      <c r="K1496" s="169"/>
      <c r="L1496" s="167"/>
      <c r="M1496" s="169"/>
      <c r="N1496" s="167"/>
      <c r="O1496" s="169"/>
    </row>
    <row r="1497" spans="2:15" s="453" customFormat="1" ht="14" x14ac:dyDescent="0.2">
      <c r="B1497" s="309"/>
      <c r="C1497" s="569" t="s">
        <v>831</v>
      </c>
      <c r="D1497" s="569"/>
      <c r="E1497" s="569"/>
      <c r="F1497" s="569"/>
      <c r="G1497" s="569"/>
      <c r="H1497" s="296"/>
      <c r="I1497" s="168" t="s">
        <v>211</v>
      </c>
      <c r="J1497" s="166" t="s">
        <v>211</v>
      </c>
      <c r="K1497" s="168" t="s">
        <v>211</v>
      </c>
      <c r="L1497" s="166" t="s">
        <v>211</v>
      </c>
      <c r="M1497" s="168" t="s">
        <v>211</v>
      </c>
      <c r="N1497" s="166" t="s">
        <v>211</v>
      </c>
      <c r="O1497" s="168" t="s">
        <v>211</v>
      </c>
    </row>
    <row r="1498" spans="2:15" s="453" customFormat="1" ht="14" x14ac:dyDescent="0.2">
      <c r="B1498" s="309"/>
      <c r="C1498" s="569" t="s">
        <v>837</v>
      </c>
      <c r="D1498" s="569"/>
      <c r="E1498" s="569"/>
      <c r="F1498" s="569"/>
      <c r="G1498" s="569"/>
      <c r="H1498" s="296"/>
      <c r="I1498" s="168" t="s">
        <v>211</v>
      </c>
      <c r="J1498" s="166" t="s">
        <v>211</v>
      </c>
      <c r="K1498" s="168" t="s">
        <v>211</v>
      </c>
      <c r="L1498" s="166" t="s">
        <v>211</v>
      </c>
      <c r="M1498" s="168" t="s">
        <v>211</v>
      </c>
      <c r="N1498" s="166" t="s">
        <v>211</v>
      </c>
      <c r="O1498" s="168" t="s">
        <v>211</v>
      </c>
    </row>
    <row r="1499" spans="2:15" s="453" customFormat="1" ht="14" x14ac:dyDescent="0.2">
      <c r="B1499" s="309"/>
      <c r="C1499" s="310"/>
      <c r="F1499" s="622" t="s">
        <v>705</v>
      </c>
      <c r="G1499" s="622"/>
      <c r="H1499" s="736"/>
      <c r="I1499" s="169"/>
      <c r="J1499" s="167"/>
      <c r="K1499" s="169"/>
      <c r="L1499" s="167"/>
      <c r="M1499" s="169"/>
      <c r="N1499" s="167"/>
      <c r="O1499" s="169"/>
    </row>
    <row r="1500" spans="2:15" s="453" customFormat="1" ht="14" x14ac:dyDescent="0.2">
      <c r="B1500" s="318"/>
      <c r="C1500" s="319"/>
      <c r="D1500" s="303"/>
      <c r="E1500" s="303"/>
      <c r="F1500" s="751" t="s">
        <v>709</v>
      </c>
      <c r="G1500" s="751"/>
      <c r="H1500" s="752"/>
      <c r="I1500" s="169"/>
      <c r="J1500" s="167"/>
      <c r="K1500" s="169"/>
      <c r="L1500" s="167"/>
      <c r="M1500" s="169"/>
      <c r="N1500" s="167"/>
      <c r="O1500" s="169"/>
    </row>
    <row r="1501" spans="2:15" s="453" customFormat="1" ht="12.75" customHeight="1" x14ac:dyDescent="0.2">
      <c r="B1501" s="327" t="s">
        <v>283</v>
      </c>
      <c r="C1501" s="568" t="s">
        <v>710</v>
      </c>
      <c r="D1501" s="568"/>
      <c r="E1501" s="568"/>
      <c r="F1501" s="568"/>
      <c r="G1501" s="568"/>
      <c r="H1501" s="292"/>
      <c r="I1501" s="168" t="s">
        <v>211</v>
      </c>
      <c r="J1501" s="166" t="s">
        <v>211</v>
      </c>
      <c r="K1501" s="168" t="s">
        <v>211</v>
      </c>
      <c r="L1501" s="166" t="s">
        <v>211</v>
      </c>
      <c r="M1501" s="168" t="s">
        <v>211</v>
      </c>
      <c r="N1501" s="166" t="s">
        <v>211</v>
      </c>
      <c r="O1501" s="168" t="s">
        <v>211</v>
      </c>
    </row>
    <row r="1502" spans="2:15" s="453" customFormat="1" ht="14" x14ac:dyDescent="0.2">
      <c r="B1502" s="328"/>
      <c r="C1502" s="742"/>
      <c r="D1502" s="742"/>
      <c r="E1502" s="742"/>
      <c r="F1502" s="742"/>
      <c r="G1502" s="742"/>
      <c r="H1502" s="294"/>
      <c r="I1502" s="169"/>
      <c r="J1502" s="167"/>
      <c r="K1502" s="169"/>
      <c r="L1502" s="167"/>
      <c r="M1502" s="169"/>
      <c r="N1502" s="167"/>
      <c r="O1502" s="169"/>
    </row>
    <row r="1503" spans="2:15" s="453" customFormat="1" ht="14" x14ac:dyDescent="0.2">
      <c r="B1503" s="309"/>
      <c r="C1503" s="606" t="s">
        <v>686</v>
      </c>
      <c r="D1503" s="606"/>
      <c r="E1503" s="606"/>
      <c r="F1503" s="606"/>
      <c r="G1503" s="606"/>
      <c r="H1503" s="296"/>
      <c r="I1503" s="168" t="s">
        <v>211</v>
      </c>
      <c r="J1503" s="166" t="s">
        <v>211</v>
      </c>
      <c r="K1503" s="168" t="s">
        <v>211</v>
      </c>
      <c r="L1503" s="166" t="s">
        <v>211</v>
      </c>
      <c r="M1503" s="168" t="s">
        <v>211</v>
      </c>
      <c r="N1503" s="166" t="s">
        <v>211</v>
      </c>
      <c r="O1503" s="168" t="s">
        <v>211</v>
      </c>
    </row>
    <row r="1504" spans="2:15" s="453" customFormat="1" ht="14" x14ac:dyDescent="0.2">
      <c r="B1504" s="309"/>
      <c r="C1504" s="606"/>
      <c r="D1504" s="606"/>
      <c r="E1504" s="606"/>
      <c r="F1504" s="606"/>
      <c r="G1504" s="606"/>
      <c r="H1504" s="294"/>
      <c r="I1504" s="169"/>
      <c r="J1504" s="167"/>
      <c r="K1504" s="169"/>
      <c r="L1504" s="167"/>
      <c r="M1504" s="169"/>
      <c r="N1504" s="167"/>
      <c r="O1504" s="169"/>
    </row>
    <row r="1505" spans="2:15" s="453" customFormat="1" ht="12.75" customHeight="1" x14ac:dyDescent="0.2">
      <c r="B1505" s="309"/>
      <c r="C1505" s="635" t="s">
        <v>711</v>
      </c>
      <c r="D1505" s="635"/>
      <c r="E1505" s="635"/>
      <c r="F1505" s="635"/>
      <c r="G1505" s="635"/>
      <c r="H1505" s="296"/>
      <c r="I1505" s="168" t="s">
        <v>211</v>
      </c>
      <c r="J1505" s="166" t="s">
        <v>211</v>
      </c>
      <c r="K1505" s="168" t="s">
        <v>211</v>
      </c>
      <c r="L1505" s="166" t="s">
        <v>211</v>
      </c>
      <c r="M1505" s="168" t="s">
        <v>211</v>
      </c>
      <c r="N1505" s="166" t="s">
        <v>211</v>
      </c>
      <c r="O1505" s="168" t="s">
        <v>211</v>
      </c>
    </row>
    <row r="1506" spans="2:15" s="453" customFormat="1" ht="14" x14ac:dyDescent="0.2">
      <c r="B1506" s="309"/>
      <c r="C1506" s="635"/>
      <c r="D1506" s="635"/>
      <c r="E1506" s="635"/>
      <c r="F1506" s="635"/>
      <c r="G1506" s="635"/>
      <c r="H1506" s="294"/>
      <c r="I1506" s="169"/>
      <c r="J1506" s="167"/>
      <c r="K1506" s="169"/>
      <c r="L1506" s="167"/>
      <c r="M1506" s="169"/>
      <c r="N1506" s="167"/>
      <c r="O1506" s="169"/>
    </row>
    <row r="1507" spans="2:15" s="453" customFormat="1" ht="14" x14ac:dyDescent="0.2">
      <c r="B1507" s="309"/>
      <c r="C1507" s="635"/>
      <c r="D1507" s="635"/>
      <c r="E1507" s="635"/>
      <c r="F1507" s="635"/>
      <c r="G1507" s="635"/>
      <c r="H1507" s="294"/>
      <c r="I1507" s="169"/>
      <c r="J1507" s="167"/>
      <c r="K1507" s="169"/>
      <c r="L1507" s="167"/>
      <c r="M1507" s="169"/>
      <c r="N1507" s="167"/>
      <c r="O1507" s="169"/>
    </row>
    <row r="1508" spans="2:15" s="453" customFormat="1" ht="14" x14ac:dyDescent="0.2">
      <c r="B1508" s="309"/>
      <c r="C1508" s="569" t="s">
        <v>831</v>
      </c>
      <c r="D1508" s="569"/>
      <c r="E1508" s="569"/>
      <c r="F1508" s="569"/>
      <c r="G1508" s="569"/>
      <c r="H1508" s="296"/>
      <c r="I1508" s="168" t="s">
        <v>211</v>
      </c>
      <c r="J1508" s="166" t="s">
        <v>211</v>
      </c>
      <c r="K1508" s="168" t="s">
        <v>211</v>
      </c>
      <c r="L1508" s="166" t="s">
        <v>211</v>
      </c>
      <c r="M1508" s="168" t="s">
        <v>211</v>
      </c>
      <c r="N1508" s="166" t="s">
        <v>211</v>
      </c>
      <c r="O1508" s="168" t="s">
        <v>211</v>
      </c>
    </row>
    <row r="1509" spans="2:15" s="453" customFormat="1" ht="14" x14ac:dyDescent="0.2">
      <c r="B1509" s="309"/>
      <c r="C1509" s="310"/>
      <c r="F1509" s="622" t="s">
        <v>705</v>
      </c>
      <c r="G1509" s="622"/>
      <c r="H1509" s="736"/>
      <c r="I1509" s="169"/>
      <c r="J1509" s="167"/>
      <c r="K1509" s="169"/>
      <c r="L1509" s="167"/>
      <c r="M1509" s="169"/>
      <c r="N1509" s="167"/>
      <c r="O1509" s="169"/>
    </row>
    <row r="1510" spans="2:15" s="453" customFormat="1" ht="14" x14ac:dyDescent="0.2">
      <c r="B1510" s="318"/>
      <c r="C1510" s="319"/>
      <c r="D1510" s="303"/>
      <c r="E1510" s="303"/>
      <c r="F1510" s="751" t="s">
        <v>712</v>
      </c>
      <c r="G1510" s="751"/>
      <c r="H1510" s="752"/>
      <c r="I1510" s="169"/>
      <c r="J1510" s="167"/>
      <c r="K1510" s="169"/>
      <c r="L1510" s="167"/>
      <c r="M1510" s="169"/>
      <c r="N1510" s="167"/>
      <c r="O1510" s="169"/>
    </row>
    <row r="1511" spans="2:15" s="453" customFormat="1" ht="14" x14ac:dyDescent="0.2">
      <c r="B1511" s="327" t="s">
        <v>713</v>
      </c>
      <c r="C1511" s="738" t="s">
        <v>714</v>
      </c>
      <c r="D1511" s="738"/>
      <c r="E1511" s="738"/>
      <c r="F1511" s="738"/>
      <c r="G1511" s="738"/>
      <c r="H1511" s="292"/>
      <c r="I1511" s="168" t="s">
        <v>211</v>
      </c>
      <c r="J1511" s="166" t="s">
        <v>211</v>
      </c>
      <c r="K1511" s="168" t="s">
        <v>211</v>
      </c>
      <c r="L1511" s="166" t="s">
        <v>211</v>
      </c>
      <c r="M1511" s="168" t="s">
        <v>211</v>
      </c>
      <c r="N1511" s="166" t="s">
        <v>211</v>
      </c>
      <c r="O1511" s="168" t="s">
        <v>211</v>
      </c>
    </row>
    <row r="1512" spans="2:15" s="453" customFormat="1" ht="14" x14ac:dyDescent="0.2">
      <c r="B1512" s="309"/>
      <c r="C1512" s="569" t="s">
        <v>715</v>
      </c>
      <c r="D1512" s="569"/>
      <c r="E1512" s="569"/>
      <c r="F1512" s="569"/>
      <c r="G1512" s="569"/>
      <c r="H1512" s="296"/>
      <c r="I1512" s="168" t="s">
        <v>211</v>
      </c>
      <c r="J1512" s="166" t="s">
        <v>211</v>
      </c>
      <c r="K1512" s="168" t="s">
        <v>211</v>
      </c>
      <c r="L1512" s="166" t="s">
        <v>211</v>
      </c>
      <c r="M1512" s="168" t="s">
        <v>211</v>
      </c>
      <c r="N1512" s="166" t="s">
        <v>211</v>
      </c>
      <c r="O1512" s="168" t="s">
        <v>211</v>
      </c>
    </row>
    <row r="1513" spans="2:15" s="453" customFormat="1" ht="14" x14ac:dyDescent="0.2">
      <c r="B1513" s="309"/>
      <c r="C1513" s="606" t="s">
        <v>839</v>
      </c>
      <c r="D1513" s="606"/>
      <c r="E1513" s="606"/>
      <c r="F1513" s="606"/>
      <c r="G1513" s="606"/>
      <c r="H1513" s="296"/>
      <c r="I1513" s="168" t="s">
        <v>211</v>
      </c>
      <c r="J1513" s="166" t="s">
        <v>211</v>
      </c>
      <c r="K1513" s="168" t="s">
        <v>211</v>
      </c>
      <c r="L1513" s="166" t="s">
        <v>211</v>
      </c>
      <c r="M1513" s="168" t="s">
        <v>211</v>
      </c>
      <c r="N1513" s="166" t="s">
        <v>211</v>
      </c>
      <c r="O1513" s="168" t="s">
        <v>211</v>
      </c>
    </row>
    <row r="1514" spans="2:15" s="453" customFormat="1" ht="14" x14ac:dyDescent="0.2">
      <c r="B1514" s="309"/>
      <c r="C1514" s="606"/>
      <c r="D1514" s="606"/>
      <c r="E1514" s="606"/>
      <c r="F1514" s="606"/>
      <c r="G1514" s="606"/>
      <c r="H1514" s="294"/>
      <c r="I1514" s="169"/>
      <c r="J1514" s="167"/>
      <c r="K1514" s="169"/>
      <c r="L1514" s="167"/>
      <c r="M1514" s="169"/>
      <c r="N1514" s="167"/>
      <c r="O1514" s="169"/>
    </row>
    <row r="1515" spans="2:15" s="453" customFormat="1" ht="14" x14ac:dyDescent="0.2">
      <c r="B1515" s="309"/>
      <c r="C1515" s="606" t="s">
        <v>716</v>
      </c>
      <c r="D1515" s="606"/>
      <c r="E1515" s="606"/>
      <c r="F1515" s="606"/>
      <c r="G1515" s="606"/>
      <c r="H1515" s="296"/>
      <c r="I1515" s="168" t="s">
        <v>211</v>
      </c>
      <c r="J1515" s="166" t="s">
        <v>211</v>
      </c>
      <c r="K1515" s="168" t="s">
        <v>211</v>
      </c>
      <c r="L1515" s="166" t="s">
        <v>211</v>
      </c>
      <c r="M1515" s="168" t="s">
        <v>211</v>
      </c>
      <c r="N1515" s="166" t="s">
        <v>211</v>
      </c>
      <c r="O1515" s="168" t="s">
        <v>211</v>
      </c>
    </row>
    <row r="1516" spans="2:15" s="453" customFormat="1" ht="14" x14ac:dyDescent="0.2">
      <c r="B1516" s="309"/>
      <c r="C1516" s="606"/>
      <c r="D1516" s="606"/>
      <c r="E1516" s="606"/>
      <c r="F1516" s="606"/>
      <c r="G1516" s="606"/>
      <c r="H1516" s="294"/>
      <c r="I1516" s="169"/>
      <c r="J1516" s="167"/>
      <c r="K1516" s="169"/>
      <c r="L1516" s="167"/>
      <c r="M1516" s="169"/>
      <c r="N1516" s="167"/>
      <c r="O1516" s="169"/>
    </row>
    <row r="1517" spans="2:15" s="453" customFormat="1" ht="14" x14ac:dyDescent="0.2">
      <c r="B1517" s="309"/>
      <c r="C1517" s="569" t="s">
        <v>717</v>
      </c>
      <c r="D1517" s="569"/>
      <c r="E1517" s="569"/>
      <c r="F1517" s="569"/>
      <c r="G1517" s="569"/>
      <c r="H1517" s="296"/>
      <c r="I1517" s="168" t="s">
        <v>211</v>
      </c>
      <c r="J1517" s="166" t="s">
        <v>211</v>
      </c>
      <c r="K1517" s="168" t="s">
        <v>211</v>
      </c>
      <c r="L1517" s="166" t="s">
        <v>211</v>
      </c>
      <c r="M1517" s="168" t="s">
        <v>211</v>
      </c>
      <c r="N1517" s="166" t="s">
        <v>211</v>
      </c>
      <c r="O1517" s="168" t="s">
        <v>211</v>
      </c>
    </row>
    <row r="1518" spans="2:15" s="453" customFormat="1" ht="14" x14ac:dyDescent="0.2">
      <c r="B1518" s="309"/>
      <c r="C1518" s="569" t="s">
        <v>1935</v>
      </c>
      <c r="D1518" s="569"/>
      <c r="E1518" s="569"/>
      <c r="F1518" s="569"/>
      <c r="G1518" s="569"/>
      <c r="H1518" s="296"/>
      <c r="I1518" s="168" t="s">
        <v>211</v>
      </c>
      <c r="J1518" s="166" t="s">
        <v>211</v>
      </c>
      <c r="K1518" s="168" t="s">
        <v>211</v>
      </c>
      <c r="L1518" s="166" t="s">
        <v>211</v>
      </c>
      <c r="M1518" s="168" t="s">
        <v>211</v>
      </c>
      <c r="N1518" s="166" t="s">
        <v>211</v>
      </c>
      <c r="O1518" s="168" t="s">
        <v>211</v>
      </c>
    </row>
    <row r="1519" spans="2:15" s="453" customFormat="1" ht="14" x14ac:dyDescent="0.2">
      <c r="B1519" s="309"/>
      <c r="C1519" s="606" t="s">
        <v>840</v>
      </c>
      <c r="D1519" s="606"/>
      <c r="E1519" s="606"/>
      <c r="F1519" s="606"/>
      <c r="G1519" s="606"/>
      <c r="H1519" s="296"/>
      <c r="I1519" s="168" t="s">
        <v>211</v>
      </c>
      <c r="J1519" s="166" t="s">
        <v>211</v>
      </c>
      <c r="K1519" s="168" t="s">
        <v>211</v>
      </c>
      <c r="L1519" s="166" t="s">
        <v>211</v>
      </c>
      <c r="M1519" s="168" t="s">
        <v>211</v>
      </c>
      <c r="N1519" s="166" t="s">
        <v>211</v>
      </c>
      <c r="O1519" s="168" t="s">
        <v>211</v>
      </c>
    </row>
    <row r="1520" spans="2:15" s="453" customFormat="1" ht="14" x14ac:dyDescent="0.2">
      <c r="B1520" s="309"/>
      <c r="C1520" s="606"/>
      <c r="D1520" s="606"/>
      <c r="E1520" s="606"/>
      <c r="F1520" s="606"/>
      <c r="G1520" s="606"/>
      <c r="H1520" s="294"/>
      <c r="I1520" s="169"/>
      <c r="J1520" s="167"/>
      <c r="K1520" s="169"/>
      <c r="L1520" s="167"/>
      <c r="M1520" s="169"/>
      <c r="N1520" s="167"/>
      <c r="O1520" s="169"/>
    </row>
    <row r="1521" spans="2:15" s="453" customFormat="1" ht="14" x14ac:dyDescent="0.2">
      <c r="B1521" s="309"/>
      <c r="C1521" s="569" t="s">
        <v>841</v>
      </c>
      <c r="D1521" s="569"/>
      <c r="E1521" s="569"/>
      <c r="F1521" s="569"/>
      <c r="G1521" s="569"/>
      <c r="H1521" s="296"/>
      <c r="I1521" s="168" t="s">
        <v>211</v>
      </c>
      <c r="J1521" s="166" t="s">
        <v>211</v>
      </c>
      <c r="K1521" s="168" t="s">
        <v>211</v>
      </c>
      <c r="L1521" s="166" t="s">
        <v>211</v>
      </c>
      <c r="M1521" s="168" t="s">
        <v>211</v>
      </c>
      <c r="N1521" s="166" t="s">
        <v>211</v>
      </c>
      <c r="O1521" s="168" t="s">
        <v>211</v>
      </c>
    </row>
    <row r="1522" spans="2:15" s="453" customFormat="1" ht="14" x14ac:dyDescent="0.2">
      <c r="B1522" s="309"/>
      <c r="C1522" s="310"/>
      <c r="F1522" s="743" t="s">
        <v>718</v>
      </c>
      <c r="G1522" s="743"/>
      <c r="H1522" s="744"/>
      <c r="I1522" s="169"/>
      <c r="J1522" s="167"/>
      <c r="K1522" s="169"/>
      <c r="L1522" s="167"/>
      <c r="M1522" s="169"/>
      <c r="N1522" s="167"/>
      <c r="O1522" s="169"/>
    </row>
    <row r="1523" spans="2:15" s="453" customFormat="1" ht="14" x14ac:dyDescent="0.2">
      <c r="B1523" s="318"/>
      <c r="C1523" s="319"/>
      <c r="D1523" s="303"/>
      <c r="E1523" s="303"/>
      <c r="F1523" s="745" t="s">
        <v>719</v>
      </c>
      <c r="G1523" s="745"/>
      <c r="H1523" s="746"/>
      <c r="I1523" s="169"/>
      <c r="J1523" s="167"/>
      <c r="K1523" s="169"/>
      <c r="L1523" s="167"/>
      <c r="M1523" s="169"/>
      <c r="N1523" s="167"/>
      <c r="O1523" s="169"/>
    </row>
    <row r="1524" spans="2:15" s="453" customFormat="1" ht="14" x14ac:dyDescent="0.2">
      <c r="B1524" s="327" t="s">
        <v>720</v>
      </c>
      <c r="C1524" s="568" t="s">
        <v>721</v>
      </c>
      <c r="D1524" s="568"/>
      <c r="E1524" s="568"/>
      <c r="F1524" s="568"/>
      <c r="G1524" s="568"/>
      <c r="H1524" s="292"/>
      <c r="I1524" s="168" t="s">
        <v>211</v>
      </c>
      <c r="J1524" s="166" t="s">
        <v>211</v>
      </c>
      <c r="K1524" s="168" t="s">
        <v>211</v>
      </c>
      <c r="L1524" s="166" t="s">
        <v>211</v>
      </c>
      <c r="M1524" s="168" t="s">
        <v>211</v>
      </c>
      <c r="N1524" s="166" t="s">
        <v>211</v>
      </c>
      <c r="O1524" s="168" t="s">
        <v>211</v>
      </c>
    </row>
    <row r="1525" spans="2:15" s="453" customFormat="1" ht="14" x14ac:dyDescent="0.2">
      <c r="B1525" s="328"/>
      <c r="C1525" s="606"/>
      <c r="D1525" s="606"/>
      <c r="E1525" s="606"/>
      <c r="F1525" s="606"/>
      <c r="G1525" s="606"/>
      <c r="H1525" s="294"/>
      <c r="I1525" s="169"/>
      <c r="J1525" s="167"/>
      <c r="K1525" s="169"/>
      <c r="L1525" s="167"/>
      <c r="M1525" s="169"/>
      <c r="N1525" s="167"/>
      <c r="O1525" s="169"/>
    </row>
    <row r="1526" spans="2:15" s="453" customFormat="1" ht="14" x14ac:dyDescent="0.2">
      <c r="B1526" s="328"/>
      <c r="C1526" s="606"/>
      <c r="D1526" s="606"/>
      <c r="E1526" s="606"/>
      <c r="F1526" s="606"/>
      <c r="G1526" s="606"/>
      <c r="H1526" s="294"/>
      <c r="I1526" s="169"/>
      <c r="J1526" s="167"/>
      <c r="K1526" s="169"/>
      <c r="L1526" s="167"/>
      <c r="M1526" s="169"/>
      <c r="N1526" s="167"/>
      <c r="O1526" s="169"/>
    </row>
    <row r="1527" spans="2:15" s="453" customFormat="1" ht="14" x14ac:dyDescent="0.2">
      <c r="B1527" s="309"/>
      <c r="C1527" s="606" t="s">
        <v>722</v>
      </c>
      <c r="D1527" s="606"/>
      <c r="E1527" s="606"/>
      <c r="F1527" s="606"/>
      <c r="G1527" s="606"/>
      <c r="H1527" s="296"/>
      <c r="I1527" s="168" t="s">
        <v>211</v>
      </c>
      <c r="J1527" s="166" t="s">
        <v>211</v>
      </c>
      <c r="K1527" s="168" t="s">
        <v>211</v>
      </c>
      <c r="L1527" s="166" t="s">
        <v>211</v>
      </c>
      <c r="M1527" s="168" t="s">
        <v>211</v>
      </c>
      <c r="N1527" s="166" t="s">
        <v>211</v>
      </c>
      <c r="O1527" s="168" t="s">
        <v>211</v>
      </c>
    </row>
    <row r="1528" spans="2:15" s="453" customFormat="1" ht="14" x14ac:dyDescent="0.2">
      <c r="B1528" s="318"/>
      <c r="C1528" s="639"/>
      <c r="D1528" s="639"/>
      <c r="E1528" s="639"/>
      <c r="F1528" s="639"/>
      <c r="G1528" s="639"/>
      <c r="H1528" s="298"/>
      <c r="I1528" s="169"/>
      <c r="J1528" s="167"/>
      <c r="K1528" s="169"/>
      <c r="L1528" s="167"/>
      <c r="M1528" s="169"/>
      <c r="N1528" s="167"/>
      <c r="O1528" s="169"/>
    </row>
    <row r="1529" spans="2:15" s="453" customFormat="1" ht="14" x14ac:dyDescent="0.2">
      <c r="B1529" s="327" t="s">
        <v>723</v>
      </c>
      <c r="C1529" s="568" t="s">
        <v>695</v>
      </c>
      <c r="D1529" s="568"/>
      <c r="E1529" s="568"/>
      <c r="F1529" s="568"/>
      <c r="G1529" s="568"/>
      <c r="H1529" s="292"/>
      <c r="I1529" s="168" t="s">
        <v>211</v>
      </c>
      <c r="J1529" s="166" t="s">
        <v>211</v>
      </c>
      <c r="K1529" s="168" t="s">
        <v>211</v>
      </c>
      <c r="L1529" s="166" t="s">
        <v>211</v>
      </c>
      <c r="M1529" s="168" t="s">
        <v>211</v>
      </c>
      <c r="N1529" s="166" t="s">
        <v>211</v>
      </c>
      <c r="O1529" s="168" t="s">
        <v>211</v>
      </c>
    </row>
    <row r="1530" spans="2:15" s="453" customFormat="1" ht="14" x14ac:dyDescent="0.2">
      <c r="B1530" s="320"/>
      <c r="C1530" s="606"/>
      <c r="D1530" s="606"/>
      <c r="E1530" s="606"/>
      <c r="F1530" s="606"/>
      <c r="G1530" s="606"/>
      <c r="H1530" s="294"/>
      <c r="I1530" s="169"/>
      <c r="J1530" s="167"/>
      <c r="K1530" s="169"/>
      <c r="L1530" s="167"/>
      <c r="M1530" s="169"/>
      <c r="N1530" s="167"/>
      <c r="O1530" s="169"/>
    </row>
    <row r="1531" spans="2:15" s="453" customFormat="1" ht="14" x14ac:dyDescent="0.2">
      <c r="B1531" s="309"/>
      <c r="C1531" s="569" t="s">
        <v>696</v>
      </c>
      <c r="D1531" s="569"/>
      <c r="E1531" s="569"/>
      <c r="F1531" s="569"/>
      <c r="G1531" s="569"/>
      <c r="H1531" s="296"/>
      <c r="I1531" s="168" t="s">
        <v>211</v>
      </c>
      <c r="J1531" s="166" t="s">
        <v>211</v>
      </c>
      <c r="K1531" s="168" t="s">
        <v>211</v>
      </c>
      <c r="L1531" s="166" t="s">
        <v>211</v>
      </c>
      <c r="M1531" s="168" t="s">
        <v>211</v>
      </c>
      <c r="N1531" s="166" t="s">
        <v>211</v>
      </c>
      <c r="O1531" s="168" t="s">
        <v>211</v>
      </c>
    </row>
    <row r="1532" spans="2:15" s="453" customFormat="1" ht="12.75" customHeight="1" x14ac:dyDescent="0.2">
      <c r="B1532" s="309"/>
      <c r="C1532" s="606" t="s">
        <v>697</v>
      </c>
      <c r="D1532" s="606"/>
      <c r="E1532" s="606"/>
      <c r="F1532" s="606"/>
      <c r="G1532" s="606"/>
      <c r="H1532" s="296"/>
      <c r="I1532" s="168" t="s">
        <v>211</v>
      </c>
      <c r="J1532" s="166" t="s">
        <v>211</v>
      </c>
      <c r="K1532" s="168" t="s">
        <v>211</v>
      </c>
      <c r="L1532" s="166" t="s">
        <v>211</v>
      </c>
      <c r="M1532" s="168" t="s">
        <v>211</v>
      </c>
      <c r="N1532" s="166" t="s">
        <v>211</v>
      </c>
      <c r="O1532" s="168" t="s">
        <v>211</v>
      </c>
    </row>
    <row r="1533" spans="2:15" s="453" customFormat="1" ht="14" x14ac:dyDescent="0.2">
      <c r="B1533" s="309"/>
      <c r="C1533" s="606" t="s">
        <v>724</v>
      </c>
      <c r="D1533" s="606"/>
      <c r="E1533" s="606"/>
      <c r="F1533" s="606"/>
      <c r="G1533" s="606"/>
      <c r="H1533" s="296"/>
      <c r="I1533" s="168" t="s">
        <v>211</v>
      </c>
      <c r="J1533" s="166" t="s">
        <v>211</v>
      </c>
      <c r="K1533" s="168" t="s">
        <v>211</v>
      </c>
      <c r="L1533" s="166" t="s">
        <v>211</v>
      </c>
      <c r="M1533" s="168" t="s">
        <v>211</v>
      </c>
      <c r="N1533" s="166" t="s">
        <v>211</v>
      </c>
      <c r="O1533" s="168" t="s">
        <v>211</v>
      </c>
    </row>
    <row r="1534" spans="2:15" s="453" customFormat="1" ht="14" x14ac:dyDescent="0.2">
      <c r="B1534" s="309"/>
      <c r="C1534" s="606"/>
      <c r="D1534" s="606"/>
      <c r="E1534" s="606"/>
      <c r="F1534" s="606"/>
      <c r="G1534" s="606"/>
      <c r="H1534" s="294"/>
      <c r="I1534" s="169"/>
      <c r="J1534" s="167"/>
      <c r="K1534" s="169"/>
      <c r="L1534" s="167"/>
      <c r="M1534" s="169"/>
      <c r="N1534" s="167"/>
      <c r="O1534" s="169"/>
    </row>
    <row r="1535" spans="2:15" s="453" customFormat="1" ht="14" x14ac:dyDescent="0.2">
      <c r="B1535" s="309"/>
      <c r="C1535" s="569" t="s">
        <v>1933</v>
      </c>
      <c r="D1535" s="569"/>
      <c r="E1535" s="569"/>
      <c r="F1535" s="569"/>
      <c r="G1535" s="569"/>
      <c r="H1535" s="296"/>
      <c r="I1535" s="168" t="s">
        <v>211</v>
      </c>
      <c r="J1535" s="166" t="s">
        <v>211</v>
      </c>
      <c r="K1535" s="168" t="s">
        <v>211</v>
      </c>
      <c r="L1535" s="166" t="s">
        <v>211</v>
      </c>
      <c r="M1535" s="168" t="s">
        <v>211</v>
      </c>
      <c r="N1535" s="166" t="s">
        <v>211</v>
      </c>
      <c r="O1535" s="168" t="s">
        <v>211</v>
      </c>
    </row>
    <row r="1536" spans="2:15" s="453" customFormat="1" ht="14" x14ac:dyDescent="0.2">
      <c r="B1536" s="309"/>
      <c r="C1536" s="606" t="s">
        <v>842</v>
      </c>
      <c r="D1536" s="606"/>
      <c r="E1536" s="606"/>
      <c r="F1536" s="606"/>
      <c r="G1536" s="606"/>
      <c r="H1536" s="296"/>
      <c r="I1536" s="168" t="s">
        <v>211</v>
      </c>
      <c r="J1536" s="166" t="s">
        <v>211</v>
      </c>
      <c r="K1536" s="168" t="s">
        <v>211</v>
      </c>
      <c r="L1536" s="166" t="s">
        <v>211</v>
      </c>
      <c r="M1536" s="168" t="s">
        <v>211</v>
      </c>
      <c r="N1536" s="166" t="s">
        <v>211</v>
      </c>
      <c r="O1536" s="168" t="s">
        <v>211</v>
      </c>
    </row>
    <row r="1537" spans="2:15" s="453" customFormat="1" ht="14" x14ac:dyDescent="0.2">
      <c r="B1537" s="309"/>
      <c r="C1537" s="606"/>
      <c r="D1537" s="606"/>
      <c r="E1537" s="606"/>
      <c r="F1537" s="606"/>
      <c r="G1537" s="606"/>
      <c r="H1537" s="294"/>
      <c r="I1537" s="169"/>
      <c r="J1537" s="167"/>
      <c r="K1537" s="169"/>
      <c r="L1537" s="167"/>
      <c r="M1537" s="169"/>
      <c r="N1537" s="167"/>
      <c r="O1537" s="169"/>
    </row>
    <row r="1538" spans="2:15" s="453" customFormat="1" ht="14" x14ac:dyDescent="0.2">
      <c r="B1538" s="309"/>
      <c r="C1538" s="635" t="s">
        <v>700</v>
      </c>
      <c r="D1538" s="635"/>
      <c r="E1538" s="635"/>
      <c r="F1538" s="635"/>
      <c r="G1538" s="635"/>
      <c r="H1538" s="296"/>
      <c r="I1538" s="168" t="s">
        <v>211</v>
      </c>
      <c r="J1538" s="166" t="s">
        <v>211</v>
      </c>
      <c r="K1538" s="168" t="s">
        <v>211</v>
      </c>
      <c r="L1538" s="166" t="s">
        <v>211</v>
      </c>
      <c r="M1538" s="168" t="s">
        <v>211</v>
      </c>
      <c r="N1538" s="166" t="s">
        <v>211</v>
      </c>
      <c r="O1538" s="168" t="s">
        <v>211</v>
      </c>
    </row>
    <row r="1539" spans="2:15" s="453" customFormat="1" ht="14" x14ac:dyDescent="0.2">
      <c r="B1539" s="309"/>
      <c r="C1539" s="635"/>
      <c r="D1539" s="635"/>
      <c r="E1539" s="635"/>
      <c r="F1539" s="635"/>
      <c r="G1539" s="635"/>
      <c r="H1539" s="294"/>
      <c r="I1539" s="169"/>
      <c r="J1539" s="167"/>
      <c r="K1539" s="169"/>
      <c r="L1539" s="167"/>
      <c r="M1539" s="169"/>
      <c r="N1539" s="167"/>
      <c r="O1539" s="169"/>
    </row>
    <row r="1540" spans="2:15" s="453" customFormat="1" ht="14" x14ac:dyDescent="0.2">
      <c r="B1540" s="318"/>
      <c r="C1540" s="758"/>
      <c r="D1540" s="758"/>
      <c r="E1540" s="758"/>
      <c r="F1540" s="758"/>
      <c r="G1540" s="758"/>
      <c r="H1540" s="298"/>
      <c r="I1540" s="169"/>
      <c r="J1540" s="167"/>
      <c r="K1540" s="169"/>
      <c r="L1540" s="167"/>
      <c r="M1540" s="169"/>
      <c r="N1540" s="167"/>
      <c r="O1540" s="169"/>
    </row>
    <row r="1541" spans="2:15" s="453" customFormat="1" ht="14" x14ac:dyDescent="0.2">
      <c r="B1541" s="112"/>
      <c r="I1541" s="135"/>
      <c r="J1541" s="105"/>
      <c r="K1541" s="135"/>
      <c r="L1541" s="105"/>
      <c r="M1541" s="135"/>
      <c r="N1541" s="105"/>
      <c r="O1541" s="135"/>
    </row>
    <row r="1542" spans="2:15" s="453" customFormat="1" ht="14" x14ac:dyDescent="0.2">
      <c r="B1542" s="352" t="s">
        <v>725</v>
      </c>
      <c r="C1542" s="353"/>
      <c r="D1542" s="354"/>
      <c r="E1542" s="136"/>
      <c r="F1542" s="136"/>
      <c r="G1542" s="136"/>
      <c r="H1542" s="136"/>
      <c r="I1542" s="136"/>
      <c r="J1542" s="137"/>
      <c r="K1542" s="135"/>
      <c r="L1542" s="105"/>
      <c r="M1542" s="135"/>
      <c r="N1542" s="105"/>
      <c r="O1542" s="135"/>
    </row>
    <row r="1543" spans="2:15" s="453" customFormat="1" ht="14" x14ac:dyDescent="0.2">
      <c r="B1543" s="316">
        <v>1</v>
      </c>
      <c r="C1543" s="569" t="s">
        <v>726</v>
      </c>
      <c r="D1543" s="569"/>
      <c r="E1543" s="569"/>
      <c r="F1543" s="569"/>
      <c r="G1543" s="569"/>
      <c r="H1543" s="296"/>
      <c r="I1543" s="168" t="s">
        <v>211</v>
      </c>
      <c r="J1543" s="166" t="s">
        <v>211</v>
      </c>
      <c r="K1543" s="168" t="s">
        <v>211</v>
      </c>
      <c r="L1543" s="166" t="s">
        <v>211</v>
      </c>
      <c r="M1543" s="168" t="s">
        <v>211</v>
      </c>
      <c r="N1543" s="166" t="s">
        <v>211</v>
      </c>
      <c r="O1543" s="168" t="s">
        <v>211</v>
      </c>
    </row>
    <row r="1544" spans="2:15" s="453" customFormat="1" ht="14" x14ac:dyDescent="0.2">
      <c r="B1544" s="309"/>
      <c r="C1544" s="310"/>
      <c r="F1544" s="622" t="s">
        <v>727</v>
      </c>
      <c r="G1544" s="622"/>
      <c r="H1544" s="736"/>
      <c r="I1544" s="169"/>
      <c r="J1544" s="167"/>
      <c r="K1544" s="169"/>
      <c r="L1544" s="167"/>
      <c r="M1544" s="169"/>
      <c r="N1544" s="167"/>
      <c r="O1544" s="169"/>
    </row>
    <row r="1545" spans="2:15" s="453" customFormat="1" ht="14" x14ac:dyDescent="0.2">
      <c r="B1545" s="309"/>
      <c r="C1545" s="569" t="s">
        <v>843</v>
      </c>
      <c r="D1545" s="569"/>
      <c r="E1545" s="569"/>
      <c r="F1545" s="569"/>
      <c r="G1545" s="569"/>
      <c r="H1545" s="296"/>
      <c r="I1545" s="168" t="s">
        <v>211</v>
      </c>
      <c r="J1545" s="166" t="s">
        <v>211</v>
      </c>
      <c r="K1545" s="168" t="s">
        <v>211</v>
      </c>
      <c r="L1545" s="166" t="s">
        <v>211</v>
      </c>
      <c r="M1545" s="168" t="s">
        <v>211</v>
      </c>
      <c r="N1545" s="166" t="s">
        <v>211</v>
      </c>
      <c r="O1545" s="168" t="s">
        <v>211</v>
      </c>
    </row>
    <row r="1546" spans="2:15" s="453" customFormat="1" ht="14" x14ac:dyDescent="0.2">
      <c r="B1546" s="309"/>
      <c r="C1546" s="569" t="s">
        <v>728</v>
      </c>
      <c r="D1546" s="569"/>
      <c r="E1546" s="569"/>
      <c r="F1546" s="569"/>
      <c r="G1546" s="569"/>
      <c r="H1546" s="296"/>
      <c r="I1546" s="168" t="s">
        <v>211</v>
      </c>
      <c r="J1546" s="166" t="s">
        <v>211</v>
      </c>
      <c r="K1546" s="168" t="s">
        <v>211</v>
      </c>
      <c r="L1546" s="166" t="s">
        <v>211</v>
      </c>
      <c r="M1546" s="168" t="s">
        <v>211</v>
      </c>
      <c r="N1546" s="166" t="s">
        <v>211</v>
      </c>
      <c r="O1546" s="168" t="s">
        <v>211</v>
      </c>
    </row>
    <row r="1547" spans="2:15" s="453" customFormat="1" ht="14" x14ac:dyDescent="0.2">
      <c r="B1547" s="318"/>
      <c r="C1547" s="640" t="s">
        <v>729</v>
      </c>
      <c r="D1547" s="640"/>
      <c r="E1547" s="640"/>
      <c r="F1547" s="640"/>
      <c r="G1547" s="640"/>
      <c r="H1547" s="341"/>
      <c r="I1547" s="168" t="s">
        <v>211</v>
      </c>
      <c r="J1547" s="166" t="s">
        <v>211</v>
      </c>
      <c r="K1547" s="168" t="s">
        <v>211</v>
      </c>
      <c r="L1547" s="166" t="s">
        <v>211</v>
      </c>
      <c r="M1547" s="168" t="s">
        <v>211</v>
      </c>
      <c r="N1547" s="166" t="s">
        <v>211</v>
      </c>
      <c r="O1547" s="168" t="s">
        <v>211</v>
      </c>
    </row>
    <row r="1548" spans="2:15" s="453" customFormat="1" ht="14" x14ac:dyDescent="0.2">
      <c r="B1548" s="311">
        <v>2</v>
      </c>
      <c r="C1548" s="738" t="s">
        <v>730</v>
      </c>
      <c r="D1548" s="738"/>
      <c r="E1548" s="738"/>
      <c r="F1548" s="738"/>
      <c r="G1548" s="738"/>
      <c r="H1548" s="292"/>
      <c r="I1548" s="168" t="s">
        <v>211</v>
      </c>
      <c r="J1548" s="166" t="s">
        <v>211</v>
      </c>
      <c r="K1548" s="168" t="s">
        <v>211</v>
      </c>
      <c r="L1548" s="166" t="s">
        <v>211</v>
      </c>
      <c r="M1548" s="168" t="s">
        <v>211</v>
      </c>
      <c r="N1548" s="166" t="s">
        <v>211</v>
      </c>
      <c r="O1548" s="168" t="s">
        <v>211</v>
      </c>
    </row>
    <row r="1549" spans="2:15" s="453" customFormat="1" ht="14" x14ac:dyDescent="0.2">
      <c r="B1549" s="309"/>
      <c r="C1549" s="606" t="s">
        <v>731</v>
      </c>
      <c r="D1549" s="606"/>
      <c r="E1549" s="606"/>
      <c r="F1549" s="606"/>
      <c r="G1549" s="606"/>
      <c r="H1549" s="296"/>
      <c r="I1549" s="168" t="s">
        <v>211</v>
      </c>
      <c r="J1549" s="166" t="s">
        <v>211</v>
      </c>
      <c r="K1549" s="168" t="s">
        <v>211</v>
      </c>
      <c r="L1549" s="166" t="s">
        <v>211</v>
      </c>
      <c r="M1549" s="168" t="s">
        <v>211</v>
      </c>
      <c r="N1549" s="166" t="s">
        <v>211</v>
      </c>
      <c r="O1549" s="168" t="s">
        <v>211</v>
      </c>
    </row>
    <row r="1550" spans="2:15" s="453" customFormat="1" ht="14" x14ac:dyDescent="0.2">
      <c r="B1550" s="309"/>
      <c r="C1550" s="606"/>
      <c r="D1550" s="606"/>
      <c r="E1550" s="606"/>
      <c r="F1550" s="606"/>
      <c r="G1550" s="606"/>
      <c r="H1550" s="294"/>
      <c r="I1550" s="169"/>
      <c r="J1550" s="167"/>
      <c r="K1550" s="169"/>
      <c r="L1550" s="167"/>
      <c r="M1550" s="169"/>
      <c r="N1550" s="167"/>
      <c r="O1550" s="169"/>
    </row>
    <row r="1551" spans="2:15" s="453" customFormat="1" ht="14" x14ac:dyDescent="0.2">
      <c r="B1551" s="309"/>
      <c r="C1551" s="761" t="s">
        <v>732</v>
      </c>
      <c r="D1551" s="761"/>
      <c r="E1551" s="761"/>
      <c r="F1551" s="761"/>
      <c r="G1551" s="761"/>
      <c r="H1551" s="296"/>
      <c r="I1551" s="168" t="s">
        <v>211</v>
      </c>
      <c r="J1551" s="166" t="s">
        <v>211</v>
      </c>
      <c r="K1551" s="168" t="s">
        <v>211</v>
      </c>
      <c r="L1551" s="166" t="s">
        <v>211</v>
      </c>
      <c r="M1551" s="168" t="s">
        <v>211</v>
      </c>
      <c r="N1551" s="166" t="s">
        <v>211</v>
      </c>
      <c r="O1551" s="168" t="s">
        <v>211</v>
      </c>
    </row>
    <row r="1552" spans="2:15" s="453" customFormat="1" ht="14" x14ac:dyDescent="0.2">
      <c r="B1552" s="309"/>
      <c r="C1552" s="569" t="s">
        <v>844</v>
      </c>
      <c r="D1552" s="569"/>
      <c r="E1552" s="569"/>
      <c r="F1552" s="569"/>
      <c r="G1552" s="569"/>
      <c r="H1552" s="296"/>
      <c r="I1552" s="168" t="s">
        <v>211</v>
      </c>
      <c r="J1552" s="166" t="s">
        <v>211</v>
      </c>
      <c r="K1552" s="168" t="s">
        <v>211</v>
      </c>
      <c r="L1552" s="166" t="s">
        <v>211</v>
      </c>
      <c r="M1552" s="168" t="s">
        <v>211</v>
      </c>
      <c r="N1552" s="166" t="s">
        <v>211</v>
      </c>
      <c r="O1552" s="168" t="s">
        <v>211</v>
      </c>
    </row>
    <row r="1553" spans="2:15" s="453" customFormat="1" ht="14" x14ac:dyDescent="0.2">
      <c r="B1553" s="309"/>
      <c r="C1553" s="310"/>
      <c r="F1553" s="622" t="s">
        <v>733</v>
      </c>
      <c r="G1553" s="622"/>
      <c r="H1553" s="736"/>
      <c r="I1553" s="169"/>
      <c r="J1553" s="167"/>
      <c r="K1553" s="169"/>
      <c r="L1553" s="167"/>
      <c r="M1553" s="169"/>
      <c r="N1553" s="167"/>
      <c r="O1553" s="169"/>
    </row>
    <row r="1554" spans="2:15" s="453" customFormat="1" ht="14" x14ac:dyDescent="0.2">
      <c r="B1554" s="309"/>
      <c r="C1554" s="310"/>
      <c r="E1554" s="631" t="s">
        <v>734</v>
      </c>
      <c r="F1554" s="631"/>
      <c r="G1554" s="631"/>
      <c r="H1554" s="632"/>
      <c r="I1554" s="169"/>
      <c r="J1554" s="167"/>
      <c r="K1554" s="169"/>
      <c r="L1554" s="167"/>
      <c r="M1554" s="169"/>
      <c r="N1554" s="167"/>
      <c r="O1554" s="169"/>
    </row>
    <row r="1555" spans="2:15" s="453" customFormat="1" ht="14" x14ac:dyDescent="0.2">
      <c r="B1555" s="309"/>
      <c r="C1555" s="310"/>
      <c r="F1555" s="743" t="s">
        <v>735</v>
      </c>
      <c r="G1555" s="743"/>
      <c r="H1555" s="744"/>
      <c r="I1555" s="169"/>
      <c r="J1555" s="167"/>
      <c r="K1555" s="169"/>
      <c r="L1555" s="167"/>
      <c r="M1555" s="169"/>
      <c r="N1555" s="167"/>
      <c r="O1555" s="169"/>
    </row>
    <row r="1556" spans="2:15" s="453" customFormat="1" ht="14" x14ac:dyDescent="0.2">
      <c r="B1556" s="311">
        <v>3</v>
      </c>
      <c r="C1556" s="355"/>
      <c r="D1556" s="142"/>
      <c r="E1556" s="142"/>
      <c r="F1556" s="759" t="s">
        <v>736</v>
      </c>
      <c r="G1556" s="759"/>
      <c r="H1556" s="760"/>
      <c r="I1556" s="169"/>
      <c r="J1556" s="167"/>
      <c r="K1556" s="169"/>
      <c r="L1556" s="167"/>
      <c r="M1556" s="169"/>
      <c r="N1556" s="167"/>
      <c r="O1556" s="169"/>
    </row>
    <row r="1557" spans="2:15" s="453" customFormat="1" ht="14" x14ac:dyDescent="0.2">
      <c r="B1557" s="309"/>
      <c r="C1557" s="310"/>
      <c r="E1557" s="631" t="s">
        <v>737</v>
      </c>
      <c r="F1557" s="631"/>
      <c r="G1557" s="631"/>
      <c r="H1557" s="632"/>
      <c r="I1557" s="169"/>
      <c r="J1557" s="167"/>
      <c r="K1557" s="169"/>
      <c r="L1557" s="167"/>
      <c r="M1557" s="169"/>
      <c r="N1557" s="167"/>
      <c r="O1557" s="169"/>
    </row>
    <row r="1558" spans="2:15" s="453" customFormat="1" ht="14" x14ac:dyDescent="0.2">
      <c r="B1558" s="309"/>
      <c r="C1558" s="635" t="s">
        <v>738</v>
      </c>
      <c r="D1558" s="635"/>
      <c r="E1558" s="635"/>
      <c r="F1558" s="635"/>
      <c r="G1558" s="635"/>
      <c r="H1558" s="296"/>
      <c r="I1558" s="168" t="s">
        <v>211</v>
      </c>
      <c r="J1558" s="166" t="s">
        <v>211</v>
      </c>
      <c r="K1558" s="168" t="s">
        <v>211</v>
      </c>
      <c r="L1558" s="166" t="s">
        <v>211</v>
      </c>
      <c r="M1558" s="168" t="s">
        <v>211</v>
      </c>
      <c r="N1558" s="166" t="s">
        <v>211</v>
      </c>
      <c r="O1558" s="168" t="s">
        <v>211</v>
      </c>
    </row>
    <row r="1559" spans="2:15" s="453" customFormat="1" ht="14" x14ac:dyDescent="0.2">
      <c r="B1559" s="309"/>
      <c r="C1559" s="635"/>
      <c r="D1559" s="635"/>
      <c r="E1559" s="635"/>
      <c r="F1559" s="635"/>
      <c r="G1559" s="635"/>
      <c r="H1559" s="294"/>
      <c r="I1559" s="169"/>
      <c r="J1559" s="167"/>
      <c r="K1559" s="169"/>
      <c r="L1559" s="167"/>
      <c r="M1559" s="169"/>
      <c r="N1559" s="167"/>
      <c r="O1559" s="169"/>
    </row>
    <row r="1560" spans="2:15" s="453" customFormat="1" ht="14" x14ac:dyDescent="0.2">
      <c r="B1560" s="309"/>
      <c r="C1560" s="635"/>
      <c r="D1560" s="635"/>
      <c r="E1560" s="635"/>
      <c r="F1560" s="635"/>
      <c r="G1560" s="635"/>
      <c r="H1560" s="294"/>
      <c r="I1560" s="169"/>
      <c r="J1560" s="167"/>
      <c r="K1560" s="169"/>
      <c r="L1560" s="167"/>
      <c r="M1560" s="169"/>
      <c r="N1560" s="167"/>
      <c r="O1560" s="169"/>
    </row>
    <row r="1561" spans="2:15" s="453" customFormat="1" ht="14" x14ac:dyDescent="0.2">
      <c r="B1561" s="309"/>
      <c r="C1561" s="569" t="s">
        <v>1936</v>
      </c>
      <c r="D1561" s="569"/>
      <c r="E1561" s="569"/>
      <c r="F1561" s="569"/>
      <c r="G1561" s="569"/>
      <c r="H1561" s="296"/>
      <c r="I1561" s="168" t="s">
        <v>211</v>
      </c>
      <c r="J1561" s="166" t="s">
        <v>211</v>
      </c>
      <c r="K1561" s="168" t="s">
        <v>211</v>
      </c>
      <c r="L1561" s="166" t="s">
        <v>211</v>
      </c>
      <c r="M1561" s="168" t="s">
        <v>211</v>
      </c>
      <c r="N1561" s="166" t="s">
        <v>211</v>
      </c>
      <c r="O1561" s="168" t="s">
        <v>211</v>
      </c>
    </row>
    <row r="1562" spans="2:15" s="453" customFormat="1" ht="14" x14ac:dyDescent="0.2">
      <c r="B1562" s="309"/>
      <c r="C1562" s="569" t="s">
        <v>739</v>
      </c>
      <c r="D1562" s="569"/>
      <c r="E1562" s="569"/>
      <c r="F1562" s="569"/>
      <c r="G1562" s="569"/>
      <c r="H1562" s="296"/>
      <c r="I1562" s="168" t="s">
        <v>211</v>
      </c>
      <c r="J1562" s="166" t="s">
        <v>211</v>
      </c>
      <c r="K1562" s="168" t="s">
        <v>211</v>
      </c>
      <c r="L1562" s="166" t="s">
        <v>211</v>
      </c>
      <c r="M1562" s="168" t="s">
        <v>211</v>
      </c>
      <c r="N1562" s="166" t="s">
        <v>211</v>
      </c>
      <c r="O1562" s="168" t="s">
        <v>211</v>
      </c>
    </row>
    <row r="1563" spans="2:15" s="453" customFormat="1" ht="14" x14ac:dyDescent="0.2">
      <c r="B1563" s="309"/>
      <c r="C1563" s="310"/>
      <c r="F1563" s="743" t="s">
        <v>740</v>
      </c>
      <c r="G1563" s="743"/>
      <c r="H1563" s="744"/>
      <c r="I1563" s="169"/>
      <c r="J1563" s="167"/>
      <c r="K1563" s="169"/>
      <c r="L1563" s="167"/>
      <c r="M1563" s="169"/>
      <c r="N1563" s="167"/>
      <c r="O1563" s="169"/>
    </row>
    <row r="1564" spans="2:15" s="453" customFormat="1" ht="14" x14ac:dyDescent="0.2">
      <c r="B1564" s="309"/>
      <c r="C1564" s="310"/>
      <c r="F1564" s="743" t="s">
        <v>741</v>
      </c>
      <c r="G1564" s="743"/>
      <c r="H1564" s="744"/>
      <c r="I1564" s="169"/>
      <c r="J1564" s="167"/>
      <c r="K1564" s="169"/>
      <c r="L1564" s="167"/>
      <c r="M1564" s="169"/>
      <c r="N1564" s="167"/>
      <c r="O1564" s="169"/>
    </row>
    <row r="1565" spans="2:15" s="453" customFormat="1" ht="14" x14ac:dyDescent="0.2">
      <c r="B1565" s="318"/>
      <c r="C1565" s="319"/>
      <c r="D1565" s="303"/>
      <c r="E1565" s="303"/>
      <c r="F1565" s="745" t="s">
        <v>742</v>
      </c>
      <c r="G1565" s="745"/>
      <c r="H1565" s="746"/>
      <c r="I1565" s="169"/>
      <c r="J1565" s="167"/>
      <c r="K1565" s="169"/>
      <c r="L1565" s="167"/>
      <c r="M1565" s="169"/>
      <c r="N1565" s="167"/>
      <c r="O1565" s="169"/>
    </row>
    <row r="1566" spans="2:15" s="453" customFormat="1" ht="14" x14ac:dyDescent="0.2">
      <c r="B1566" s="311">
        <v>4</v>
      </c>
      <c r="C1566" s="738" t="s">
        <v>743</v>
      </c>
      <c r="D1566" s="738"/>
      <c r="E1566" s="738"/>
      <c r="F1566" s="738"/>
      <c r="G1566" s="738"/>
      <c r="H1566" s="292"/>
      <c r="I1566" s="168" t="s">
        <v>211</v>
      </c>
      <c r="J1566" s="166" t="s">
        <v>211</v>
      </c>
      <c r="K1566" s="168" t="s">
        <v>211</v>
      </c>
      <c r="L1566" s="166" t="s">
        <v>211</v>
      </c>
      <c r="M1566" s="168" t="s">
        <v>211</v>
      </c>
      <c r="N1566" s="166" t="s">
        <v>211</v>
      </c>
      <c r="O1566" s="168" t="s">
        <v>211</v>
      </c>
    </row>
    <row r="1567" spans="2:15" s="453" customFormat="1" ht="14" x14ac:dyDescent="0.2">
      <c r="B1567" s="309"/>
      <c r="C1567" s="631" t="s">
        <v>1540</v>
      </c>
      <c r="D1567" s="631"/>
      <c r="E1567" s="604" t="s">
        <v>1541</v>
      </c>
      <c r="F1567" s="604"/>
      <c r="G1567" s="604"/>
      <c r="H1567" s="294"/>
      <c r="I1567" s="169"/>
      <c r="J1567" s="167"/>
      <c r="K1567" s="169"/>
      <c r="L1567" s="167"/>
      <c r="M1567" s="169"/>
      <c r="N1567" s="167"/>
      <c r="O1567" s="169"/>
    </row>
    <row r="1568" spans="2:15" s="453" customFormat="1" ht="14" x14ac:dyDescent="0.2">
      <c r="B1568" s="309"/>
      <c r="C1568" s="761" t="s">
        <v>744</v>
      </c>
      <c r="D1568" s="761"/>
      <c r="E1568" s="761"/>
      <c r="F1568" s="761"/>
      <c r="G1568" s="761"/>
      <c r="H1568" s="296"/>
      <c r="I1568" s="168" t="s">
        <v>211</v>
      </c>
      <c r="J1568" s="166" t="s">
        <v>211</v>
      </c>
      <c r="K1568" s="168" t="s">
        <v>211</v>
      </c>
      <c r="L1568" s="166" t="s">
        <v>211</v>
      </c>
      <c r="M1568" s="168" t="s">
        <v>211</v>
      </c>
      <c r="N1568" s="166" t="s">
        <v>211</v>
      </c>
      <c r="O1568" s="168" t="s">
        <v>211</v>
      </c>
    </row>
    <row r="1569" spans="2:15" s="453" customFormat="1" ht="14" x14ac:dyDescent="0.2">
      <c r="B1569" s="309"/>
      <c r="C1569" s="761"/>
      <c r="D1569" s="761"/>
      <c r="E1569" s="761"/>
      <c r="F1569" s="761"/>
      <c r="G1569" s="761"/>
      <c r="H1569" s="294"/>
      <c r="I1569" s="169"/>
      <c r="J1569" s="167"/>
      <c r="K1569" s="169"/>
      <c r="L1569" s="167"/>
      <c r="M1569" s="169"/>
      <c r="N1569" s="167"/>
      <c r="O1569" s="169"/>
    </row>
    <row r="1570" spans="2:15" s="453" customFormat="1" ht="14" x14ac:dyDescent="0.2">
      <c r="B1570" s="309"/>
      <c r="C1570" s="761" t="s">
        <v>745</v>
      </c>
      <c r="D1570" s="761"/>
      <c r="E1570" s="761"/>
      <c r="F1570" s="761"/>
      <c r="G1570" s="761"/>
      <c r="H1570" s="296"/>
      <c r="I1570" s="168" t="s">
        <v>211</v>
      </c>
      <c r="J1570" s="166" t="s">
        <v>211</v>
      </c>
      <c r="K1570" s="168" t="s">
        <v>211</v>
      </c>
      <c r="L1570" s="166" t="s">
        <v>211</v>
      </c>
      <c r="M1570" s="168" t="s">
        <v>211</v>
      </c>
      <c r="N1570" s="166" t="s">
        <v>211</v>
      </c>
      <c r="O1570" s="168" t="s">
        <v>211</v>
      </c>
    </row>
    <row r="1571" spans="2:15" s="453" customFormat="1" ht="14" x14ac:dyDescent="0.2">
      <c r="B1571" s="309"/>
      <c r="C1571" s="761"/>
      <c r="D1571" s="761"/>
      <c r="E1571" s="761"/>
      <c r="F1571" s="761"/>
      <c r="G1571" s="761"/>
      <c r="H1571" s="294"/>
      <c r="I1571" s="169"/>
      <c r="J1571" s="167"/>
      <c r="K1571" s="169"/>
      <c r="L1571" s="167"/>
      <c r="M1571" s="169"/>
      <c r="N1571" s="167"/>
      <c r="O1571" s="169"/>
    </row>
    <row r="1572" spans="2:15" s="453" customFormat="1" ht="14" x14ac:dyDescent="0.2">
      <c r="B1572" s="309"/>
      <c r="C1572" s="761"/>
      <c r="D1572" s="761"/>
      <c r="E1572" s="761"/>
      <c r="F1572" s="761"/>
      <c r="G1572" s="761"/>
      <c r="H1572" s="294"/>
      <c r="I1572" s="169"/>
      <c r="J1572" s="167"/>
      <c r="K1572" s="169"/>
      <c r="L1572" s="167"/>
      <c r="M1572" s="169"/>
      <c r="N1572" s="167"/>
      <c r="O1572" s="169"/>
    </row>
    <row r="1573" spans="2:15" s="453" customFormat="1" ht="14" x14ac:dyDescent="0.2">
      <c r="B1573" s="309"/>
      <c r="C1573" s="569" t="s">
        <v>845</v>
      </c>
      <c r="D1573" s="569"/>
      <c r="E1573" s="569"/>
      <c r="F1573" s="569"/>
      <c r="G1573" s="569"/>
      <c r="H1573" s="296"/>
      <c r="I1573" s="168" t="s">
        <v>211</v>
      </c>
      <c r="J1573" s="166" t="s">
        <v>211</v>
      </c>
      <c r="K1573" s="168" t="s">
        <v>211</v>
      </c>
      <c r="L1573" s="166" t="s">
        <v>211</v>
      </c>
      <c r="M1573" s="168" t="s">
        <v>211</v>
      </c>
      <c r="N1573" s="166" t="s">
        <v>211</v>
      </c>
      <c r="O1573" s="168" t="s">
        <v>211</v>
      </c>
    </row>
    <row r="1574" spans="2:15" s="453" customFormat="1" ht="14" x14ac:dyDescent="0.2">
      <c r="B1574" s="309"/>
      <c r="C1574" s="310"/>
      <c r="F1574" s="622" t="s">
        <v>746</v>
      </c>
      <c r="G1574" s="622"/>
      <c r="H1574" s="736"/>
      <c r="I1574" s="169"/>
      <c r="J1574" s="167"/>
      <c r="K1574" s="169"/>
      <c r="L1574" s="167"/>
      <c r="M1574" s="169"/>
      <c r="N1574" s="167"/>
      <c r="O1574" s="169"/>
    </row>
    <row r="1575" spans="2:15" s="453" customFormat="1" ht="14" x14ac:dyDescent="0.2">
      <c r="B1575" s="309"/>
      <c r="C1575" s="310"/>
      <c r="F1575" s="631" t="s">
        <v>747</v>
      </c>
      <c r="G1575" s="631"/>
      <c r="H1575" s="632"/>
      <c r="I1575" s="169"/>
      <c r="J1575" s="167"/>
      <c r="K1575" s="169"/>
      <c r="L1575" s="167"/>
      <c r="M1575" s="169"/>
      <c r="N1575" s="167"/>
      <c r="O1575" s="169"/>
    </row>
    <row r="1576" spans="2:15" s="453" customFormat="1" ht="14" x14ac:dyDescent="0.2">
      <c r="B1576" s="309"/>
      <c r="C1576" s="310"/>
      <c r="F1576" s="743" t="s">
        <v>851</v>
      </c>
      <c r="G1576" s="743"/>
      <c r="H1576" s="744"/>
      <c r="I1576" s="169"/>
      <c r="J1576" s="167"/>
      <c r="K1576" s="169"/>
      <c r="L1576" s="167"/>
      <c r="M1576" s="169"/>
      <c r="N1576" s="167"/>
      <c r="O1576" s="169"/>
    </row>
    <row r="1577" spans="2:15" s="453" customFormat="1" ht="14" x14ac:dyDescent="0.2">
      <c r="B1577" s="318"/>
      <c r="C1577" s="319"/>
      <c r="D1577" s="303"/>
      <c r="E1577" s="303"/>
      <c r="F1577" s="762" t="s">
        <v>748</v>
      </c>
      <c r="G1577" s="762"/>
      <c r="H1577" s="763"/>
      <c r="I1577" s="169"/>
      <c r="J1577" s="167"/>
      <c r="K1577" s="169"/>
      <c r="L1577" s="167"/>
      <c r="M1577" s="169"/>
      <c r="N1577" s="167"/>
      <c r="O1577" s="169"/>
    </row>
    <row r="1578" spans="2:15" s="453" customFormat="1" ht="14" x14ac:dyDescent="0.2">
      <c r="B1578" s="311">
        <v>5</v>
      </c>
      <c r="C1578" s="764" t="s">
        <v>749</v>
      </c>
      <c r="D1578" s="764"/>
      <c r="E1578" s="764"/>
      <c r="F1578" s="764"/>
      <c r="G1578" s="764"/>
      <c r="H1578" s="292"/>
      <c r="I1578" s="168" t="s">
        <v>211</v>
      </c>
      <c r="J1578" s="166" t="s">
        <v>211</v>
      </c>
      <c r="K1578" s="168" t="s">
        <v>211</v>
      </c>
      <c r="L1578" s="166" t="s">
        <v>211</v>
      </c>
      <c r="M1578" s="168" t="s">
        <v>211</v>
      </c>
      <c r="N1578" s="166" t="s">
        <v>211</v>
      </c>
      <c r="O1578" s="168" t="s">
        <v>211</v>
      </c>
    </row>
    <row r="1579" spans="2:15" s="453" customFormat="1" ht="14" x14ac:dyDescent="0.2">
      <c r="B1579" s="309"/>
      <c r="C1579" s="633" t="s">
        <v>750</v>
      </c>
      <c r="D1579" s="633"/>
      <c r="E1579" s="633"/>
      <c r="F1579" s="633"/>
      <c r="G1579" s="633"/>
      <c r="H1579" s="296"/>
      <c r="I1579" s="168" t="s">
        <v>211</v>
      </c>
      <c r="J1579" s="166" t="s">
        <v>211</v>
      </c>
      <c r="K1579" s="168" t="s">
        <v>211</v>
      </c>
      <c r="L1579" s="166" t="s">
        <v>211</v>
      </c>
      <c r="M1579" s="168" t="s">
        <v>211</v>
      </c>
      <c r="N1579" s="166" t="s">
        <v>211</v>
      </c>
      <c r="O1579" s="168" t="s">
        <v>211</v>
      </c>
    </row>
    <row r="1580" spans="2:15" s="453" customFormat="1" ht="14" x14ac:dyDescent="0.2">
      <c r="B1580" s="309"/>
      <c r="C1580" s="606" t="s">
        <v>751</v>
      </c>
      <c r="D1580" s="606"/>
      <c r="E1580" s="606"/>
      <c r="F1580" s="606"/>
      <c r="G1580" s="606"/>
      <c r="H1580" s="296"/>
      <c r="I1580" s="168" t="s">
        <v>211</v>
      </c>
      <c r="J1580" s="166" t="s">
        <v>211</v>
      </c>
      <c r="K1580" s="168" t="s">
        <v>211</v>
      </c>
      <c r="L1580" s="166" t="s">
        <v>211</v>
      </c>
      <c r="M1580" s="168" t="s">
        <v>211</v>
      </c>
      <c r="N1580" s="166" t="s">
        <v>211</v>
      </c>
      <c r="O1580" s="168" t="s">
        <v>211</v>
      </c>
    </row>
    <row r="1581" spans="2:15" s="453" customFormat="1" ht="14" x14ac:dyDescent="0.2">
      <c r="B1581" s="309"/>
      <c r="C1581" s="606"/>
      <c r="D1581" s="606"/>
      <c r="E1581" s="606"/>
      <c r="F1581" s="606"/>
      <c r="G1581" s="606"/>
      <c r="H1581" s="294"/>
      <c r="I1581" s="169"/>
      <c r="J1581" s="167"/>
      <c r="K1581" s="169"/>
      <c r="L1581" s="167"/>
      <c r="M1581" s="169"/>
      <c r="N1581" s="167"/>
      <c r="O1581" s="169"/>
    </row>
    <row r="1582" spans="2:15" s="453" customFormat="1" ht="14" x14ac:dyDescent="0.2">
      <c r="B1582" s="318"/>
      <c r="C1582" s="319"/>
      <c r="D1582" s="303"/>
      <c r="E1582" s="303"/>
      <c r="F1582" s="762" t="s">
        <v>852</v>
      </c>
      <c r="G1582" s="762"/>
      <c r="H1582" s="763"/>
      <c r="I1582" s="169"/>
      <c r="J1582" s="167"/>
      <c r="K1582" s="169"/>
      <c r="L1582" s="167"/>
      <c r="M1582" s="169"/>
      <c r="N1582" s="167"/>
      <c r="O1582" s="169"/>
    </row>
    <row r="1583" spans="2:15" s="453" customFormat="1" ht="14" x14ac:dyDescent="0.2">
      <c r="B1583" s="311">
        <v>6</v>
      </c>
      <c r="C1583" s="568" t="s">
        <v>752</v>
      </c>
      <c r="D1583" s="568"/>
      <c r="E1583" s="568"/>
      <c r="F1583" s="568"/>
      <c r="G1583" s="568"/>
      <c r="H1583" s="292"/>
      <c r="I1583" s="168" t="s">
        <v>211</v>
      </c>
      <c r="J1583" s="166" t="s">
        <v>211</v>
      </c>
      <c r="K1583" s="168" t="s">
        <v>211</v>
      </c>
      <c r="L1583" s="166" t="s">
        <v>211</v>
      </c>
      <c r="M1583" s="168" t="s">
        <v>211</v>
      </c>
      <c r="N1583" s="166" t="s">
        <v>211</v>
      </c>
      <c r="O1583" s="168" t="s">
        <v>211</v>
      </c>
    </row>
    <row r="1584" spans="2:15" s="453" customFormat="1" ht="14" x14ac:dyDescent="0.2">
      <c r="B1584" s="316"/>
      <c r="C1584" s="606"/>
      <c r="D1584" s="606"/>
      <c r="E1584" s="606"/>
      <c r="F1584" s="606"/>
      <c r="G1584" s="606"/>
      <c r="H1584" s="294"/>
      <c r="I1584" s="169"/>
      <c r="J1584" s="167"/>
      <c r="K1584" s="169"/>
      <c r="L1584" s="167"/>
      <c r="M1584" s="169"/>
      <c r="N1584" s="167"/>
      <c r="O1584" s="169"/>
    </row>
    <row r="1585" spans="2:15" s="453" customFormat="1" ht="14" x14ac:dyDescent="0.2">
      <c r="B1585" s="309"/>
      <c r="C1585" s="635" t="s">
        <v>846</v>
      </c>
      <c r="D1585" s="635"/>
      <c r="E1585" s="635"/>
      <c r="F1585" s="635"/>
      <c r="G1585" s="635"/>
      <c r="H1585" s="296"/>
      <c r="I1585" s="168" t="s">
        <v>211</v>
      </c>
      <c r="J1585" s="166" t="s">
        <v>211</v>
      </c>
      <c r="K1585" s="168" t="s">
        <v>211</v>
      </c>
      <c r="L1585" s="166" t="s">
        <v>211</v>
      </c>
      <c r="M1585" s="168" t="s">
        <v>211</v>
      </c>
      <c r="N1585" s="166" t="s">
        <v>211</v>
      </c>
      <c r="O1585" s="168" t="s">
        <v>211</v>
      </c>
    </row>
    <row r="1586" spans="2:15" s="453" customFormat="1" ht="14" x14ac:dyDescent="0.2">
      <c r="B1586" s="309"/>
      <c r="C1586" s="635"/>
      <c r="D1586" s="635"/>
      <c r="E1586" s="635"/>
      <c r="F1586" s="635"/>
      <c r="G1586" s="635"/>
      <c r="H1586" s="294"/>
      <c r="I1586" s="169"/>
      <c r="J1586" s="167"/>
      <c r="K1586" s="169"/>
      <c r="L1586" s="167"/>
      <c r="M1586" s="169"/>
      <c r="N1586" s="167"/>
      <c r="O1586" s="169"/>
    </row>
    <row r="1587" spans="2:15" s="453" customFormat="1" ht="14" x14ac:dyDescent="0.2">
      <c r="B1587" s="309"/>
      <c r="C1587" s="569" t="s">
        <v>753</v>
      </c>
      <c r="D1587" s="569"/>
      <c r="E1587" s="569"/>
      <c r="F1587" s="569"/>
      <c r="G1587" s="569"/>
      <c r="H1587" s="296"/>
      <c r="I1587" s="168" t="s">
        <v>211</v>
      </c>
      <c r="J1587" s="166" t="s">
        <v>211</v>
      </c>
      <c r="K1587" s="168" t="s">
        <v>211</v>
      </c>
      <c r="L1587" s="166" t="s">
        <v>211</v>
      </c>
      <c r="M1587" s="168" t="s">
        <v>211</v>
      </c>
      <c r="N1587" s="166" t="s">
        <v>211</v>
      </c>
      <c r="O1587" s="168" t="s">
        <v>211</v>
      </c>
    </row>
    <row r="1588" spans="2:15" s="453" customFormat="1" ht="14" x14ac:dyDescent="0.2">
      <c r="B1588" s="309"/>
      <c r="C1588" s="569" t="s">
        <v>754</v>
      </c>
      <c r="D1588" s="569"/>
      <c r="E1588" s="569"/>
      <c r="F1588" s="569"/>
      <c r="G1588" s="569"/>
      <c r="H1588" s="296"/>
      <c r="I1588" s="168" t="s">
        <v>211</v>
      </c>
      <c r="J1588" s="166" t="s">
        <v>211</v>
      </c>
      <c r="K1588" s="168" t="s">
        <v>211</v>
      </c>
      <c r="L1588" s="166" t="s">
        <v>211</v>
      </c>
      <c r="M1588" s="168" t="s">
        <v>211</v>
      </c>
      <c r="N1588" s="166" t="s">
        <v>211</v>
      </c>
      <c r="O1588" s="168" t="s">
        <v>211</v>
      </c>
    </row>
    <row r="1589" spans="2:15" s="453" customFormat="1" ht="14" x14ac:dyDescent="0.2">
      <c r="B1589" s="309"/>
      <c r="C1589" s="606" t="s">
        <v>755</v>
      </c>
      <c r="D1589" s="606"/>
      <c r="E1589" s="606"/>
      <c r="F1589" s="606"/>
      <c r="G1589" s="606"/>
      <c r="H1589" s="296"/>
      <c r="I1589" s="168" t="s">
        <v>211</v>
      </c>
      <c r="J1589" s="166" t="s">
        <v>211</v>
      </c>
      <c r="K1589" s="168" t="s">
        <v>211</v>
      </c>
      <c r="L1589" s="166" t="s">
        <v>211</v>
      </c>
      <c r="M1589" s="168" t="s">
        <v>211</v>
      </c>
      <c r="N1589" s="166" t="s">
        <v>211</v>
      </c>
      <c r="O1589" s="168" t="s">
        <v>211</v>
      </c>
    </row>
    <row r="1590" spans="2:15" s="453" customFormat="1" ht="14" x14ac:dyDescent="0.2">
      <c r="B1590" s="309"/>
      <c r="C1590" s="606"/>
      <c r="D1590" s="606"/>
      <c r="E1590" s="606"/>
      <c r="F1590" s="606"/>
      <c r="G1590" s="606"/>
      <c r="H1590" s="294"/>
      <c r="I1590" s="169"/>
      <c r="J1590" s="167"/>
      <c r="K1590" s="169"/>
      <c r="L1590" s="167"/>
      <c r="M1590" s="169"/>
      <c r="N1590" s="167"/>
      <c r="O1590" s="169"/>
    </row>
    <row r="1591" spans="2:15" s="453" customFormat="1" ht="14" x14ac:dyDescent="0.2">
      <c r="B1591" s="309"/>
      <c r="C1591" s="569" t="s">
        <v>473</v>
      </c>
      <c r="D1591" s="569"/>
      <c r="E1591" s="569"/>
      <c r="F1591" s="569"/>
      <c r="G1591" s="569"/>
      <c r="H1591" s="296"/>
      <c r="I1591" s="168" t="s">
        <v>211</v>
      </c>
      <c r="J1591" s="166" t="s">
        <v>211</v>
      </c>
      <c r="K1591" s="168" t="s">
        <v>211</v>
      </c>
      <c r="L1591" s="166" t="s">
        <v>211</v>
      </c>
      <c r="M1591" s="168" t="s">
        <v>211</v>
      </c>
      <c r="N1591" s="166" t="s">
        <v>211</v>
      </c>
      <c r="O1591" s="168" t="s">
        <v>211</v>
      </c>
    </row>
    <row r="1592" spans="2:15" s="453" customFormat="1" ht="14" x14ac:dyDescent="0.2">
      <c r="B1592" s="309"/>
      <c r="C1592" s="310"/>
      <c r="F1592" s="622" t="s">
        <v>756</v>
      </c>
      <c r="G1592" s="622"/>
      <c r="H1592" s="736"/>
      <c r="I1592" s="169"/>
      <c r="J1592" s="167"/>
      <c r="K1592" s="169"/>
      <c r="L1592" s="167"/>
      <c r="M1592" s="169"/>
      <c r="N1592" s="167"/>
      <c r="O1592" s="169"/>
    </row>
    <row r="1593" spans="2:15" s="453" customFormat="1" ht="14" x14ac:dyDescent="0.2">
      <c r="B1593" s="309"/>
      <c r="C1593" s="310"/>
      <c r="F1593" s="631" t="s">
        <v>757</v>
      </c>
      <c r="G1593" s="631"/>
      <c r="H1593" s="632"/>
      <c r="I1593" s="169"/>
      <c r="J1593" s="167"/>
      <c r="K1593" s="169"/>
      <c r="L1593" s="167"/>
      <c r="M1593" s="169"/>
      <c r="N1593" s="167"/>
      <c r="O1593" s="169"/>
    </row>
    <row r="1594" spans="2:15" s="453" customFormat="1" ht="14" x14ac:dyDescent="0.2">
      <c r="B1594" s="318"/>
      <c r="C1594" s="319"/>
      <c r="D1594" s="303"/>
      <c r="E1594" s="303"/>
      <c r="F1594" s="751" t="s">
        <v>474</v>
      </c>
      <c r="G1594" s="751"/>
      <c r="H1594" s="752"/>
      <c r="I1594" s="169"/>
      <c r="J1594" s="167"/>
      <c r="K1594" s="169"/>
      <c r="L1594" s="167"/>
      <c r="M1594" s="169"/>
      <c r="N1594" s="167"/>
      <c r="O1594" s="169"/>
    </row>
    <row r="1595" spans="2:15" s="453" customFormat="1" ht="14" x14ac:dyDescent="0.2">
      <c r="B1595" s="311">
        <v>7</v>
      </c>
      <c r="C1595" s="568" t="s">
        <v>758</v>
      </c>
      <c r="D1595" s="568"/>
      <c r="E1595" s="568"/>
      <c r="F1595" s="568"/>
      <c r="G1595" s="568"/>
      <c r="H1595" s="292"/>
      <c r="I1595" s="168" t="s">
        <v>211</v>
      </c>
      <c r="J1595" s="166" t="s">
        <v>211</v>
      </c>
      <c r="K1595" s="168" t="s">
        <v>211</v>
      </c>
      <c r="L1595" s="166" t="s">
        <v>211</v>
      </c>
      <c r="M1595" s="168" t="s">
        <v>211</v>
      </c>
      <c r="N1595" s="166" t="s">
        <v>211</v>
      </c>
      <c r="O1595" s="168" t="s">
        <v>211</v>
      </c>
    </row>
    <row r="1596" spans="2:15" s="453" customFormat="1" ht="14" x14ac:dyDescent="0.2">
      <c r="B1596" s="316"/>
      <c r="C1596" s="606"/>
      <c r="D1596" s="606"/>
      <c r="E1596" s="606"/>
      <c r="F1596" s="606"/>
      <c r="G1596" s="606"/>
      <c r="H1596" s="294"/>
      <c r="I1596" s="169"/>
      <c r="J1596" s="167"/>
      <c r="K1596" s="169"/>
      <c r="L1596" s="167"/>
      <c r="M1596" s="169"/>
      <c r="N1596" s="167"/>
      <c r="O1596" s="169"/>
    </row>
    <row r="1597" spans="2:15" s="453" customFormat="1" ht="14" x14ac:dyDescent="0.2">
      <c r="B1597" s="316"/>
      <c r="C1597" s="606"/>
      <c r="D1597" s="606"/>
      <c r="E1597" s="606"/>
      <c r="F1597" s="606"/>
      <c r="G1597" s="606"/>
      <c r="H1597" s="294"/>
      <c r="I1597" s="169"/>
      <c r="J1597" s="167"/>
      <c r="K1597" s="169"/>
      <c r="L1597" s="167"/>
      <c r="M1597" s="169"/>
      <c r="N1597" s="167"/>
      <c r="O1597" s="169"/>
    </row>
    <row r="1598" spans="2:15" s="453" customFormat="1" ht="14" x14ac:dyDescent="0.2">
      <c r="B1598" s="309"/>
      <c r="C1598" s="606" t="s">
        <v>759</v>
      </c>
      <c r="D1598" s="606"/>
      <c r="E1598" s="606"/>
      <c r="F1598" s="606"/>
      <c r="G1598" s="606"/>
      <c r="H1598" s="296"/>
      <c r="I1598" s="168" t="s">
        <v>211</v>
      </c>
      <c r="J1598" s="166" t="s">
        <v>211</v>
      </c>
      <c r="K1598" s="168" t="s">
        <v>211</v>
      </c>
      <c r="L1598" s="166" t="s">
        <v>211</v>
      </c>
      <c r="M1598" s="168" t="s">
        <v>211</v>
      </c>
      <c r="N1598" s="166" t="s">
        <v>211</v>
      </c>
      <c r="O1598" s="168" t="s">
        <v>211</v>
      </c>
    </row>
    <row r="1599" spans="2:15" s="453" customFormat="1" ht="14" x14ac:dyDescent="0.2">
      <c r="B1599" s="309"/>
      <c r="C1599" s="606" t="s">
        <v>847</v>
      </c>
      <c r="D1599" s="606"/>
      <c r="E1599" s="606"/>
      <c r="F1599" s="606"/>
      <c r="G1599" s="606"/>
      <c r="H1599" s="296"/>
      <c r="I1599" s="168" t="s">
        <v>211</v>
      </c>
      <c r="J1599" s="166" t="s">
        <v>211</v>
      </c>
      <c r="K1599" s="168" t="s">
        <v>211</v>
      </c>
      <c r="L1599" s="166" t="s">
        <v>211</v>
      </c>
      <c r="M1599" s="168" t="s">
        <v>211</v>
      </c>
      <c r="N1599" s="166" t="s">
        <v>211</v>
      </c>
      <c r="O1599" s="168" t="s">
        <v>211</v>
      </c>
    </row>
    <row r="1600" spans="2:15" s="453" customFormat="1" ht="14" x14ac:dyDescent="0.2">
      <c r="B1600" s="309"/>
      <c r="C1600" s="606"/>
      <c r="D1600" s="606"/>
      <c r="E1600" s="606"/>
      <c r="F1600" s="606"/>
      <c r="G1600" s="606"/>
      <c r="H1600" s="294"/>
      <c r="I1600" s="169"/>
      <c r="J1600" s="167"/>
      <c r="K1600" s="169"/>
      <c r="L1600" s="167"/>
      <c r="M1600" s="169"/>
      <c r="N1600" s="167"/>
      <c r="O1600" s="169"/>
    </row>
    <row r="1601" spans="2:15" s="453" customFormat="1" ht="14" x14ac:dyDescent="0.2">
      <c r="B1601" s="309"/>
      <c r="C1601" s="569" t="s">
        <v>760</v>
      </c>
      <c r="D1601" s="569"/>
      <c r="E1601" s="569"/>
      <c r="F1601" s="569"/>
      <c r="G1601" s="569"/>
      <c r="H1601" s="296"/>
      <c r="I1601" s="168" t="s">
        <v>211</v>
      </c>
      <c r="J1601" s="166" t="s">
        <v>211</v>
      </c>
      <c r="K1601" s="168" t="s">
        <v>211</v>
      </c>
      <c r="L1601" s="166" t="s">
        <v>211</v>
      </c>
      <c r="M1601" s="168" t="s">
        <v>211</v>
      </c>
      <c r="N1601" s="166" t="s">
        <v>211</v>
      </c>
      <c r="O1601" s="168" t="s">
        <v>211</v>
      </c>
    </row>
    <row r="1602" spans="2:15" s="453" customFormat="1" ht="14" x14ac:dyDescent="0.2">
      <c r="B1602" s="309"/>
      <c r="C1602" s="310"/>
      <c r="F1602" s="622" t="s">
        <v>642</v>
      </c>
      <c r="G1602" s="622"/>
      <c r="H1602" s="736"/>
      <c r="I1602" s="169"/>
      <c r="J1602" s="167"/>
      <c r="K1602" s="169"/>
      <c r="L1602" s="167"/>
      <c r="M1602" s="169"/>
      <c r="N1602" s="167"/>
      <c r="O1602" s="169"/>
    </row>
    <row r="1603" spans="2:15" s="453" customFormat="1" ht="14" x14ac:dyDescent="0.2">
      <c r="B1603" s="318"/>
      <c r="C1603" s="319"/>
      <c r="D1603" s="303"/>
      <c r="E1603" s="303"/>
      <c r="F1603" s="751" t="s">
        <v>474</v>
      </c>
      <c r="G1603" s="751"/>
      <c r="H1603" s="752"/>
      <c r="I1603" s="169"/>
      <c r="J1603" s="167"/>
      <c r="K1603" s="169"/>
      <c r="L1603" s="167"/>
      <c r="M1603" s="169"/>
      <c r="N1603" s="167"/>
      <c r="O1603" s="169"/>
    </row>
    <row r="1604" spans="2:15" s="453" customFormat="1" ht="14" x14ac:dyDescent="0.2">
      <c r="B1604" s="311">
        <v>8</v>
      </c>
      <c r="C1604" s="568" t="s">
        <v>761</v>
      </c>
      <c r="D1604" s="568"/>
      <c r="E1604" s="568"/>
      <c r="F1604" s="568"/>
      <c r="G1604" s="568"/>
      <c r="H1604" s="292"/>
      <c r="I1604" s="168" t="s">
        <v>211</v>
      </c>
      <c r="J1604" s="166" t="s">
        <v>211</v>
      </c>
      <c r="K1604" s="168" t="s">
        <v>211</v>
      </c>
      <c r="L1604" s="166" t="s">
        <v>211</v>
      </c>
      <c r="M1604" s="168" t="s">
        <v>211</v>
      </c>
      <c r="N1604" s="166" t="s">
        <v>211</v>
      </c>
      <c r="O1604" s="168" t="s">
        <v>211</v>
      </c>
    </row>
    <row r="1605" spans="2:15" s="453" customFormat="1" ht="14" x14ac:dyDescent="0.2">
      <c r="B1605" s="316"/>
      <c r="C1605" s="606"/>
      <c r="D1605" s="606"/>
      <c r="E1605" s="606"/>
      <c r="F1605" s="606"/>
      <c r="G1605" s="606"/>
      <c r="H1605" s="294"/>
      <c r="I1605" s="169"/>
      <c r="J1605" s="167"/>
      <c r="K1605" s="169"/>
      <c r="L1605" s="167"/>
      <c r="M1605" s="169"/>
      <c r="N1605" s="167"/>
      <c r="O1605" s="169"/>
    </row>
    <row r="1606" spans="2:15" s="453" customFormat="1" ht="14" x14ac:dyDescent="0.2">
      <c r="B1606" s="309"/>
      <c r="C1606" s="569" t="s">
        <v>848</v>
      </c>
      <c r="D1606" s="569"/>
      <c r="E1606" s="569"/>
      <c r="F1606" s="569"/>
      <c r="G1606" s="569"/>
      <c r="H1606" s="296"/>
      <c r="I1606" s="168" t="s">
        <v>211</v>
      </c>
      <c r="J1606" s="166" t="s">
        <v>211</v>
      </c>
      <c r="K1606" s="168" t="s">
        <v>211</v>
      </c>
      <c r="L1606" s="166" t="s">
        <v>211</v>
      </c>
      <c r="M1606" s="168" t="s">
        <v>211</v>
      </c>
      <c r="N1606" s="166" t="s">
        <v>211</v>
      </c>
      <c r="O1606" s="168" t="s">
        <v>211</v>
      </c>
    </row>
    <row r="1607" spans="2:15" s="453" customFormat="1" ht="14" x14ac:dyDescent="0.2">
      <c r="B1607" s="309"/>
      <c r="C1607" s="569" t="s">
        <v>849</v>
      </c>
      <c r="D1607" s="569"/>
      <c r="E1607" s="569"/>
      <c r="F1607" s="569"/>
      <c r="G1607" s="569"/>
      <c r="H1607" s="296"/>
      <c r="I1607" s="168" t="s">
        <v>211</v>
      </c>
      <c r="J1607" s="166" t="s">
        <v>211</v>
      </c>
      <c r="K1607" s="168" t="s">
        <v>211</v>
      </c>
      <c r="L1607" s="166" t="s">
        <v>211</v>
      </c>
      <c r="M1607" s="168" t="s">
        <v>211</v>
      </c>
      <c r="N1607" s="166" t="s">
        <v>211</v>
      </c>
      <c r="O1607" s="168" t="s">
        <v>211</v>
      </c>
    </row>
    <row r="1608" spans="2:15" s="453" customFormat="1" ht="14" x14ac:dyDescent="0.2">
      <c r="B1608" s="309"/>
      <c r="C1608" s="569" t="s">
        <v>823</v>
      </c>
      <c r="D1608" s="569"/>
      <c r="E1608" s="569"/>
      <c r="F1608" s="569"/>
      <c r="G1608" s="569"/>
      <c r="H1608" s="296"/>
      <c r="I1608" s="168" t="s">
        <v>211</v>
      </c>
      <c r="J1608" s="166" t="s">
        <v>211</v>
      </c>
      <c r="K1608" s="168" t="s">
        <v>211</v>
      </c>
      <c r="L1608" s="166" t="s">
        <v>211</v>
      </c>
      <c r="M1608" s="168" t="s">
        <v>211</v>
      </c>
      <c r="N1608" s="166" t="s">
        <v>211</v>
      </c>
      <c r="O1608" s="168" t="s">
        <v>211</v>
      </c>
    </row>
    <row r="1609" spans="2:15" s="453" customFormat="1" ht="14" x14ac:dyDescent="0.2">
      <c r="B1609" s="309"/>
      <c r="C1609" s="310"/>
      <c r="F1609" s="622" t="s">
        <v>945</v>
      </c>
      <c r="G1609" s="622"/>
      <c r="H1609" s="736"/>
      <c r="I1609" s="169"/>
      <c r="J1609" s="167"/>
      <c r="K1609" s="169"/>
      <c r="L1609" s="167"/>
      <c r="M1609" s="169"/>
      <c r="N1609" s="167"/>
      <c r="O1609" s="169"/>
    </row>
    <row r="1610" spans="2:15" s="453" customFormat="1" ht="14" x14ac:dyDescent="0.2">
      <c r="B1610" s="309"/>
      <c r="C1610" s="310"/>
      <c r="E1610" s="631" t="s">
        <v>763</v>
      </c>
      <c r="F1610" s="631"/>
      <c r="G1610" s="631"/>
      <c r="H1610" s="632"/>
      <c r="I1610" s="169"/>
      <c r="J1610" s="167"/>
      <c r="K1610" s="169"/>
      <c r="L1610" s="167"/>
      <c r="M1610" s="169"/>
      <c r="N1610" s="167"/>
      <c r="O1610" s="169"/>
    </row>
    <row r="1611" spans="2:15" s="453" customFormat="1" ht="14" x14ac:dyDescent="0.2">
      <c r="B1611" s="318"/>
      <c r="C1611" s="319"/>
      <c r="D1611" s="303"/>
      <c r="E1611" s="303"/>
      <c r="F1611" s="762" t="s">
        <v>764</v>
      </c>
      <c r="G1611" s="762"/>
      <c r="H1611" s="763"/>
      <c r="I1611" s="169"/>
      <c r="J1611" s="167"/>
      <c r="K1611" s="169"/>
      <c r="L1611" s="167"/>
      <c r="M1611" s="169"/>
      <c r="N1611" s="167"/>
      <c r="O1611" s="169"/>
    </row>
    <row r="1612" spans="2:15" s="453" customFormat="1" ht="14" x14ac:dyDescent="0.2">
      <c r="B1612" s="311">
        <v>9</v>
      </c>
      <c r="C1612" s="568" t="s">
        <v>752</v>
      </c>
      <c r="D1612" s="568"/>
      <c r="E1612" s="568"/>
      <c r="F1612" s="568"/>
      <c r="G1612" s="568"/>
      <c r="H1612" s="292"/>
      <c r="I1612" s="168" t="s">
        <v>211</v>
      </c>
      <c r="J1612" s="166" t="s">
        <v>211</v>
      </c>
      <c r="K1612" s="168" t="s">
        <v>211</v>
      </c>
      <c r="L1612" s="166" t="s">
        <v>211</v>
      </c>
      <c r="M1612" s="168" t="s">
        <v>211</v>
      </c>
      <c r="N1612" s="166" t="s">
        <v>211</v>
      </c>
      <c r="O1612" s="168" t="s">
        <v>211</v>
      </c>
    </row>
    <row r="1613" spans="2:15" s="453" customFormat="1" ht="14" x14ac:dyDescent="0.2">
      <c r="B1613" s="316"/>
      <c r="C1613" s="606"/>
      <c r="D1613" s="606"/>
      <c r="E1613" s="606"/>
      <c r="F1613" s="606"/>
      <c r="G1613" s="606"/>
      <c r="H1613" s="294"/>
      <c r="I1613" s="169"/>
      <c r="J1613" s="167"/>
      <c r="K1613" s="169"/>
      <c r="L1613" s="167"/>
      <c r="M1613" s="169"/>
      <c r="N1613" s="167"/>
      <c r="O1613" s="169"/>
    </row>
    <row r="1614" spans="2:15" s="453" customFormat="1" ht="14" x14ac:dyDescent="0.2">
      <c r="B1614" s="309"/>
      <c r="C1614" s="635" t="s">
        <v>846</v>
      </c>
      <c r="D1614" s="635"/>
      <c r="E1614" s="635"/>
      <c r="F1614" s="635"/>
      <c r="G1614" s="635"/>
      <c r="H1614" s="296"/>
      <c r="I1614" s="168" t="s">
        <v>211</v>
      </c>
      <c r="J1614" s="166" t="s">
        <v>211</v>
      </c>
      <c r="K1614" s="168" t="s">
        <v>211</v>
      </c>
      <c r="L1614" s="166" t="s">
        <v>211</v>
      </c>
      <c r="M1614" s="168" t="s">
        <v>211</v>
      </c>
      <c r="N1614" s="166" t="s">
        <v>211</v>
      </c>
      <c r="O1614" s="168" t="s">
        <v>211</v>
      </c>
    </row>
    <row r="1615" spans="2:15" s="453" customFormat="1" ht="14" x14ac:dyDescent="0.2">
      <c r="B1615" s="309"/>
      <c r="C1615" s="635"/>
      <c r="D1615" s="635"/>
      <c r="E1615" s="635"/>
      <c r="F1615" s="635"/>
      <c r="G1615" s="635"/>
      <c r="H1615" s="294"/>
      <c r="I1615" s="169"/>
      <c r="J1615" s="167"/>
      <c r="K1615" s="169"/>
      <c r="L1615" s="167"/>
      <c r="M1615" s="169"/>
      <c r="N1615" s="167"/>
      <c r="O1615" s="169"/>
    </row>
    <row r="1616" spans="2:15" s="453" customFormat="1" ht="14" x14ac:dyDescent="0.2">
      <c r="B1616" s="309"/>
      <c r="C1616" s="569" t="s">
        <v>753</v>
      </c>
      <c r="D1616" s="569"/>
      <c r="E1616" s="569"/>
      <c r="F1616" s="569"/>
      <c r="G1616" s="569"/>
      <c r="H1616" s="296"/>
      <c r="I1616" s="168" t="s">
        <v>211</v>
      </c>
      <c r="J1616" s="166" t="s">
        <v>211</v>
      </c>
      <c r="K1616" s="168" t="s">
        <v>211</v>
      </c>
      <c r="L1616" s="166" t="s">
        <v>211</v>
      </c>
      <c r="M1616" s="168" t="s">
        <v>211</v>
      </c>
      <c r="N1616" s="166" t="s">
        <v>211</v>
      </c>
      <c r="O1616" s="168" t="s">
        <v>211</v>
      </c>
    </row>
    <row r="1617" spans="2:15" s="453" customFormat="1" ht="14" x14ac:dyDescent="0.2">
      <c r="B1617" s="309"/>
      <c r="C1617" s="606" t="s">
        <v>850</v>
      </c>
      <c r="D1617" s="606"/>
      <c r="E1617" s="606"/>
      <c r="F1617" s="606"/>
      <c r="G1617" s="606"/>
      <c r="H1617" s="296"/>
      <c r="I1617" s="168" t="s">
        <v>211</v>
      </c>
      <c r="J1617" s="166" t="s">
        <v>211</v>
      </c>
      <c r="K1617" s="168" t="s">
        <v>211</v>
      </c>
      <c r="L1617" s="166" t="s">
        <v>211</v>
      </c>
      <c r="M1617" s="168" t="s">
        <v>211</v>
      </c>
      <c r="N1617" s="166" t="s">
        <v>211</v>
      </c>
      <c r="O1617" s="168" t="s">
        <v>211</v>
      </c>
    </row>
    <row r="1618" spans="2:15" s="453" customFormat="1" ht="14" x14ac:dyDescent="0.2">
      <c r="B1618" s="309"/>
      <c r="C1618" s="606"/>
      <c r="D1618" s="606"/>
      <c r="E1618" s="606"/>
      <c r="F1618" s="606"/>
      <c r="G1618" s="606"/>
      <c r="H1618" s="294"/>
      <c r="I1618" s="169"/>
      <c r="J1618" s="167"/>
      <c r="K1618" s="169"/>
      <c r="L1618" s="167"/>
      <c r="M1618" s="169"/>
      <c r="N1618" s="167"/>
      <c r="O1618" s="169"/>
    </row>
    <row r="1619" spans="2:15" s="453" customFormat="1" ht="14" x14ac:dyDescent="0.2">
      <c r="B1619" s="309"/>
      <c r="C1619" s="569" t="s">
        <v>760</v>
      </c>
      <c r="D1619" s="569"/>
      <c r="E1619" s="569"/>
      <c r="F1619" s="569"/>
      <c r="G1619" s="569"/>
      <c r="H1619" s="296"/>
      <c r="I1619" s="168" t="s">
        <v>211</v>
      </c>
      <c r="J1619" s="166" t="s">
        <v>211</v>
      </c>
      <c r="K1619" s="168" t="s">
        <v>211</v>
      </c>
      <c r="L1619" s="166" t="s">
        <v>211</v>
      </c>
      <c r="M1619" s="168" t="s">
        <v>211</v>
      </c>
      <c r="N1619" s="166" t="s">
        <v>211</v>
      </c>
      <c r="O1619" s="168" t="s">
        <v>211</v>
      </c>
    </row>
    <row r="1620" spans="2:15" s="453" customFormat="1" ht="14" x14ac:dyDescent="0.2">
      <c r="B1620" s="309"/>
      <c r="C1620" s="310"/>
      <c r="F1620" s="622" t="s">
        <v>765</v>
      </c>
      <c r="G1620" s="622"/>
      <c r="H1620" s="736"/>
      <c r="I1620" s="169"/>
      <c r="J1620" s="167"/>
      <c r="K1620" s="169"/>
      <c r="L1620" s="167"/>
      <c r="M1620" s="169"/>
      <c r="N1620" s="167"/>
      <c r="O1620" s="169"/>
    </row>
    <row r="1621" spans="2:15" s="453" customFormat="1" ht="14" x14ac:dyDescent="0.2">
      <c r="B1621" s="318"/>
      <c r="C1621" s="319"/>
      <c r="D1621" s="303"/>
      <c r="E1621" s="303"/>
      <c r="F1621" s="751" t="s">
        <v>474</v>
      </c>
      <c r="G1621" s="751"/>
      <c r="H1621" s="752"/>
      <c r="I1621" s="169"/>
      <c r="J1621" s="167"/>
      <c r="K1621" s="169"/>
      <c r="L1621" s="167"/>
      <c r="M1621" s="169"/>
      <c r="N1621" s="167"/>
      <c r="O1621" s="169"/>
    </row>
    <row r="1622" spans="2:15" s="453" customFormat="1" ht="14" x14ac:dyDescent="0.2">
      <c r="B1622" s="311">
        <v>10</v>
      </c>
      <c r="C1622" s="568" t="s">
        <v>766</v>
      </c>
      <c r="D1622" s="568"/>
      <c r="E1622" s="568"/>
      <c r="F1622" s="568"/>
      <c r="G1622" s="568"/>
      <c r="H1622" s="292"/>
      <c r="I1622" s="168" t="s">
        <v>211</v>
      </c>
      <c r="J1622" s="166" t="s">
        <v>211</v>
      </c>
      <c r="K1622" s="168" t="s">
        <v>211</v>
      </c>
      <c r="L1622" s="166" t="s">
        <v>211</v>
      </c>
      <c r="M1622" s="168" t="s">
        <v>211</v>
      </c>
      <c r="N1622" s="166" t="s">
        <v>211</v>
      </c>
      <c r="O1622" s="168" t="s">
        <v>211</v>
      </c>
    </row>
    <row r="1623" spans="2:15" s="453" customFormat="1" ht="14" x14ac:dyDescent="0.2">
      <c r="B1623" s="316"/>
      <c r="C1623" s="606"/>
      <c r="D1623" s="606"/>
      <c r="E1623" s="606"/>
      <c r="F1623" s="606"/>
      <c r="G1623" s="606"/>
      <c r="H1623" s="294"/>
      <c r="I1623" s="169"/>
      <c r="J1623" s="167"/>
      <c r="K1623" s="169"/>
      <c r="L1623" s="167"/>
      <c r="M1623" s="169"/>
      <c r="N1623" s="167"/>
      <c r="O1623" s="169"/>
    </row>
    <row r="1624" spans="2:15" s="453" customFormat="1" ht="14" x14ac:dyDescent="0.2">
      <c r="B1624" s="309"/>
      <c r="C1624" s="606" t="s">
        <v>767</v>
      </c>
      <c r="D1624" s="606"/>
      <c r="E1624" s="606"/>
      <c r="F1624" s="606"/>
      <c r="G1624" s="606"/>
      <c r="H1624" s="296"/>
      <c r="I1624" s="168" t="s">
        <v>211</v>
      </c>
      <c r="J1624" s="166" t="s">
        <v>211</v>
      </c>
      <c r="K1624" s="168" t="s">
        <v>211</v>
      </c>
      <c r="L1624" s="166" t="s">
        <v>211</v>
      </c>
      <c r="M1624" s="168" t="s">
        <v>211</v>
      </c>
      <c r="N1624" s="166" t="s">
        <v>211</v>
      </c>
      <c r="O1624" s="168" t="s">
        <v>211</v>
      </c>
    </row>
    <row r="1625" spans="2:15" s="453" customFormat="1" ht="14" x14ac:dyDescent="0.2">
      <c r="B1625" s="309"/>
      <c r="C1625" s="606"/>
      <c r="D1625" s="606"/>
      <c r="E1625" s="606"/>
      <c r="F1625" s="606"/>
      <c r="G1625" s="606"/>
      <c r="H1625" s="294"/>
      <c r="I1625" s="169"/>
      <c r="J1625" s="167"/>
      <c r="K1625" s="169"/>
      <c r="L1625" s="167"/>
      <c r="M1625" s="169"/>
      <c r="N1625" s="167"/>
      <c r="O1625" s="169"/>
    </row>
    <row r="1626" spans="2:15" s="453" customFormat="1" ht="14" x14ac:dyDescent="0.2">
      <c r="B1626" s="309"/>
      <c r="C1626" s="569" t="s">
        <v>768</v>
      </c>
      <c r="D1626" s="569"/>
      <c r="E1626" s="569"/>
      <c r="F1626" s="569"/>
      <c r="G1626" s="569"/>
      <c r="H1626" s="296"/>
      <c r="I1626" s="168" t="s">
        <v>211</v>
      </c>
      <c r="J1626" s="166" t="s">
        <v>211</v>
      </c>
      <c r="K1626" s="168" t="s">
        <v>211</v>
      </c>
      <c r="L1626" s="166" t="s">
        <v>211</v>
      </c>
      <c r="M1626" s="168" t="s">
        <v>211</v>
      </c>
      <c r="N1626" s="166" t="s">
        <v>211</v>
      </c>
      <c r="O1626" s="168" t="s">
        <v>211</v>
      </c>
    </row>
    <row r="1627" spans="2:15" s="453" customFormat="1" ht="14" x14ac:dyDescent="0.2">
      <c r="B1627" s="309"/>
      <c r="C1627" s="569" t="s">
        <v>848</v>
      </c>
      <c r="D1627" s="569"/>
      <c r="E1627" s="569"/>
      <c r="F1627" s="569"/>
      <c r="G1627" s="569"/>
      <c r="H1627" s="296"/>
      <c r="I1627" s="168" t="s">
        <v>211</v>
      </c>
      <c r="J1627" s="166" t="s">
        <v>211</v>
      </c>
      <c r="K1627" s="168" t="s">
        <v>211</v>
      </c>
      <c r="L1627" s="166" t="s">
        <v>211</v>
      </c>
      <c r="M1627" s="168" t="s">
        <v>211</v>
      </c>
      <c r="N1627" s="166" t="s">
        <v>211</v>
      </c>
      <c r="O1627" s="168" t="s">
        <v>211</v>
      </c>
    </row>
    <row r="1628" spans="2:15" s="453" customFormat="1" ht="14" x14ac:dyDescent="0.2">
      <c r="B1628" s="309"/>
      <c r="C1628" s="606" t="s">
        <v>769</v>
      </c>
      <c r="D1628" s="606"/>
      <c r="E1628" s="606"/>
      <c r="F1628" s="606"/>
      <c r="G1628" s="606"/>
      <c r="H1628" s="296"/>
      <c r="I1628" s="168" t="s">
        <v>211</v>
      </c>
      <c r="J1628" s="166" t="s">
        <v>211</v>
      </c>
      <c r="K1628" s="168" t="s">
        <v>211</v>
      </c>
      <c r="L1628" s="166" t="s">
        <v>211</v>
      </c>
      <c r="M1628" s="168" t="s">
        <v>211</v>
      </c>
      <c r="N1628" s="166" t="s">
        <v>211</v>
      </c>
      <c r="O1628" s="168" t="s">
        <v>211</v>
      </c>
    </row>
    <row r="1629" spans="2:15" s="453" customFormat="1" ht="14" x14ac:dyDescent="0.2">
      <c r="B1629" s="309"/>
      <c r="C1629" s="606"/>
      <c r="D1629" s="606"/>
      <c r="E1629" s="606"/>
      <c r="F1629" s="606"/>
      <c r="G1629" s="606"/>
      <c r="H1629" s="294"/>
      <c r="I1629" s="169"/>
      <c r="J1629" s="167"/>
      <c r="K1629" s="169"/>
      <c r="L1629" s="167"/>
      <c r="M1629" s="169"/>
      <c r="N1629" s="167"/>
      <c r="O1629" s="169"/>
    </row>
    <row r="1630" spans="2:15" s="453" customFormat="1" ht="14" x14ac:dyDescent="0.2">
      <c r="B1630" s="309"/>
      <c r="C1630" s="310"/>
      <c r="F1630" s="622" t="s">
        <v>945</v>
      </c>
      <c r="G1630" s="622"/>
      <c r="H1630" s="736"/>
      <c r="I1630" s="169"/>
      <c r="J1630" s="167"/>
      <c r="K1630" s="169"/>
      <c r="L1630" s="167"/>
      <c r="M1630" s="169"/>
      <c r="N1630" s="167"/>
      <c r="O1630" s="169"/>
    </row>
    <row r="1631" spans="2:15" s="453" customFormat="1" ht="14" x14ac:dyDescent="0.2">
      <c r="B1631" s="318"/>
      <c r="C1631" s="319"/>
      <c r="D1631" s="303"/>
      <c r="E1631" s="762" t="s">
        <v>1315</v>
      </c>
      <c r="F1631" s="762"/>
      <c r="G1631" s="762"/>
      <c r="H1631" s="763"/>
      <c r="I1631" s="169"/>
      <c r="J1631" s="167"/>
      <c r="K1631" s="169"/>
      <c r="L1631" s="167"/>
      <c r="M1631" s="169"/>
      <c r="N1631" s="167"/>
      <c r="O1631" s="169"/>
    </row>
    <row r="1632" spans="2:15" s="453" customFormat="1" ht="14" x14ac:dyDescent="0.2">
      <c r="B1632" s="311">
        <v>11</v>
      </c>
      <c r="C1632" s="738" t="s">
        <v>770</v>
      </c>
      <c r="D1632" s="738"/>
      <c r="E1632" s="738"/>
      <c r="F1632" s="738"/>
      <c r="G1632" s="738"/>
      <c r="H1632" s="292"/>
      <c r="I1632" s="168" t="s">
        <v>211</v>
      </c>
      <c r="J1632" s="166" t="s">
        <v>211</v>
      </c>
      <c r="K1632" s="168" t="s">
        <v>211</v>
      </c>
      <c r="L1632" s="166" t="s">
        <v>211</v>
      </c>
      <c r="M1632" s="168" t="s">
        <v>211</v>
      </c>
      <c r="N1632" s="166" t="s">
        <v>211</v>
      </c>
      <c r="O1632" s="168" t="s">
        <v>211</v>
      </c>
    </row>
    <row r="1633" spans="2:15" s="453" customFormat="1" ht="14" x14ac:dyDescent="0.2">
      <c r="B1633" s="309"/>
      <c r="C1633" s="635" t="s">
        <v>771</v>
      </c>
      <c r="D1633" s="635"/>
      <c r="E1633" s="635"/>
      <c r="F1633" s="635"/>
      <c r="G1633" s="635"/>
      <c r="H1633" s="296"/>
      <c r="I1633" s="168" t="s">
        <v>211</v>
      </c>
      <c r="J1633" s="166" t="s">
        <v>211</v>
      </c>
      <c r="K1633" s="168" t="s">
        <v>211</v>
      </c>
      <c r="L1633" s="166" t="s">
        <v>211</v>
      </c>
      <c r="M1633" s="168" t="s">
        <v>211</v>
      </c>
      <c r="N1633" s="166" t="s">
        <v>211</v>
      </c>
      <c r="O1633" s="168" t="s">
        <v>211</v>
      </c>
    </row>
    <row r="1634" spans="2:15" s="453" customFormat="1" ht="14" x14ac:dyDescent="0.2">
      <c r="B1634" s="309"/>
      <c r="C1634" s="635"/>
      <c r="D1634" s="635"/>
      <c r="E1634" s="635"/>
      <c r="F1634" s="635"/>
      <c r="G1634" s="635"/>
      <c r="H1634" s="294"/>
      <c r="I1634" s="169"/>
      <c r="J1634" s="167"/>
      <c r="K1634" s="169"/>
      <c r="L1634" s="167"/>
      <c r="M1634" s="169"/>
      <c r="N1634" s="167"/>
      <c r="O1634" s="169"/>
    </row>
    <row r="1635" spans="2:15" s="453" customFormat="1" ht="14" x14ac:dyDescent="0.2">
      <c r="B1635" s="309"/>
      <c r="C1635" s="635"/>
      <c r="D1635" s="635"/>
      <c r="E1635" s="635"/>
      <c r="F1635" s="635"/>
      <c r="G1635" s="635"/>
      <c r="H1635" s="294"/>
      <c r="I1635" s="169"/>
      <c r="J1635" s="167"/>
      <c r="K1635" s="169"/>
      <c r="L1635" s="167"/>
      <c r="M1635" s="169"/>
      <c r="N1635" s="167"/>
      <c r="O1635" s="169"/>
    </row>
    <row r="1636" spans="2:15" s="453" customFormat="1" ht="14" x14ac:dyDescent="0.2">
      <c r="B1636" s="309"/>
      <c r="C1636" s="635"/>
      <c r="D1636" s="635"/>
      <c r="E1636" s="635"/>
      <c r="F1636" s="635"/>
      <c r="G1636" s="635"/>
      <c r="H1636" s="294"/>
      <c r="I1636" s="169"/>
      <c r="J1636" s="167"/>
      <c r="K1636" s="169"/>
      <c r="L1636" s="167"/>
      <c r="M1636" s="169"/>
      <c r="N1636" s="167"/>
      <c r="O1636" s="169"/>
    </row>
    <row r="1637" spans="2:15" s="453" customFormat="1" ht="14" x14ac:dyDescent="0.2">
      <c r="B1637" s="309"/>
      <c r="C1637" s="569" t="s">
        <v>845</v>
      </c>
      <c r="D1637" s="569"/>
      <c r="E1637" s="569"/>
      <c r="F1637" s="569"/>
      <c r="G1637" s="569"/>
      <c r="H1637" s="296"/>
      <c r="I1637" s="168" t="s">
        <v>211</v>
      </c>
      <c r="J1637" s="166" t="s">
        <v>211</v>
      </c>
      <c r="K1637" s="168" t="s">
        <v>211</v>
      </c>
      <c r="L1637" s="166" t="s">
        <v>211</v>
      </c>
      <c r="M1637" s="168" t="s">
        <v>211</v>
      </c>
      <c r="N1637" s="166" t="s">
        <v>211</v>
      </c>
      <c r="O1637" s="168" t="s">
        <v>211</v>
      </c>
    </row>
    <row r="1638" spans="2:15" s="453" customFormat="1" ht="14" x14ac:dyDescent="0.2">
      <c r="B1638" s="309"/>
      <c r="C1638" s="310"/>
      <c r="F1638" s="622" t="s">
        <v>746</v>
      </c>
      <c r="G1638" s="622"/>
      <c r="H1638" s="736"/>
      <c r="I1638" s="169"/>
      <c r="J1638" s="167"/>
      <c r="K1638" s="169"/>
      <c r="L1638" s="167"/>
      <c r="M1638" s="169"/>
      <c r="N1638" s="167"/>
      <c r="O1638" s="169"/>
    </row>
    <row r="1639" spans="2:15" s="453" customFormat="1" ht="14" x14ac:dyDescent="0.2">
      <c r="B1639" s="318"/>
      <c r="C1639" s="319"/>
      <c r="D1639" s="303"/>
      <c r="E1639" s="303"/>
      <c r="F1639" s="751" t="s">
        <v>772</v>
      </c>
      <c r="G1639" s="751"/>
      <c r="H1639" s="752"/>
      <c r="I1639" s="169"/>
      <c r="J1639" s="167"/>
      <c r="K1639" s="169"/>
      <c r="L1639" s="167"/>
      <c r="M1639" s="169"/>
      <c r="N1639" s="167"/>
      <c r="O1639" s="169"/>
    </row>
    <row r="1640" spans="2:15" s="453" customFormat="1" ht="14" x14ac:dyDescent="0.2">
      <c r="B1640" s="311">
        <v>12</v>
      </c>
      <c r="C1640" s="568" t="s">
        <v>773</v>
      </c>
      <c r="D1640" s="568"/>
      <c r="E1640" s="568"/>
      <c r="F1640" s="568"/>
      <c r="G1640" s="568"/>
      <c r="H1640" s="292"/>
      <c r="I1640" s="168" t="s">
        <v>211</v>
      </c>
      <c r="J1640" s="166" t="s">
        <v>211</v>
      </c>
      <c r="K1640" s="168" t="s">
        <v>211</v>
      </c>
      <c r="L1640" s="166" t="s">
        <v>211</v>
      </c>
      <c r="M1640" s="168" t="s">
        <v>211</v>
      </c>
      <c r="N1640" s="166" t="s">
        <v>211</v>
      </c>
      <c r="O1640" s="168" t="s">
        <v>211</v>
      </c>
    </row>
    <row r="1641" spans="2:15" s="453" customFormat="1" ht="14" x14ac:dyDescent="0.2">
      <c r="B1641" s="316"/>
      <c r="C1641" s="606"/>
      <c r="D1641" s="606"/>
      <c r="E1641" s="606"/>
      <c r="F1641" s="606"/>
      <c r="G1641" s="606"/>
      <c r="H1641" s="294"/>
      <c r="I1641" s="169"/>
      <c r="J1641" s="167"/>
      <c r="K1641" s="169"/>
      <c r="L1641" s="167"/>
      <c r="M1641" s="169"/>
      <c r="N1641" s="167"/>
      <c r="O1641" s="169"/>
    </row>
    <row r="1642" spans="2:15" s="453" customFormat="1" ht="14" x14ac:dyDescent="0.2">
      <c r="B1642" s="308" t="s">
        <v>333</v>
      </c>
      <c r="C1642" s="753" t="s">
        <v>774</v>
      </c>
      <c r="D1642" s="753"/>
      <c r="E1642" s="753"/>
      <c r="F1642" s="753"/>
      <c r="G1642" s="753"/>
      <c r="H1642" s="294"/>
      <c r="I1642" s="169"/>
      <c r="J1642" s="167"/>
      <c r="K1642" s="169"/>
      <c r="L1642" s="167"/>
      <c r="M1642" s="169"/>
      <c r="N1642" s="167"/>
      <c r="O1642" s="169"/>
    </row>
    <row r="1643" spans="2:15" s="453" customFormat="1" ht="14" x14ac:dyDescent="0.2">
      <c r="B1643" s="308"/>
      <c r="C1643" s="753"/>
      <c r="D1643" s="753"/>
      <c r="E1643" s="753"/>
      <c r="F1643" s="753"/>
      <c r="G1643" s="753"/>
      <c r="H1643" s="294"/>
      <c r="I1643" s="169"/>
      <c r="J1643" s="167"/>
      <c r="K1643" s="169"/>
      <c r="L1643" s="167"/>
      <c r="M1643" s="169"/>
      <c r="N1643" s="167"/>
      <c r="O1643" s="169"/>
    </row>
    <row r="1644" spans="2:15" s="453" customFormat="1" ht="14" x14ac:dyDescent="0.2">
      <c r="B1644" s="309"/>
      <c r="C1644" s="310"/>
      <c r="F1644" s="622" t="s">
        <v>775</v>
      </c>
      <c r="G1644" s="622"/>
      <c r="H1644" s="736"/>
      <c r="I1644" s="169"/>
      <c r="J1644" s="167"/>
      <c r="K1644" s="169"/>
      <c r="L1644" s="167"/>
      <c r="M1644" s="169"/>
      <c r="N1644" s="167"/>
      <c r="O1644" s="169"/>
    </row>
    <row r="1645" spans="2:15" s="453" customFormat="1" ht="14" x14ac:dyDescent="0.2">
      <c r="B1645" s="309"/>
      <c r="C1645" s="310"/>
      <c r="F1645" s="631" t="s">
        <v>776</v>
      </c>
      <c r="G1645" s="631"/>
      <c r="H1645" s="632"/>
      <c r="I1645" s="169"/>
      <c r="J1645" s="167"/>
      <c r="K1645" s="169"/>
      <c r="L1645" s="167"/>
      <c r="M1645" s="169"/>
      <c r="N1645" s="167"/>
      <c r="O1645" s="169"/>
    </row>
    <row r="1646" spans="2:15" s="453" customFormat="1" ht="14" x14ac:dyDescent="0.2">
      <c r="B1646" s="318"/>
      <c r="C1646" s="319"/>
      <c r="D1646" s="303"/>
      <c r="E1646" s="303"/>
      <c r="F1646" s="751" t="s">
        <v>777</v>
      </c>
      <c r="G1646" s="751"/>
      <c r="H1646" s="752"/>
      <c r="I1646" s="169"/>
      <c r="J1646" s="167"/>
      <c r="K1646" s="169"/>
      <c r="L1646" s="167"/>
      <c r="M1646" s="169"/>
      <c r="N1646" s="167"/>
      <c r="O1646" s="169"/>
    </row>
    <row r="1647" spans="2:15" s="453" customFormat="1" ht="14" x14ac:dyDescent="0.2">
      <c r="B1647" s="311">
        <v>13</v>
      </c>
      <c r="C1647" s="568" t="s">
        <v>778</v>
      </c>
      <c r="D1647" s="568"/>
      <c r="E1647" s="568"/>
      <c r="F1647" s="568"/>
      <c r="G1647" s="568"/>
      <c r="H1647" s="292"/>
      <c r="I1647" s="168" t="s">
        <v>211</v>
      </c>
      <c r="J1647" s="166" t="s">
        <v>211</v>
      </c>
      <c r="K1647" s="168" t="s">
        <v>211</v>
      </c>
      <c r="L1647" s="166" t="s">
        <v>211</v>
      </c>
      <c r="M1647" s="168" t="s">
        <v>211</v>
      </c>
      <c r="N1647" s="166" t="s">
        <v>211</v>
      </c>
      <c r="O1647" s="168" t="s">
        <v>211</v>
      </c>
    </row>
    <row r="1648" spans="2:15" s="453" customFormat="1" ht="14" x14ac:dyDescent="0.2">
      <c r="B1648" s="316"/>
      <c r="C1648" s="606"/>
      <c r="D1648" s="606"/>
      <c r="E1648" s="606"/>
      <c r="F1648" s="606"/>
      <c r="G1648" s="606"/>
      <c r="H1648" s="294"/>
      <c r="I1648" s="169"/>
      <c r="J1648" s="167"/>
      <c r="K1648" s="169"/>
      <c r="L1648" s="167"/>
      <c r="M1648" s="169"/>
      <c r="N1648" s="167"/>
      <c r="O1648" s="169"/>
    </row>
    <row r="1649" spans="2:16" s="453" customFormat="1" ht="14" x14ac:dyDescent="0.2">
      <c r="B1649" s="309"/>
      <c r="C1649" s="569" t="s">
        <v>779</v>
      </c>
      <c r="D1649" s="569"/>
      <c r="E1649" s="569"/>
      <c r="F1649" s="569"/>
      <c r="G1649" s="569"/>
      <c r="H1649" s="296"/>
      <c r="I1649" s="168" t="s">
        <v>211</v>
      </c>
      <c r="J1649" s="166" t="s">
        <v>211</v>
      </c>
      <c r="K1649" s="168" t="s">
        <v>211</v>
      </c>
      <c r="L1649" s="166" t="s">
        <v>211</v>
      </c>
      <c r="M1649" s="168" t="s">
        <v>211</v>
      </c>
      <c r="N1649" s="166" t="s">
        <v>211</v>
      </c>
      <c r="O1649" s="168" t="s">
        <v>211</v>
      </c>
    </row>
    <row r="1650" spans="2:16" s="453" customFormat="1" ht="14" x14ac:dyDescent="0.2">
      <c r="B1650" s="309"/>
      <c r="C1650" s="569" t="s">
        <v>780</v>
      </c>
      <c r="D1650" s="569"/>
      <c r="E1650" s="569"/>
      <c r="F1650" s="569"/>
      <c r="G1650" s="569"/>
      <c r="H1650" s="296"/>
      <c r="I1650" s="168" t="s">
        <v>211</v>
      </c>
      <c r="J1650" s="166" t="s">
        <v>211</v>
      </c>
      <c r="K1650" s="168" t="s">
        <v>211</v>
      </c>
      <c r="L1650" s="166" t="s">
        <v>211</v>
      </c>
      <c r="M1650" s="168" t="s">
        <v>211</v>
      </c>
      <c r="N1650" s="166" t="s">
        <v>211</v>
      </c>
      <c r="O1650" s="168" t="s">
        <v>211</v>
      </c>
    </row>
    <row r="1651" spans="2:16" s="453" customFormat="1" ht="14" x14ac:dyDescent="0.2">
      <c r="B1651" s="318"/>
      <c r="C1651" s="319"/>
      <c r="D1651" s="303"/>
      <c r="E1651" s="303"/>
      <c r="F1651" s="765" t="s">
        <v>781</v>
      </c>
      <c r="G1651" s="765"/>
      <c r="H1651" s="766"/>
      <c r="I1651" s="169"/>
      <c r="J1651" s="167"/>
      <c r="K1651" s="169"/>
      <c r="L1651" s="167"/>
      <c r="M1651" s="169"/>
      <c r="N1651" s="167"/>
      <c r="O1651" s="169"/>
    </row>
    <row r="1652" spans="2:16" s="453" customFormat="1" ht="14" x14ac:dyDescent="0.2">
      <c r="B1652" s="311">
        <v>14</v>
      </c>
      <c r="C1652" s="568" t="s">
        <v>782</v>
      </c>
      <c r="D1652" s="568"/>
      <c r="E1652" s="568"/>
      <c r="F1652" s="568"/>
      <c r="G1652" s="568"/>
      <c r="H1652" s="292"/>
      <c r="I1652" s="168" t="s">
        <v>211</v>
      </c>
      <c r="J1652" s="166" t="s">
        <v>211</v>
      </c>
      <c r="K1652" s="168" t="s">
        <v>211</v>
      </c>
      <c r="L1652" s="166" t="s">
        <v>211</v>
      </c>
      <c r="M1652" s="168" t="s">
        <v>211</v>
      </c>
      <c r="N1652" s="166" t="s">
        <v>211</v>
      </c>
      <c r="O1652" s="168" t="s">
        <v>211</v>
      </c>
    </row>
    <row r="1653" spans="2:16" s="453" customFormat="1" ht="14" x14ac:dyDescent="0.2">
      <c r="B1653" s="316"/>
      <c r="C1653" s="606"/>
      <c r="D1653" s="606"/>
      <c r="E1653" s="606"/>
      <c r="F1653" s="606"/>
      <c r="G1653" s="606"/>
      <c r="H1653" s="294"/>
      <c r="I1653" s="169"/>
      <c r="J1653" s="167"/>
      <c r="K1653" s="169"/>
      <c r="L1653" s="167"/>
      <c r="M1653" s="169"/>
      <c r="N1653" s="167"/>
      <c r="O1653" s="169"/>
    </row>
    <row r="1654" spans="2:16" s="453" customFormat="1" ht="14" x14ac:dyDescent="0.2">
      <c r="B1654" s="316"/>
      <c r="C1654" s="761" t="s">
        <v>783</v>
      </c>
      <c r="D1654" s="761"/>
      <c r="E1654" s="761"/>
      <c r="F1654" s="761"/>
      <c r="G1654" s="761"/>
      <c r="H1654" s="296"/>
      <c r="I1654" s="168" t="s">
        <v>211</v>
      </c>
      <c r="J1654" s="166" t="s">
        <v>211</v>
      </c>
      <c r="K1654" s="168" t="s">
        <v>211</v>
      </c>
      <c r="L1654" s="166" t="s">
        <v>211</v>
      </c>
      <c r="M1654" s="168" t="s">
        <v>211</v>
      </c>
      <c r="N1654" s="166" t="s">
        <v>211</v>
      </c>
      <c r="O1654" s="168" t="s">
        <v>211</v>
      </c>
    </row>
    <row r="1655" spans="2:16" s="453" customFormat="1" ht="14" x14ac:dyDescent="0.2">
      <c r="B1655" s="309"/>
      <c r="C1655" s="761"/>
      <c r="D1655" s="761"/>
      <c r="E1655" s="761"/>
      <c r="F1655" s="761"/>
      <c r="G1655" s="761"/>
      <c r="H1655" s="294"/>
      <c r="I1655" s="169"/>
      <c r="J1655" s="167"/>
      <c r="K1655" s="169"/>
      <c r="L1655" s="167"/>
      <c r="M1655" s="169"/>
      <c r="N1655" s="167"/>
      <c r="O1655" s="169"/>
    </row>
    <row r="1656" spans="2:16" s="453" customFormat="1" ht="14" x14ac:dyDescent="0.2">
      <c r="B1656" s="309"/>
      <c r="C1656" s="569" t="s">
        <v>784</v>
      </c>
      <c r="D1656" s="569"/>
      <c r="E1656" s="569"/>
      <c r="F1656" s="569"/>
      <c r="G1656" s="569"/>
      <c r="H1656" s="296"/>
      <c r="I1656" s="168" t="s">
        <v>211</v>
      </c>
      <c r="J1656" s="166" t="s">
        <v>211</v>
      </c>
      <c r="K1656" s="168" t="s">
        <v>211</v>
      </c>
      <c r="L1656" s="166" t="s">
        <v>211</v>
      </c>
      <c r="M1656" s="168" t="s">
        <v>211</v>
      </c>
      <c r="N1656" s="166" t="s">
        <v>211</v>
      </c>
      <c r="O1656" s="168" t="s">
        <v>211</v>
      </c>
    </row>
    <row r="1657" spans="2:16" s="453" customFormat="1" ht="14" x14ac:dyDescent="0.2">
      <c r="B1657" s="309"/>
      <c r="C1657" s="606" t="s">
        <v>769</v>
      </c>
      <c r="D1657" s="606"/>
      <c r="E1657" s="606"/>
      <c r="F1657" s="606"/>
      <c r="G1657" s="606"/>
      <c r="H1657" s="296"/>
      <c r="I1657" s="168" t="s">
        <v>211</v>
      </c>
      <c r="J1657" s="166" t="s">
        <v>211</v>
      </c>
      <c r="K1657" s="168" t="s">
        <v>211</v>
      </c>
      <c r="L1657" s="166" t="s">
        <v>211</v>
      </c>
      <c r="M1657" s="168" t="s">
        <v>211</v>
      </c>
      <c r="N1657" s="166" t="s">
        <v>211</v>
      </c>
      <c r="O1657" s="168" t="s">
        <v>211</v>
      </c>
    </row>
    <row r="1658" spans="2:16" s="453" customFormat="1" ht="14" x14ac:dyDescent="0.2">
      <c r="B1658" s="309"/>
      <c r="C1658" s="606"/>
      <c r="D1658" s="606"/>
      <c r="E1658" s="606"/>
      <c r="F1658" s="606"/>
      <c r="G1658" s="606"/>
      <c r="H1658" s="294"/>
      <c r="I1658" s="172">
        <f>COUNTIF(I1421:I1657,Data!$A$1)</f>
        <v>0</v>
      </c>
      <c r="J1658" s="203">
        <f>COUNTIF(J1421:J1657,Data!$A$1)</f>
        <v>0</v>
      </c>
      <c r="K1658" s="172">
        <f>COUNTIF(K1421:K1657,Data!$A$1)</f>
        <v>0</v>
      </c>
      <c r="L1658" s="203">
        <f>COUNTIF(L1421:L1657,Data!$A$1)</f>
        <v>0</v>
      </c>
      <c r="M1658" s="172">
        <f>COUNTIF(M1421:M1657,Data!$A$1)</f>
        <v>0</v>
      </c>
      <c r="N1658" s="203">
        <f>COUNTIF(N1421:N1657,Data!$A$1)</f>
        <v>0</v>
      </c>
      <c r="O1658" s="172">
        <f>COUNTIF(O1421:O1657,Data!$A$1)</f>
        <v>0</v>
      </c>
      <c r="P1658" s="107">
        <f>SUM(I1658:K1658,M1658:N1658)</f>
        <v>0</v>
      </c>
    </row>
    <row r="1659" spans="2:16" s="453" customFormat="1" ht="14" x14ac:dyDescent="0.2">
      <c r="B1659" s="309"/>
      <c r="C1659" s="310"/>
      <c r="F1659" s="743" t="s">
        <v>785</v>
      </c>
      <c r="G1659" s="743"/>
      <c r="H1659" s="744"/>
      <c r="I1659" s="172">
        <f>SUM(I1658*5)</f>
        <v>0</v>
      </c>
      <c r="J1659" s="202"/>
      <c r="K1659" s="172">
        <f>SUM(K1658*4)</f>
        <v>0</v>
      </c>
      <c r="L1659" s="202"/>
      <c r="M1659" s="172">
        <f>SUM(M1658*5)</f>
        <v>0</v>
      </c>
      <c r="N1659" s="202">
        <f>SUM(N1658*5)</f>
        <v>0</v>
      </c>
      <c r="O1659" s="172">
        <f>SUM(I1659:N1659)</f>
        <v>0</v>
      </c>
      <c r="P1659" s="107">
        <f>SUM(P1658*5)</f>
        <v>0</v>
      </c>
    </row>
    <row r="1660" spans="2:16" s="453" customFormat="1" ht="14" x14ac:dyDescent="0.2">
      <c r="B1660" s="309"/>
      <c r="C1660" s="310"/>
      <c r="F1660" s="743" t="s">
        <v>777</v>
      </c>
      <c r="G1660" s="743"/>
      <c r="H1660" s="744"/>
      <c r="I1660" s="169"/>
      <c r="J1660" s="167"/>
      <c r="K1660" s="169"/>
      <c r="L1660" s="167"/>
      <c r="M1660" s="169"/>
      <c r="N1660" s="167"/>
      <c r="O1660" s="169"/>
    </row>
    <row r="1661" spans="2:16" s="453" customFormat="1" ht="14" x14ac:dyDescent="0.2">
      <c r="B1661" s="309"/>
      <c r="C1661" s="310"/>
      <c r="F1661" s="631" t="s">
        <v>786</v>
      </c>
      <c r="G1661" s="631"/>
      <c r="H1661" s="632"/>
      <c r="I1661" s="169"/>
      <c r="J1661" s="167"/>
      <c r="K1661" s="169"/>
      <c r="L1661" s="167"/>
      <c r="M1661" s="169"/>
      <c r="N1661" s="167"/>
      <c r="O1661" s="169"/>
    </row>
    <row r="1662" spans="2:16" s="453" customFormat="1" ht="14" x14ac:dyDescent="0.2">
      <c r="B1662" s="318"/>
      <c r="C1662" s="319"/>
      <c r="D1662" s="303"/>
      <c r="E1662" s="303"/>
      <c r="F1662" s="745" t="s">
        <v>945</v>
      </c>
      <c r="G1662" s="745"/>
      <c r="H1662" s="746"/>
      <c r="I1662" s="169"/>
      <c r="J1662" s="167"/>
      <c r="K1662" s="169"/>
      <c r="L1662" s="167"/>
      <c r="M1662" s="169"/>
      <c r="N1662" s="167"/>
      <c r="O1662" s="169"/>
    </row>
    <row r="1663" spans="2:16" s="453" customFormat="1" ht="14" x14ac:dyDescent="0.2">
      <c r="B1663" s="356" t="s">
        <v>787</v>
      </c>
      <c r="C1663" s="357"/>
      <c r="D1663" s="358"/>
      <c r="E1663" s="359"/>
      <c r="F1663" s="359"/>
      <c r="G1663" s="359"/>
      <c r="H1663" s="360"/>
      <c r="I1663" s="169"/>
      <c r="J1663" s="167"/>
      <c r="K1663" s="169"/>
      <c r="L1663" s="167"/>
      <c r="M1663" s="169"/>
      <c r="N1663" s="167"/>
      <c r="O1663" s="169"/>
    </row>
    <row r="1664" spans="2:16" s="453" customFormat="1" ht="14" x14ac:dyDescent="0.2">
      <c r="B1664" s="309"/>
      <c r="C1664" s="606" t="s">
        <v>788</v>
      </c>
      <c r="D1664" s="606"/>
      <c r="E1664" s="606"/>
      <c r="F1664" s="606"/>
      <c r="G1664" s="606"/>
      <c r="H1664" s="296"/>
      <c r="I1664" s="168" t="s">
        <v>211</v>
      </c>
      <c r="J1664" s="166" t="s">
        <v>211</v>
      </c>
      <c r="K1664" s="168" t="s">
        <v>211</v>
      </c>
      <c r="L1664" s="166" t="s">
        <v>211</v>
      </c>
      <c r="M1664" s="168" t="s">
        <v>211</v>
      </c>
      <c r="N1664" s="166" t="s">
        <v>211</v>
      </c>
      <c r="O1664" s="168" t="s">
        <v>211</v>
      </c>
    </row>
    <row r="1665" spans="2:16" s="453" customFormat="1" ht="14" x14ac:dyDescent="0.2">
      <c r="B1665" s="309"/>
      <c r="C1665" s="606"/>
      <c r="D1665" s="606"/>
      <c r="E1665" s="606"/>
      <c r="F1665" s="606"/>
      <c r="G1665" s="606"/>
      <c r="H1665" s="294"/>
      <c r="I1665" s="172">
        <f>COUNTIF(I1664,Data!$A$1)</f>
        <v>0</v>
      </c>
      <c r="J1665" s="203">
        <f>COUNTIF(J1664,Data!$A$1)</f>
        <v>0</v>
      </c>
      <c r="K1665" s="172">
        <f>COUNTIF(K1664,Data!$A$1)</f>
        <v>0</v>
      </c>
      <c r="L1665" s="203">
        <f>COUNTIF(L1664,Data!$A$1)</f>
        <v>0</v>
      </c>
      <c r="M1665" s="172">
        <f>COUNTIF(M1664,Data!$A$1)</f>
        <v>0</v>
      </c>
      <c r="N1665" s="203">
        <f>COUNTIF(N1664,Data!$A$1)</f>
        <v>0</v>
      </c>
      <c r="O1665" s="172">
        <f>COUNTIF(O1664,Data!$A$1)</f>
        <v>0</v>
      </c>
      <c r="P1665" s="107">
        <f>SUM(I1665:K1665,M1665:N1665)</f>
        <v>0</v>
      </c>
    </row>
    <row r="1666" spans="2:16" s="453" customFormat="1" ht="14" x14ac:dyDescent="0.2">
      <c r="B1666" s="308" t="s">
        <v>333</v>
      </c>
      <c r="C1666" s="634" t="s">
        <v>789</v>
      </c>
      <c r="D1666" s="634"/>
      <c r="E1666" s="634"/>
      <c r="F1666" s="634"/>
      <c r="G1666" s="634"/>
      <c r="H1666" s="294"/>
      <c r="I1666" s="172">
        <f>SUM(I1665*15)</f>
        <v>0</v>
      </c>
      <c r="J1666" s="202"/>
      <c r="K1666" s="172">
        <f>SUM(K1665*10)</f>
        <v>0</v>
      </c>
      <c r="L1666" s="202"/>
      <c r="M1666" s="172">
        <f>SUM(M1665*15)</f>
        <v>0</v>
      </c>
      <c r="N1666" s="205">
        <f>SUM(N1665*15)</f>
        <v>0</v>
      </c>
      <c r="O1666" s="172">
        <f>SUM(I1666:N1666)</f>
        <v>0</v>
      </c>
      <c r="P1666" s="107">
        <f>SUM(P1665*15)</f>
        <v>0</v>
      </c>
    </row>
    <row r="1667" spans="2:16" s="453" customFormat="1" ht="14" x14ac:dyDescent="0.2">
      <c r="B1667" s="308" t="s">
        <v>333</v>
      </c>
      <c r="C1667" s="628" t="s">
        <v>790</v>
      </c>
      <c r="D1667" s="628"/>
      <c r="E1667" s="628"/>
      <c r="F1667" s="628"/>
      <c r="G1667" s="628"/>
      <c r="H1667" s="294"/>
      <c r="I1667" s="169"/>
      <c r="J1667" s="167"/>
      <c r="K1667" s="169"/>
      <c r="L1667" s="167"/>
      <c r="M1667" s="169"/>
      <c r="N1667" s="202"/>
      <c r="O1667" s="169"/>
    </row>
    <row r="1668" spans="2:16" s="453" customFormat="1" ht="14" x14ac:dyDescent="0.2">
      <c r="B1668" s="308"/>
      <c r="C1668" s="628"/>
      <c r="D1668" s="628"/>
      <c r="E1668" s="628"/>
      <c r="F1668" s="628"/>
      <c r="G1668" s="628"/>
      <c r="H1668" s="294"/>
      <c r="I1668" s="169"/>
      <c r="J1668" s="167"/>
      <c r="K1668" s="169"/>
      <c r="L1668" s="167"/>
      <c r="M1668" s="169"/>
      <c r="N1668" s="167"/>
      <c r="O1668" s="169"/>
    </row>
    <row r="1669" spans="2:16" s="453" customFormat="1" ht="14" x14ac:dyDescent="0.2">
      <c r="B1669" s="308"/>
      <c r="C1669" s="628"/>
      <c r="D1669" s="628"/>
      <c r="E1669" s="628"/>
      <c r="F1669" s="628"/>
      <c r="G1669" s="628"/>
      <c r="H1669" s="294"/>
      <c r="I1669" s="169"/>
      <c r="J1669" s="167"/>
      <c r="K1669" s="169"/>
      <c r="L1669" s="167"/>
      <c r="M1669" s="169"/>
      <c r="N1669" s="167"/>
      <c r="O1669" s="169"/>
    </row>
    <row r="1670" spans="2:16" s="453" customFormat="1" ht="14" x14ac:dyDescent="0.2">
      <c r="B1670" s="318"/>
      <c r="C1670" s="319"/>
      <c r="D1670" s="303"/>
      <c r="E1670" s="303"/>
      <c r="F1670" s="765" t="s">
        <v>791</v>
      </c>
      <c r="G1670" s="765"/>
      <c r="H1670" s="766"/>
      <c r="I1670" s="169"/>
      <c r="J1670" s="167"/>
      <c r="K1670" s="169"/>
      <c r="L1670" s="167"/>
      <c r="M1670" s="169"/>
      <c r="N1670" s="167"/>
      <c r="O1670" s="169"/>
    </row>
    <row r="1671" spans="2:16" s="453" customFormat="1" ht="14" x14ac:dyDescent="0.2">
      <c r="B1671" s="311">
        <v>16</v>
      </c>
      <c r="C1671" s="774" t="s">
        <v>792</v>
      </c>
      <c r="D1671" s="774"/>
      <c r="E1671" s="774"/>
      <c r="F1671" s="774"/>
      <c r="G1671" s="774"/>
      <c r="H1671" s="162"/>
      <c r="I1671" s="169"/>
      <c r="J1671" s="167"/>
      <c r="K1671" s="169"/>
      <c r="L1671" s="167"/>
      <c r="M1671" s="169"/>
      <c r="N1671" s="167"/>
      <c r="O1671" s="169"/>
    </row>
    <row r="1672" spans="2:16" s="453" customFormat="1" ht="14" x14ac:dyDescent="0.2">
      <c r="B1672" s="309"/>
      <c r="C1672" s="761" t="s">
        <v>793</v>
      </c>
      <c r="D1672" s="761"/>
      <c r="E1672" s="761"/>
      <c r="F1672" s="761"/>
      <c r="G1672" s="761"/>
      <c r="H1672" s="296"/>
      <c r="I1672" s="168" t="s">
        <v>211</v>
      </c>
      <c r="J1672" s="166" t="s">
        <v>211</v>
      </c>
      <c r="K1672" s="168" t="s">
        <v>211</v>
      </c>
      <c r="L1672" s="166" t="s">
        <v>211</v>
      </c>
      <c r="M1672" s="168" t="s">
        <v>211</v>
      </c>
      <c r="N1672" s="166" t="s">
        <v>211</v>
      </c>
      <c r="O1672" s="168" t="s">
        <v>211</v>
      </c>
    </row>
    <row r="1673" spans="2:16" s="453" customFormat="1" ht="14" x14ac:dyDescent="0.2">
      <c r="B1673" s="309"/>
      <c r="C1673" s="761"/>
      <c r="D1673" s="761"/>
      <c r="E1673" s="761"/>
      <c r="F1673" s="761"/>
      <c r="G1673" s="761"/>
      <c r="H1673" s="294"/>
      <c r="I1673" s="169"/>
      <c r="J1673" s="167"/>
      <c r="K1673" s="169"/>
      <c r="L1673" s="167"/>
      <c r="M1673" s="169"/>
      <c r="N1673" s="167"/>
      <c r="O1673" s="169"/>
    </row>
    <row r="1674" spans="2:16" s="453" customFormat="1" ht="14" x14ac:dyDescent="0.2">
      <c r="B1674" s="309"/>
      <c r="C1674" s="761" t="s">
        <v>853</v>
      </c>
      <c r="D1674" s="761"/>
      <c r="E1674" s="761"/>
      <c r="F1674" s="761"/>
      <c r="G1674" s="761"/>
      <c r="H1674" s="296"/>
      <c r="I1674" s="168" t="s">
        <v>211</v>
      </c>
      <c r="J1674" s="166" t="s">
        <v>211</v>
      </c>
      <c r="K1674" s="168" t="s">
        <v>211</v>
      </c>
      <c r="L1674" s="166" t="s">
        <v>211</v>
      </c>
      <c r="M1674" s="168" t="s">
        <v>211</v>
      </c>
      <c r="N1674" s="166" t="s">
        <v>211</v>
      </c>
      <c r="O1674" s="168" t="s">
        <v>211</v>
      </c>
    </row>
    <row r="1675" spans="2:16" s="453" customFormat="1" ht="14" x14ac:dyDescent="0.2">
      <c r="B1675" s="309"/>
      <c r="C1675" s="761"/>
      <c r="D1675" s="761"/>
      <c r="E1675" s="761"/>
      <c r="F1675" s="761"/>
      <c r="G1675" s="761"/>
      <c r="H1675" s="294"/>
      <c r="I1675" s="169"/>
      <c r="J1675" s="167"/>
      <c r="K1675" s="169"/>
      <c r="L1675" s="167"/>
      <c r="M1675" s="169"/>
      <c r="N1675" s="167"/>
      <c r="O1675" s="169"/>
    </row>
    <row r="1676" spans="2:16" s="453" customFormat="1" ht="14" x14ac:dyDescent="0.2">
      <c r="B1676" s="309"/>
      <c r="C1676" s="761"/>
      <c r="D1676" s="761"/>
      <c r="E1676" s="761"/>
      <c r="F1676" s="761"/>
      <c r="G1676" s="761"/>
      <c r="H1676" s="294"/>
      <c r="I1676" s="169"/>
      <c r="J1676" s="167"/>
      <c r="K1676" s="169"/>
      <c r="L1676" s="167"/>
      <c r="M1676" s="169"/>
      <c r="N1676" s="167"/>
      <c r="O1676" s="169"/>
    </row>
    <row r="1677" spans="2:16" s="453" customFormat="1" ht="14" x14ac:dyDescent="0.2">
      <c r="B1677" s="318"/>
      <c r="C1677" s="319"/>
      <c r="D1677" s="303"/>
      <c r="E1677" s="303"/>
      <c r="F1677" s="765" t="s">
        <v>794</v>
      </c>
      <c r="G1677" s="765"/>
      <c r="H1677" s="766"/>
      <c r="I1677" s="169"/>
      <c r="J1677" s="167"/>
      <c r="K1677" s="169"/>
      <c r="L1677" s="167"/>
      <c r="M1677" s="169"/>
      <c r="N1677" s="167"/>
      <c r="O1677" s="169"/>
    </row>
    <row r="1678" spans="2:16" s="453" customFormat="1" ht="14" x14ac:dyDescent="0.2">
      <c r="B1678" s="311">
        <v>17</v>
      </c>
      <c r="C1678" s="738" t="s">
        <v>795</v>
      </c>
      <c r="D1678" s="738"/>
      <c r="E1678" s="738"/>
      <c r="F1678" s="738"/>
      <c r="G1678" s="738"/>
      <c r="H1678" s="292"/>
      <c r="I1678" s="168" t="s">
        <v>211</v>
      </c>
      <c r="J1678" s="166" t="s">
        <v>211</v>
      </c>
      <c r="K1678" s="168" t="s">
        <v>211</v>
      </c>
      <c r="L1678" s="166" t="s">
        <v>211</v>
      </c>
      <c r="M1678" s="168" t="s">
        <v>211</v>
      </c>
      <c r="N1678" s="166" t="s">
        <v>211</v>
      </c>
      <c r="O1678" s="168" t="s">
        <v>211</v>
      </c>
    </row>
    <row r="1679" spans="2:16" s="453" customFormat="1" ht="14" x14ac:dyDescent="0.2">
      <c r="B1679" s="309"/>
      <c r="C1679" s="569" t="s">
        <v>823</v>
      </c>
      <c r="D1679" s="569"/>
      <c r="E1679" s="569"/>
      <c r="F1679" s="569"/>
      <c r="G1679" s="569"/>
      <c r="H1679" s="296"/>
      <c r="I1679" s="168" t="s">
        <v>211</v>
      </c>
      <c r="J1679" s="166" t="s">
        <v>211</v>
      </c>
      <c r="K1679" s="168" t="s">
        <v>211</v>
      </c>
      <c r="L1679" s="166" t="s">
        <v>211</v>
      </c>
      <c r="M1679" s="168" t="s">
        <v>211</v>
      </c>
      <c r="N1679" s="166" t="s">
        <v>211</v>
      </c>
      <c r="O1679" s="168" t="s">
        <v>211</v>
      </c>
    </row>
    <row r="1680" spans="2:16" s="453" customFormat="1" ht="14" x14ac:dyDescent="0.2">
      <c r="B1680" s="309"/>
      <c r="C1680" s="569" t="s">
        <v>796</v>
      </c>
      <c r="D1680" s="569"/>
      <c r="E1680" s="569"/>
      <c r="F1680" s="569"/>
      <c r="G1680" s="569"/>
      <c r="H1680" s="296"/>
      <c r="I1680" s="168" t="s">
        <v>211</v>
      </c>
      <c r="J1680" s="166" t="s">
        <v>211</v>
      </c>
      <c r="K1680" s="168" t="s">
        <v>211</v>
      </c>
      <c r="L1680" s="166" t="s">
        <v>211</v>
      </c>
      <c r="M1680" s="168" t="s">
        <v>211</v>
      </c>
      <c r="N1680" s="166" t="s">
        <v>211</v>
      </c>
      <c r="O1680" s="168" t="s">
        <v>211</v>
      </c>
    </row>
    <row r="1681" spans="2:15" s="453" customFormat="1" ht="14" x14ac:dyDescent="0.2">
      <c r="B1681" s="309"/>
      <c r="C1681" s="633" t="s">
        <v>797</v>
      </c>
      <c r="D1681" s="633"/>
      <c r="E1681" s="633"/>
      <c r="F1681" s="633"/>
      <c r="G1681" s="633"/>
      <c r="H1681" s="296"/>
      <c r="I1681" s="168" t="s">
        <v>211</v>
      </c>
      <c r="J1681" s="166" t="s">
        <v>211</v>
      </c>
      <c r="K1681" s="168" t="s">
        <v>211</v>
      </c>
      <c r="L1681" s="166" t="s">
        <v>211</v>
      </c>
      <c r="M1681" s="168" t="s">
        <v>211</v>
      </c>
      <c r="N1681" s="166" t="s">
        <v>211</v>
      </c>
      <c r="O1681" s="168" t="s">
        <v>211</v>
      </c>
    </row>
    <row r="1682" spans="2:15" s="453" customFormat="1" ht="14" x14ac:dyDescent="0.2">
      <c r="B1682" s="309"/>
      <c r="C1682" s="310"/>
      <c r="F1682" s="631" t="s">
        <v>798</v>
      </c>
      <c r="G1682" s="631"/>
      <c r="H1682" s="632"/>
      <c r="I1682" s="169"/>
      <c r="J1682" s="167"/>
      <c r="K1682" s="169"/>
      <c r="L1682" s="167"/>
      <c r="M1682" s="169"/>
      <c r="N1682" s="167"/>
      <c r="O1682" s="169"/>
    </row>
    <row r="1683" spans="2:15" s="453" customFormat="1" ht="14" x14ac:dyDescent="0.2">
      <c r="B1683" s="309"/>
      <c r="C1683" s="310"/>
      <c r="F1683" s="631" t="s">
        <v>799</v>
      </c>
      <c r="G1683" s="631"/>
      <c r="H1683" s="632"/>
      <c r="I1683" s="169"/>
      <c r="J1683" s="167"/>
      <c r="K1683" s="169"/>
      <c r="L1683" s="167"/>
      <c r="M1683" s="169"/>
      <c r="N1683" s="167"/>
      <c r="O1683" s="169"/>
    </row>
    <row r="1684" spans="2:15" s="453" customFormat="1" ht="14" x14ac:dyDescent="0.2">
      <c r="B1684" s="318"/>
      <c r="C1684" s="319"/>
      <c r="D1684" s="303"/>
      <c r="E1684" s="303"/>
      <c r="F1684" s="745" t="s">
        <v>762</v>
      </c>
      <c r="G1684" s="745"/>
      <c r="H1684" s="746"/>
      <c r="I1684" s="169"/>
      <c r="J1684" s="167"/>
      <c r="K1684" s="169"/>
      <c r="L1684" s="167"/>
      <c r="M1684" s="169"/>
      <c r="N1684" s="167"/>
      <c r="O1684" s="169"/>
    </row>
    <row r="1685" spans="2:15" s="453" customFormat="1" ht="14" x14ac:dyDescent="0.2">
      <c r="B1685" s="311">
        <v>18</v>
      </c>
      <c r="C1685" s="361" t="s">
        <v>800</v>
      </c>
      <c r="D1685" s="355"/>
      <c r="E1685" s="142"/>
      <c r="F1685" s="142"/>
      <c r="G1685" s="142"/>
      <c r="H1685" s="162"/>
      <c r="I1685" s="169"/>
      <c r="J1685" s="167"/>
      <c r="K1685" s="169"/>
      <c r="L1685" s="167"/>
      <c r="M1685" s="169"/>
      <c r="N1685" s="167"/>
      <c r="O1685" s="169"/>
    </row>
    <row r="1686" spans="2:15" s="453" customFormat="1" ht="14" x14ac:dyDescent="0.2">
      <c r="B1686" s="309"/>
      <c r="C1686" s="310"/>
      <c r="F1686" s="622" t="s">
        <v>775</v>
      </c>
      <c r="G1686" s="622"/>
      <c r="H1686" s="736"/>
      <c r="I1686" s="169"/>
      <c r="J1686" s="167"/>
      <c r="K1686" s="169"/>
      <c r="L1686" s="167"/>
      <c r="M1686" s="169"/>
      <c r="N1686" s="167"/>
      <c r="O1686" s="169"/>
    </row>
    <row r="1687" spans="2:15" s="453" customFormat="1" ht="14" x14ac:dyDescent="0.2">
      <c r="B1687" s="309"/>
      <c r="C1687" s="310"/>
      <c r="D1687" s="631" t="s">
        <v>801</v>
      </c>
      <c r="E1687" s="631"/>
      <c r="F1687" s="631"/>
      <c r="G1687" s="631"/>
      <c r="H1687" s="632"/>
      <c r="I1687" s="169"/>
      <c r="J1687" s="167"/>
      <c r="K1687" s="169"/>
      <c r="L1687" s="167"/>
      <c r="M1687" s="169"/>
      <c r="N1687" s="167"/>
      <c r="O1687" s="169"/>
    </row>
    <row r="1688" spans="2:15" s="453" customFormat="1" ht="14" x14ac:dyDescent="0.2">
      <c r="B1688" s="309"/>
      <c r="C1688" s="631" t="s">
        <v>802</v>
      </c>
      <c r="D1688" s="631"/>
      <c r="E1688" s="631"/>
      <c r="F1688" s="631"/>
      <c r="G1688" s="631"/>
      <c r="H1688" s="632"/>
      <c r="I1688" s="169"/>
      <c r="J1688" s="167"/>
      <c r="K1688" s="169"/>
      <c r="L1688" s="167"/>
      <c r="M1688" s="169"/>
      <c r="N1688" s="167"/>
      <c r="O1688" s="169"/>
    </row>
    <row r="1689" spans="2:15" s="453" customFormat="1" ht="14" x14ac:dyDescent="0.2">
      <c r="B1689" s="318"/>
      <c r="C1689" s="762" t="s">
        <v>803</v>
      </c>
      <c r="D1689" s="762"/>
      <c r="E1689" s="762"/>
      <c r="F1689" s="762"/>
      <c r="G1689" s="762"/>
      <c r="H1689" s="763"/>
      <c r="I1689" s="169"/>
      <c r="J1689" s="167"/>
      <c r="K1689" s="169"/>
      <c r="L1689" s="167"/>
      <c r="M1689" s="169"/>
      <c r="N1689" s="167"/>
      <c r="O1689" s="169"/>
    </row>
    <row r="1690" spans="2:15" s="453" customFormat="1" ht="14" x14ac:dyDescent="0.2">
      <c r="B1690" s="327" t="s">
        <v>804</v>
      </c>
      <c r="C1690" s="738" t="s">
        <v>805</v>
      </c>
      <c r="D1690" s="738"/>
      <c r="E1690" s="738"/>
      <c r="F1690" s="738"/>
      <c r="G1690" s="738"/>
      <c r="H1690" s="292"/>
      <c r="I1690" s="168" t="s">
        <v>211</v>
      </c>
      <c r="J1690" s="166" t="s">
        <v>211</v>
      </c>
      <c r="K1690" s="168" t="s">
        <v>211</v>
      </c>
      <c r="L1690" s="166" t="s">
        <v>211</v>
      </c>
      <c r="M1690" s="168" t="s">
        <v>211</v>
      </c>
      <c r="N1690" s="166" t="s">
        <v>211</v>
      </c>
      <c r="O1690" s="168" t="s">
        <v>211</v>
      </c>
    </row>
    <row r="1691" spans="2:15" s="453" customFormat="1" ht="14" x14ac:dyDescent="0.2">
      <c r="B1691" s="309"/>
      <c r="C1691" s="569" t="s">
        <v>806</v>
      </c>
      <c r="D1691" s="569"/>
      <c r="E1691" s="569"/>
      <c r="F1691" s="569"/>
      <c r="G1691" s="569"/>
      <c r="H1691" s="296"/>
      <c r="I1691" s="168" t="s">
        <v>211</v>
      </c>
      <c r="J1691" s="166" t="s">
        <v>211</v>
      </c>
      <c r="K1691" s="168" t="s">
        <v>211</v>
      </c>
      <c r="L1691" s="166" t="s">
        <v>211</v>
      </c>
      <c r="M1691" s="168" t="s">
        <v>211</v>
      </c>
      <c r="N1691" s="166" t="s">
        <v>211</v>
      </c>
      <c r="O1691" s="168" t="s">
        <v>211</v>
      </c>
    </row>
    <row r="1692" spans="2:15" s="453" customFormat="1" ht="14" x14ac:dyDescent="0.2">
      <c r="B1692" s="309"/>
      <c r="C1692" s="569" t="s">
        <v>807</v>
      </c>
      <c r="D1692" s="569"/>
      <c r="E1692" s="569"/>
      <c r="F1692" s="569"/>
      <c r="G1692" s="569"/>
      <c r="H1692" s="296"/>
      <c r="I1692" s="168" t="s">
        <v>211</v>
      </c>
      <c r="J1692" s="166" t="s">
        <v>211</v>
      </c>
      <c r="K1692" s="168" t="s">
        <v>211</v>
      </c>
      <c r="L1692" s="166" t="s">
        <v>211</v>
      </c>
      <c r="M1692" s="168" t="s">
        <v>211</v>
      </c>
      <c r="N1692" s="166" t="s">
        <v>211</v>
      </c>
      <c r="O1692" s="168" t="s">
        <v>211</v>
      </c>
    </row>
    <row r="1693" spans="2:15" s="453" customFormat="1" ht="14" x14ac:dyDescent="0.2">
      <c r="B1693" s="309"/>
      <c r="C1693" s="569" t="s">
        <v>808</v>
      </c>
      <c r="D1693" s="569"/>
      <c r="E1693" s="569"/>
      <c r="F1693" s="569"/>
      <c r="G1693" s="569"/>
      <c r="H1693" s="296"/>
      <c r="I1693" s="168" t="s">
        <v>211</v>
      </c>
      <c r="J1693" s="166" t="s">
        <v>211</v>
      </c>
      <c r="K1693" s="168" t="s">
        <v>211</v>
      </c>
      <c r="L1693" s="166" t="s">
        <v>211</v>
      </c>
      <c r="M1693" s="168" t="s">
        <v>211</v>
      </c>
      <c r="N1693" s="166" t="s">
        <v>211</v>
      </c>
      <c r="O1693" s="168" t="s">
        <v>211</v>
      </c>
    </row>
    <row r="1694" spans="2:15" s="453" customFormat="1" ht="14" x14ac:dyDescent="0.2">
      <c r="B1694" s="318"/>
      <c r="C1694" s="319"/>
      <c r="D1694" s="303"/>
      <c r="E1694" s="303"/>
      <c r="F1694" s="765" t="s">
        <v>482</v>
      </c>
      <c r="G1694" s="765"/>
      <c r="H1694" s="766"/>
      <c r="I1694" s="169"/>
      <c r="J1694" s="167"/>
      <c r="K1694" s="169"/>
      <c r="L1694" s="167"/>
      <c r="M1694" s="169"/>
      <c r="N1694" s="167"/>
      <c r="O1694" s="169"/>
    </row>
    <row r="1695" spans="2:15" s="453" customFormat="1" ht="14" x14ac:dyDescent="0.2">
      <c r="B1695" s="112"/>
      <c r="I1695" s="135"/>
      <c r="J1695" s="105"/>
      <c r="K1695" s="135"/>
      <c r="L1695" s="105"/>
      <c r="M1695" s="135"/>
      <c r="N1695" s="105"/>
      <c r="O1695" s="135"/>
    </row>
    <row r="1696" spans="2:15" s="453" customFormat="1" ht="14" x14ac:dyDescent="0.2">
      <c r="B1696" s="362" t="s">
        <v>854</v>
      </c>
      <c r="C1696" s="363"/>
      <c r="D1696" s="363"/>
      <c r="E1696" s="363"/>
      <c r="F1696" s="363"/>
      <c r="G1696" s="363"/>
      <c r="H1696" s="364"/>
      <c r="I1696" s="135"/>
      <c r="J1696" s="105"/>
      <c r="K1696" s="135"/>
      <c r="L1696" s="105"/>
      <c r="M1696" s="135"/>
      <c r="N1696" s="105"/>
      <c r="O1696" s="135"/>
    </row>
    <row r="1697" spans="2:15" s="453" customFormat="1" ht="14" x14ac:dyDescent="0.2">
      <c r="B1697" s="291">
        <v>1</v>
      </c>
      <c r="C1697" s="598" t="s">
        <v>726</v>
      </c>
      <c r="D1697" s="598"/>
      <c r="E1697" s="598"/>
      <c r="F1697" s="598"/>
      <c r="G1697" s="598"/>
      <c r="H1697" s="292"/>
      <c r="I1697" s="168" t="s">
        <v>211</v>
      </c>
      <c r="J1697" s="166" t="s">
        <v>211</v>
      </c>
      <c r="K1697" s="168" t="s">
        <v>211</v>
      </c>
      <c r="L1697" s="166" t="s">
        <v>211</v>
      </c>
      <c r="M1697" s="168" t="s">
        <v>211</v>
      </c>
      <c r="N1697" s="166" t="s">
        <v>211</v>
      </c>
      <c r="O1697" s="168" t="s">
        <v>211</v>
      </c>
    </row>
    <row r="1698" spans="2:15" s="453" customFormat="1" ht="14" x14ac:dyDescent="0.2">
      <c r="B1698" s="293"/>
      <c r="F1698" s="586" t="s">
        <v>727</v>
      </c>
      <c r="G1698" s="586"/>
      <c r="H1698" s="587"/>
      <c r="I1698" s="169"/>
      <c r="J1698" s="167"/>
      <c r="K1698" s="169"/>
      <c r="L1698" s="167"/>
      <c r="M1698" s="169"/>
      <c r="N1698" s="167"/>
      <c r="O1698" s="169"/>
    </row>
    <row r="1699" spans="2:15" s="453" customFormat="1" ht="14" x14ac:dyDescent="0.2">
      <c r="B1699" s="293"/>
      <c r="C1699" s="573" t="s">
        <v>855</v>
      </c>
      <c r="D1699" s="573"/>
      <c r="E1699" s="573"/>
      <c r="F1699" s="573"/>
      <c r="G1699" s="573"/>
      <c r="H1699" s="296"/>
      <c r="I1699" s="168" t="s">
        <v>211</v>
      </c>
      <c r="J1699" s="166" t="s">
        <v>211</v>
      </c>
      <c r="K1699" s="168" t="s">
        <v>211</v>
      </c>
      <c r="L1699" s="166" t="s">
        <v>211</v>
      </c>
      <c r="M1699" s="168" t="s">
        <v>211</v>
      </c>
      <c r="N1699" s="166" t="s">
        <v>211</v>
      </c>
      <c r="O1699" s="168" t="s">
        <v>211</v>
      </c>
    </row>
    <row r="1700" spans="2:15" s="453" customFormat="1" ht="14" x14ac:dyDescent="0.2">
      <c r="B1700" s="293"/>
      <c r="C1700" s="573" t="s">
        <v>856</v>
      </c>
      <c r="D1700" s="573"/>
      <c r="E1700" s="573"/>
      <c r="F1700" s="573"/>
      <c r="G1700" s="573"/>
      <c r="H1700" s="296"/>
      <c r="I1700" s="168" t="s">
        <v>211</v>
      </c>
      <c r="J1700" s="166" t="s">
        <v>211</v>
      </c>
      <c r="K1700" s="168" t="s">
        <v>211</v>
      </c>
      <c r="L1700" s="166" t="s">
        <v>211</v>
      </c>
      <c r="M1700" s="168" t="s">
        <v>211</v>
      </c>
      <c r="N1700" s="166" t="s">
        <v>211</v>
      </c>
      <c r="O1700" s="168" t="s">
        <v>211</v>
      </c>
    </row>
    <row r="1701" spans="2:15" s="453" customFormat="1" ht="14" x14ac:dyDescent="0.2">
      <c r="B1701" s="302"/>
      <c r="C1701" s="627" t="s">
        <v>729</v>
      </c>
      <c r="D1701" s="627"/>
      <c r="E1701" s="627"/>
      <c r="F1701" s="627"/>
      <c r="G1701" s="627"/>
      <c r="H1701" s="341"/>
      <c r="I1701" s="168" t="s">
        <v>211</v>
      </c>
      <c r="J1701" s="166" t="s">
        <v>211</v>
      </c>
      <c r="K1701" s="168" t="s">
        <v>211</v>
      </c>
      <c r="L1701" s="166" t="s">
        <v>211</v>
      </c>
      <c r="M1701" s="168" t="s">
        <v>211</v>
      </c>
      <c r="N1701" s="166" t="s">
        <v>211</v>
      </c>
      <c r="O1701" s="168" t="s">
        <v>211</v>
      </c>
    </row>
    <row r="1702" spans="2:15" s="453" customFormat="1" ht="14" x14ac:dyDescent="0.2">
      <c r="B1702" s="291">
        <v>2</v>
      </c>
      <c r="C1702" s="598" t="s">
        <v>730</v>
      </c>
      <c r="D1702" s="598"/>
      <c r="E1702" s="598"/>
      <c r="F1702" s="598"/>
      <c r="G1702" s="598"/>
      <c r="H1702" s="292"/>
      <c r="I1702" s="168" t="s">
        <v>211</v>
      </c>
      <c r="J1702" s="166" t="s">
        <v>211</v>
      </c>
      <c r="K1702" s="168" t="s">
        <v>211</v>
      </c>
      <c r="L1702" s="166" t="s">
        <v>211</v>
      </c>
      <c r="M1702" s="168" t="s">
        <v>211</v>
      </c>
      <c r="N1702" s="166" t="s">
        <v>211</v>
      </c>
      <c r="O1702" s="168" t="s">
        <v>211</v>
      </c>
    </row>
    <row r="1703" spans="2:15" s="453" customFormat="1" ht="14" x14ac:dyDescent="0.2">
      <c r="B1703" s="293"/>
      <c r="C1703" s="572" t="s">
        <v>857</v>
      </c>
      <c r="D1703" s="572"/>
      <c r="E1703" s="572"/>
      <c r="F1703" s="572"/>
      <c r="G1703" s="572"/>
      <c r="H1703" s="296"/>
      <c r="I1703" s="168" t="s">
        <v>211</v>
      </c>
      <c r="J1703" s="166" t="s">
        <v>211</v>
      </c>
      <c r="K1703" s="168" t="s">
        <v>211</v>
      </c>
      <c r="L1703" s="166" t="s">
        <v>211</v>
      </c>
      <c r="M1703" s="168" t="s">
        <v>211</v>
      </c>
      <c r="N1703" s="166" t="s">
        <v>211</v>
      </c>
      <c r="O1703" s="168" t="s">
        <v>211</v>
      </c>
    </row>
    <row r="1704" spans="2:15" s="453" customFormat="1" ht="14" x14ac:dyDescent="0.2">
      <c r="B1704" s="293"/>
      <c r="C1704" s="572"/>
      <c r="D1704" s="572"/>
      <c r="E1704" s="572"/>
      <c r="F1704" s="572"/>
      <c r="G1704" s="572"/>
      <c r="H1704" s="294"/>
      <c r="I1704" s="169"/>
      <c r="J1704" s="167"/>
      <c r="K1704" s="169"/>
      <c r="L1704" s="167"/>
      <c r="M1704" s="169"/>
      <c r="N1704" s="167"/>
      <c r="O1704" s="169"/>
    </row>
    <row r="1705" spans="2:15" s="453" customFormat="1" ht="14" x14ac:dyDescent="0.2">
      <c r="B1705" s="293"/>
      <c r="C1705" s="595" t="s">
        <v>732</v>
      </c>
      <c r="D1705" s="595"/>
      <c r="E1705" s="595"/>
      <c r="F1705" s="595"/>
      <c r="G1705" s="595"/>
      <c r="H1705" s="296"/>
      <c r="I1705" s="168" t="s">
        <v>211</v>
      </c>
      <c r="J1705" s="166" t="s">
        <v>211</v>
      </c>
      <c r="K1705" s="168" t="s">
        <v>211</v>
      </c>
      <c r="L1705" s="166" t="s">
        <v>211</v>
      </c>
      <c r="M1705" s="168" t="s">
        <v>211</v>
      </c>
      <c r="N1705" s="166" t="s">
        <v>211</v>
      </c>
      <c r="O1705" s="168" t="s">
        <v>211</v>
      </c>
    </row>
    <row r="1706" spans="2:15" s="453" customFormat="1" ht="14" x14ac:dyDescent="0.2">
      <c r="B1706" s="293"/>
      <c r="C1706" s="573" t="s">
        <v>844</v>
      </c>
      <c r="D1706" s="573"/>
      <c r="E1706" s="573"/>
      <c r="F1706" s="573"/>
      <c r="G1706" s="573"/>
      <c r="H1706" s="296"/>
      <c r="I1706" s="168" t="s">
        <v>211</v>
      </c>
      <c r="J1706" s="166" t="s">
        <v>211</v>
      </c>
      <c r="K1706" s="168" t="s">
        <v>211</v>
      </c>
      <c r="L1706" s="166" t="s">
        <v>211</v>
      </c>
      <c r="M1706" s="168" t="s">
        <v>211</v>
      </c>
      <c r="N1706" s="166" t="s">
        <v>211</v>
      </c>
      <c r="O1706" s="168" t="s">
        <v>211</v>
      </c>
    </row>
    <row r="1707" spans="2:15" s="453" customFormat="1" ht="14" x14ac:dyDescent="0.2">
      <c r="B1707" s="293"/>
      <c r="F1707" s="586" t="s">
        <v>733</v>
      </c>
      <c r="G1707" s="586"/>
      <c r="H1707" s="587"/>
      <c r="I1707" s="169"/>
      <c r="J1707" s="167"/>
      <c r="K1707" s="169"/>
      <c r="L1707" s="167"/>
      <c r="M1707" s="169"/>
      <c r="N1707" s="167"/>
      <c r="O1707" s="169"/>
    </row>
    <row r="1708" spans="2:15" s="453" customFormat="1" ht="14" x14ac:dyDescent="0.2">
      <c r="B1708" s="293"/>
      <c r="F1708" s="770" t="s">
        <v>858</v>
      </c>
      <c r="G1708" s="770"/>
      <c r="H1708" s="771"/>
      <c r="I1708" s="169"/>
      <c r="J1708" s="167"/>
      <c r="K1708" s="169"/>
      <c r="L1708" s="167"/>
      <c r="M1708" s="169"/>
      <c r="N1708" s="167"/>
      <c r="O1708" s="169"/>
    </row>
    <row r="1709" spans="2:15" s="453" customFormat="1" ht="14" x14ac:dyDescent="0.2">
      <c r="B1709" s="302"/>
      <c r="C1709" s="303"/>
      <c r="D1709" s="303"/>
      <c r="E1709" s="603" t="s">
        <v>734</v>
      </c>
      <c r="F1709" s="603"/>
      <c r="G1709" s="603"/>
      <c r="H1709" s="769"/>
      <c r="I1709" s="169"/>
      <c r="J1709" s="167"/>
      <c r="K1709" s="169"/>
      <c r="L1709" s="167"/>
      <c r="M1709" s="169"/>
      <c r="N1709" s="167"/>
      <c r="O1709" s="169"/>
    </row>
    <row r="1710" spans="2:15" s="453" customFormat="1" ht="14" x14ac:dyDescent="0.2">
      <c r="B1710" s="291">
        <v>3</v>
      </c>
      <c r="C1710" s="142"/>
      <c r="D1710" s="142"/>
      <c r="E1710" s="142"/>
      <c r="F1710" s="772" t="s">
        <v>736</v>
      </c>
      <c r="G1710" s="772"/>
      <c r="H1710" s="773"/>
      <c r="I1710" s="169"/>
      <c r="J1710" s="167"/>
      <c r="K1710" s="169"/>
      <c r="L1710" s="167"/>
      <c r="M1710" s="169"/>
      <c r="N1710" s="167"/>
      <c r="O1710" s="169"/>
    </row>
    <row r="1711" spans="2:15" s="453" customFormat="1" ht="14" x14ac:dyDescent="0.2">
      <c r="B1711" s="293"/>
      <c r="E1711" s="604" t="s">
        <v>859</v>
      </c>
      <c r="F1711" s="604"/>
      <c r="G1711" s="604"/>
      <c r="H1711" s="767"/>
      <c r="I1711" s="169"/>
      <c r="J1711" s="167"/>
      <c r="K1711" s="169"/>
      <c r="L1711" s="167"/>
      <c r="M1711" s="169"/>
      <c r="N1711" s="167"/>
      <c r="O1711" s="169"/>
    </row>
    <row r="1712" spans="2:15" s="453" customFormat="1" ht="14" x14ac:dyDescent="0.2">
      <c r="B1712" s="293"/>
      <c r="C1712" s="572" t="s">
        <v>738</v>
      </c>
      <c r="D1712" s="572"/>
      <c r="E1712" s="572"/>
      <c r="F1712" s="572"/>
      <c r="G1712" s="572"/>
      <c r="H1712" s="296"/>
      <c r="I1712" s="168" t="s">
        <v>211</v>
      </c>
      <c r="J1712" s="166" t="s">
        <v>211</v>
      </c>
      <c r="K1712" s="168" t="s">
        <v>211</v>
      </c>
      <c r="L1712" s="166" t="s">
        <v>211</v>
      </c>
      <c r="M1712" s="168" t="s">
        <v>211</v>
      </c>
      <c r="N1712" s="166" t="s">
        <v>211</v>
      </c>
      <c r="O1712" s="168" t="s">
        <v>211</v>
      </c>
    </row>
    <row r="1713" spans="2:15" s="453" customFormat="1" ht="14" x14ac:dyDescent="0.2">
      <c r="B1713" s="293"/>
      <c r="C1713" s="572"/>
      <c r="D1713" s="572"/>
      <c r="E1713" s="572"/>
      <c r="F1713" s="572"/>
      <c r="G1713" s="572"/>
      <c r="H1713" s="294"/>
      <c r="I1713" s="169"/>
      <c r="J1713" s="167"/>
      <c r="K1713" s="169"/>
      <c r="L1713" s="167"/>
      <c r="M1713" s="169"/>
      <c r="N1713" s="167"/>
      <c r="O1713" s="169"/>
    </row>
    <row r="1714" spans="2:15" s="453" customFormat="1" ht="14" x14ac:dyDescent="0.2">
      <c r="B1714" s="293"/>
      <c r="C1714" s="572"/>
      <c r="D1714" s="572"/>
      <c r="E1714" s="572"/>
      <c r="F1714" s="572"/>
      <c r="G1714" s="572"/>
      <c r="H1714" s="294"/>
      <c r="I1714" s="169"/>
      <c r="J1714" s="167"/>
      <c r="K1714" s="169"/>
      <c r="L1714" s="167"/>
      <c r="M1714" s="169"/>
      <c r="N1714" s="167"/>
      <c r="O1714" s="169"/>
    </row>
    <row r="1715" spans="2:15" s="453" customFormat="1" ht="14" x14ac:dyDescent="0.2">
      <c r="B1715" s="293"/>
      <c r="C1715" s="573" t="s">
        <v>860</v>
      </c>
      <c r="D1715" s="573"/>
      <c r="E1715" s="573"/>
      <c r="F1715" s="573"/>
      <c r="G1715" s="573"/>
      <c r="H1715" s="296"/>
      <c r="I1715" s="168" t="s">
        <v>211</v>
      </c>
      <c r="J1715" s="166" t="s">
        <v>211</v>
      </c>
      <c r="K1715" s="168" t="s">
        <v>211</v>
      </c>
      <c r="L1715" s="166" t="s">
        <v>211</v>
      </c>
      <c r="M1715" s="168" t="s">
        <v>211</v>
      </c>
      <c r="N1715" s="166" t="s">
        <v>211</v>
      </c>
      <c r="O1715" s="168" t="s">
        <v>211</v>
      </c>
    </row>
    <row r="1716" spans="2:15" s="453" customFormat="1" ht="14" x14ac:dyDescent="0.2">
      <c r="B1716" s="293"/>
      <c r="C1716" s="573" t="s">
        <v>739</v>
      </c>
      <c r="D1716" s="573"/>
      <c r="E1716" s="573"/>
      <c r="F1716" s="573"/>
      <c r="G1716" s="573"/>
      <c r="H1716" s="296"/>
      <c r="I1716" s="168" t="s">
        <v>211</v>
      </c>
      <c r="J1716" s="166" t="s">
        <v>211</v>
      </c>
      <c r="K1716" s="168" t="s">
        <v>211</v>
      </c>
      <c r="L1716" s="166" t="s">
        <v>211</v>
      </c>
      <c r="M1716" s="168" t="s">
        <v>211</v>
      </c>
      <c r="N1716" s="166" t="s">
        <v>211</v>
      </c>
      <c r="O1716" s="168" t="s">
        <v>211</v>
      </c>
    </row>
    <row r="1717" spans="2:15" s="453" customFormat="1" ht="14" x14ac:dyDescent="0.2">
      <c r="B1717" s="293"/>
      <c r="F1717" s="770" t="s">
        <v>861</v>
      </c>
      <c r="G1717" s="770"/>
      <c r="H1717" s="771"/>
      <c r="I1717" s="169"/>
      <c r="J1717" s="167"/>
      <c r="K1717" s="169"/>
      <c r="L1717" s="167"/>
      <c r="M1717" s="169"/>
      <c r="N1717" s="167"/>
      <c r="O1717" s="169"/>
    </row>
    <row r="1718" spans="2:15" s="453" customFormat="1" ht="14" x14ac:dyDescent="0.2">
      <c r="B1718" s="293"/>
      <c r="F1718" s="770" t="s">
        <v>862</v>
      </c>
      <c r="G1718" s="770"/>
      <c r="H1718" s="771"/>
      <c r="I1718" s="169"/>
      <c r="J1718" s="167"/>
      <c r="K1718" s="169"/>
      <c r="L1718" s="167"/>
      <c r="M1718" s="169"/>
      <c r="N1718" s="167"/>
      <c r="O1718" s="169"/>
    </row>
    <row r="1719" spans="2:15" s="453" customFormat="1" ht="14" x14ac:dyDescent="0.2">
      <c r="B1719" s="302"/>
      <c r="C1719" s="303"/>
      <c r="D1719" s="303"/>
      <c r="E1719" s="303"/>
      <c r="F1719" s="613" t="s">
        <v>863</v>
      </c>
      <c r="G1719" s="613"/>
      <c r="H1719" s="775"/>
      <c r="I1719" s="169"/>
      <c r="J1719" s="167"/>
      <c r="K1719" s="169"/>
      <c r="L1719" s="167"/>
      <c r="M1719" s="169"/>
      <c r="N1719" s="167"/>
      <c r="O1719" s="169"/>
    </row>
    <row r="1720" spans="2:15" s="453" customFormat="1" ht="14" x14ac:dyDescent="0.2">
      <c r="B1720" s="291">
        <v>4</v>
      </c>
      <c r="C1720" s="598" t="s">
        <v>743</v>
      </c>
      <c r="D1720" s="598"/>
      <c r="E1720" s="598"/>
      <c r="F1720" s="598"/>
      <c r="G1720" s="598"/>
      <c r="H1720" s="292"/>
      <c r="I1720" s="168" t="s">
        <v>211</v>
      </c>
      <c r="J1720" s="166" t="s">
        <v>211</v>
      </c>
      <c r="K1720" s="168" t="s">
        <v>211</v>
      </c>
      <c r="L1720" s="166" t="s">
        <v>211</v>
      </c>
      <c r="M1720" s="168" t="s">
        <v>211</v>
      </c>
      <c r="N1720" s="166" t="s">
        <v>211</v>
      </c>
      <c r="O1720" s="168" t="s">
        <v>211</v>
      </c>
    </row>
    <row r="1721" spans="2:15" s="453" customFormat="1" ht="14" x14ac:dyDescent="0.2">
      <c r="B1721" s="293"/>
      <c r="C1721" s="604" t="s">
        <v>864</v>
      </c>
      <c r="D1721" s="604"/>
      <c r="E1721" s="604"/>
      <c r="F1721" s="604"/>
      <c r="G1721" s="604"/>
      <c r="H1721" s="294"/>
      <c r="I1721" s="169"/>
      <c r="J1721" s="167"/>
      <c r="K1721" s="169"/>
      <c r="L1721" s="167"/>
      <c r="M1721" s="169"/>
      <c r="N1721" s="167"/>
      <c r="O1721" s="169"/>
    </row>
    <row r="1722" spans="2:15" s="453" customFormat="1" ht="14" x14ac:dyDescent="0.2">
      <c r="B1722" s="293"/>
      <c r="C1722" s="595" t="s">
        <v>865</v>
      </c>
      <c r="D1722" s="595"/>
      <c r="E1722" s="595"/>
      <c r="F1722" s="595"/>
      <c r="G1722" s="595"/>
      <c r="H1722" s="296"/>
      <c r="I1722" s="168" t="s">
        <v>211</v>
      </c>
      <c r="J1722" s="166" t="s">
        <v>211</v>
      </c>
      <c r="K1722" s="168" t="s">
        <v>211</v>
      </c>
      <c r="L1722" s="166" t="s">
        <v>211</v>
      </c>
      <c r="M1722" s="168" t="s">
        <v>211</v>
      </c>
      <c r="N1722" s="166" t="s">
        <v>211</v>
      </c>
      <c r="O1722" s="168" t="s">
        <v>211</v>
      </c>
    </row>
    <row r="1723" spans="2:15" s="453" customFormat="1" ht="14" x14ac:dyDescent="0.2">
      <c r="B1723" s="293"/>
      <c r="C1723" s="595"/>
      <c r="D1723" s="595"/>
      <c r="E1723" s="595"/>
      <c r="F1723" s="595"/>
      <c r="G1723" s="595"/>
      <c r="H1723" s="294"/>
      <c r="I1723" s="169"/>
      <c r="J1723" s="167"/>
      <c r="K1723" s="169"/>
      <c r="L1723" s="167"/>
      <c r="M1723" s="169"/>
      <c r="N1723" s="167"/>
      <c r="O1723" s="169"/>
    </row>
    <row r="1724" spans="2:15" s="453" customFormat="1" ht="14" x14ac:dyDescent="0.2">
      <c r="B1724" s="293"/>
      <c r="C1724" s="595" t="s">
        <v>904</v>
      </c>
      <c r="D1724" s="595"/>
      <c r="E1724" s="595"/>
      <c r="F1724" s="595"/>
      <c r="G1724" s="595"/>
      <c r="H1724" s="296"/>
      <c r="I1724" s="168" t="s">
        <v>211</v>
      </c>
      <c r="J1724" s="166" t="s">
        <v>211</v>
      </c>
      <c r="K1724" s="168" t="s">
        <v>211</v>
      </c>
      <c r="L1724" s="166" t="s">
        <v>211</v>
      </c>
      <c r="M1724" s="168" t="s">
        <v>211</v>
      </c>
      <c r="N1724" s="166" t="s">
        <v>211</v>
      </c>
      <c r="O1724" s="168" t="s">
        <v>211</v>
      </c>
    </row>
    <row r="1725" spans="2:15" s="453" customFormat="1" ht="14" x14ac:dyDescent="0.2">
      <c r="B1725" s="293"/>
      <c r="C1725" s="595"/>
      <c r="D1725" s="595"/>
      <c r="E1725" s="595"/>
      <c r="F1725" s="595"/>
      <c r="G1725" s="595"/>
      <c r="H1725" s="294"/>
      <c r="I1725" s="169"/>
      <c r="J1725" s="167"/>
      <c r="K1725" s="169"/>
      <c r="L1725" s="167"/>
      <c r="M1725" s="169"/>
      <c r="N1725" s="167"/>
      <c r="O1725" s="169"/>
    </row>
    <row r="1726" spans="2:15" s="453" customFormat="1" ht="14" x14ac:dyDescent="0.2">
      <c r="B1726" s="293"/>
      <c r="C1726" s="595"/>
      <c r="D1726" s="595"/>
      <c r="E1726" s="595"/>
      <c r="F1726" s="595"/>
      <c r="G1726" s="595"/>
      <c r="H1726" s="294"/>
      <c r="I1726" s="169"/>
      <c r="J1726" s="167"/>
      <c r="K1726" s="169"/>
      <c r="L1726" s="167"/>
      <c r="M1726" s="169"/>
      <c r="N1726" s="167"/>
      <c r="O1726" s="169"/>
    </row>
    <row r="1727" spans="2:15" s="453" customFormat="1" ht="14" x14ac:dyDescent="0.2">
      <c r="B1727" s="293"/>
      <c r="C1727" s="573" t="s">
        <v>845</v>
      </c>
      <c r="D1727" s="573"/>
      <c r="E1727" s="573"/>
      <c r="F1727" s="573"/>
      <c r="G1727" s="573"/>
      <c r="H1727" s="296"/>
      <c r="I1727" s="168" t="s">
        <v>211</v>
      </c>
      <c r="J1727" s="166" t="s">
        <v>211</v>
      </c>
      <c r="K1727" s="168" t="s">
        <v>211</v>
      </c>
      <c r="L1727" s="166" t="s">
        <v>211</v>
      </c>
      <c r="M1727" s="168" t="s">
        <v>211</v>
      </c>
      <c r="N1727" s="166" t="s">
        <v>211</v>
      </c>
      <c r="O1727" s="168" t="s">
        <v>211</v>
      </c>
    </row>
    <row r="1728" spans="2:15" s="453" customFormat="1" ht="14" x14ac:dyDescent="0.2">
      <c r="B1728" s="293"/>
      <c r="F1728" s="586" t="s">
        <v>746</v>
      </c>
      <c r="G1728" s="586"/>
      <c r="H1728" s="587"/>
      <c r="I1728" s="169"/>
      <c r="J1728" s="167"/>
      <c r="K1728" s="169"/>
      <c r="L1728" s="167"/>
      <c r="M1728" s="169"/>
      <c r="N1728" s="167"/>
      <c r="O1728" s="169"/>
    </row>
    <row r="1729" spans="2:15" s="453" customFormat="1" ht="14" x14ac:dyDescent="0.2">
      <c r="B1729" s="293"/>
      <c r="F1729" s="604" t="s">
        <v>747</v>
      </c>
      <c r="G1729" s="604"/>
      <c r="H1729" s="767"/>
      <c r="I1729" s="169"/>
      <c r="J1729" s="167"/>
      <c r="K1729" s="169"/>
      <c r="L1729" s="167"/>
      <c r="M1729" s="169"/>
      <c r="N1729" s="167"/>
      <c r="O1729" s="169"/>
    </row>
    <row r="1730" spans="2:15" s="453" customFormat="1" ht="14" x14ac:dyDescent="0.2">
      <c r="B1730" s="293"/>
      <c r="F1730" s="770" t="s">
        <v>867</v>
      </c>
      <c r="G1730" s="770"/>
      <c r="H1730" s="771"/>
      <c r="I1730" s="169"/>
      <c r="J1730" s="167"/>
      <c r="K1730" s="169"/>
      <c r="L1730" s="167"/>
      <c r="M1730" s="169"/>
      <c r="N1730" s="167"/>
      <c r="O1730" s="169"/>
    </row>
    <row r="1731" spans="2:15" s="453" customFormat="1" ht="14" x14ac:dyDescent="0.2">
      <c r="B1731" s="302"/>
      <c r="C1731" s="303"/>
      <c r="D1731" s="303"/>
      <c r="E1731" s="303"/>
      <c r="F1731" s="603" t="s">
        <v>868</v>
      </c>
      <c r="G1731" s="603"/>
      <c r="H1731" s="769"/>
      <c r="I1731" s="169"/>
      <c r="J1731" s="167"/>
      <c r="K1731" s="169"/>
      <c r="L1731" s="167"/>
      <c r="M1731" s="169"/>
      <c r="N1731" s="167"/>
      <c r="O1731" s="169"/>
    </row>
    <row r="1732" spans="2:15" s="453" customFormat="1" ht="14" x14ac:dyDescent="0.2">
      <c r="B1732" s="291">
        <v>5</v>
      </c>
      <c r="C1732" s="602" t="s">
        <v>749</v>
      </c>
      <c r="D1732" s="602"/>
      <c r="E1732" s="602"/>
      <c r="F1732" s="602"/>
      <c r="G1732" s="602"/>
      <c r="H1732" s="292"/>
      <c r="I1732" s="168" t="s">
        <v>211</v>
      </c>
      <c r="J1732" s="166" t="s">
        <v>211</v>
      </c>
      <c r="K1732" s="168" t="s">
        <v>211</v>
      </c>
      <c r="L1732" s="166" t="s">
        <v>211</v>
      </c>
      <c r="M1732" s="168" t="s">
        <v>211</v>
      </c>
      <c r="N1732" s="166" t="s">
        <v>211</v>
      </c>
      <c r="O1732" s="168" t="s">
        <v>211</v>
      </c>
    </row>
    <row r="1733" spans="2:15" s="453" customFormat="1" ht="14" x14ac:dyDescent="0.2">
      <c r="B1733" s="293"/>
      <c r="C1733" s="785" t="s">
        <v>869</v>
      </c>
      <c r="D1733" s="785"/>
      <c r="E1733" s="785"/>
      <c r="F1733" s="785"/>
      <c r="G1733" s="785"/>
      <c r="H1733" s="296"/>
      <c r="I1733" s="168" t="s">
        <v>211</v>
      </c>
      <c r="J1733" s="166" t="s">
        <v>211</v>
      </c>
      <c r="K1733" s="168" t="s">
        <v>211</v>
      </c>
      <c r="L1733" s="166" t="s">
        <v>211</v>
      </c>
      <c r="M1733" s="168" t="s">
        <v>211</v>
      </c>
      <c r="N1733" s="166" t="s">
        <v>211</v>
      </c>
      <c r="O1733" s="168" t="s">
        <v>211</v>
      </c>
    </row>
    <row r="1734" spans="2:15" s="453" customFormat="1" ht="14" x14ac:dyDescent="0.2">
      <c r="B1734" s="293"/>
      <c r="C1734" s="785"/>
      <c r="D1734" s="785"/>
      <c r="E1734" s="785"/>
      <c r="F1734" s="785"/>
      <c r="G1734" s="785"/>
      <c r="H1734" s="294"/>
      <c r="I1734" s="169"/>
      <c r="J1734" s="167"/>
      <c r="K1734" s="169"/>
      <c r="L1734" s="167"/>
      <c r="M1734" s="169"/>
      <c r="N1734" s="167"/>
      <c r="O1734" s="169"/>
    </row>
    <row r="1735" spans="2:15" s="453" customFormat="1" ht="14" x14ac:dyDescent="0.2">
      <c r="B1735" s="293"/>
      <c r="C1735" s="572" t="s">
        <v>751</v>
      </c>
      <c r="D1735" s="572"/>
      <c r="E1735" s="572"/>
      <c r="F1735" s="572"/>
      <c r="G1735" s="572"/>
      <c r="H1735" s="296"/>
      <c r="I1735" s="168" t="s">
        <v>211</v>
      </c>
      <c r="J1735" s="166" t="s">
        <v>211</v>
      </c>
      <c r="K1735" s="168" t="s">
        <v>211</v>
      </c>
      <c r="L1735" s="166" t="s">
        <v>211</v>
      </c>
      <c r="M1735" s="168" t="s">
        <v>211</v>
      </c>
      <c r="N1735" s="166" t="s">
        <v>211</v>
      </c>
      <c r="O1735" s="168" t="s">
        <v>211</v>
      </c>
    </row>
    <row r="1736" spans="2:15" s="453" customFormat="1" ht="14" x14ac:dyDescent="0.2">
      <c r="B1736" s="293"/>
      <c r="C1736" s="572"/>
      <c r="D1736" s="572"/>
      <c r="E1736" s="572"/>
      <c r="F1736" s="572"/>
      <c r="G1736" s="572"/>
      <c r="H1736" s="294"/>
      <c r="I1736" s="169"/>
      <c r="J1736" s="167"/>
      <c r="K1736" s="169"/>
      <c r="L1736" s="167"/>
      <c r="M1736" s="169"/>
      <c r="N1736" s="167"/>
      <c r="O1736" s="169"/>
    </row>
    <row r="1737" spans="2:15" s="453" customFormat="1" ht="14" x14ac:dyDescent="0.2">
      <c r="B1737" s="293"/>
      <c r="F1737" s="593" t="s">
        <v>870</v>
      </c>
      <c r="G1737" s="593"/>
      <c r="H1737" s="768"/>
      <c r="I1737" s="169"/>
      <c r="J1737" s="167"/>
      <c r="K1737" s="169"/>
      <c r="L1737" s="167"/>
      <c r="M1737" s="169"/>
      <c r="N1737" s="167"/>
      <c r="O1737" s="169"/>
    </row>
    <row r="1738" spans="2:15" s="453" customFormat="1" ht="14" x14ac:dyDescent="0.2">
      <c r="B1738" s="302"/>
      <c r="C1738" s="303"/>
      <c r="D1738" s="303"/>
      <c r="E1738" s="303"/>
      <c r="F1738" s="603" t="s">
        <v>852</v>
      </c>
      <c r="G1738" s="603"/>
      <c r="H1738" s="769"/>
      <c r="I1738" s="169"/>
      <c r="J1738" s="167"/>
      <c r="K1738" s="169"/>
      <c r="L1738" s="167"/>
      <c r="M1738" s="169"/>
      <c r="N1738" s="167"/>
      <c r="O1738" s="169"/>
    </row>
    <row r="1739" spans="2:15" s="453" customFormat="1" ht="14" x14ac:dyDescent="0.2">
      <c r="B1739" s="291">
        <v>6</v>
      </c>
      <c r="C1739" s="602" t="s">
        <v>871</v>
      </c>
      <c r="D1739" s="602"/>
      <c r="E1739" s="602"/>
      <c r="F1739" s="602"/>
      <c r="G1739" s="602"/>
      <c r="H1739" s="292"/>
      <c r="I1739" s="168" t="s">
        <v>211</v>
      </c>
      <c r="J1739" s="166" t="s">
        <v>211</v>
      </c>
      <c r="K1739" s="168" t="s">
        <v>211</v>
      </c>
      <c r="L1739" s="166" t="s">
        <v>211</v>
      </c>
      <c r="M1739" s="168" t="s">
        <v>211</v>
      </c>
      <c r="N1739" s="166" t="s">
        <v>211</v>
      </c>
      <c r="O1739" s="168" t="s">
        <v>211</v>
      </c>
    </row>
    <row r="1740" spans="2:15" s="453" customFormat="1" ht="14" x14ac:dyDescent="0.2">
      <c r="B1740" s="293"/>
      <c r="C1740" s="572"/>
      <c r="D1740" s="572"/>
      <c r="E1740" s="572"/>
      <c r="F1740" s="572"/>
      <c r="G1740" s="572"/>
      <c r="H1740" s="294"/>
      <c r="I1740" s="169"/>
      <c r="J1740" s="167"/>
      <c r="K1740" s="169"/>
      <c r="L1740" s="167"/>
      <c r="M1740" s="169"/>
      <c r="N1740" s="167"/>
      <c r="O1740" s="169"/>
    </row>
    <row r="1741" spans="2:15" s="453" customFormat="1" ht="14" x14ac:dyDescent="0.2">
      <c r="B1741" s="293"/>
      <c r="C1741" s="785" t="s">
        <v>872</v>
      </c>
      <c r="D1741" s="785"/>
      <c r="E1741" s="785"/>
      <c r="F1741" s="785"/>
      <c r="G1741" s="785"/>
      <c r="H1741" s="296"/>
      <c r="I1741" s="168" t="s">
        <v>211</v>
      </c>
      <c r="J1741" s="166" t="s">
        <v>211</v>
      </c>
      <c r="K1741" s="168" t="s">
        <v>211</v>
      </c>
      <c r="L1741" s="166" t="s">
        <v>211</v>
      </c>
      <c r="M1741" s="168" t="s">
        <v>211</v>
      </c>
      <c r="N1741" s="166" t="s">
        <v>211</v>
      </c>
      <c r="O1741" s="168" t="s">
        <v>211</v>
      </c>
    </row>
    <row r="1742" spans="2:15" s="453" customFormat="1" ht="14" x14ac:dyDescent="0.2">
      <c r="B1742" s="293"/>
      <c r="C1742" s="785"/>
      <c r="D1742" s="785"/>
      <c r="E1742" s="785"/>
      <c r="F1742" s="785"/>
      <c r="G1742" s="785"/>
      <c r="H1742" s="294"/>
      <c r="I1742" s="169"/>
      <c r="J1742" s="167"/>
      <c r="K1742" s="169"/>
      <c r="L1742" s="167"/>
      <c r="M1742" s="169"/>
      <c r="N1742" s="167"/>
      <c r="O1742" s="169"/>
    </row>
    <row r="1743" spans="2:15" s="453" customFormat="1" ht="14" x14ac:dyDescent="0.2">
      <c r="B1743" s="293"/>
      <c r="C1743" s="573" t="s">
        <v>873</v>
      </c>
      <c r="D1743" s="573"/>
      <c r="E1743" s="573"/>
      <c r="F1743" s="573"/>
      <c r="G1743" s="573"/>
      <c r="H1743" s="296"/>
      <c r="I1743" s="168" t="s">
        <v>211</v>
      </c>
      <c r="J1743" s="166" t="s">
        <v>211</v>
      </c>
      <c r="K1743" s="168" t="s">
        <v>211</v>
      </c>
      <c r="L1743" s="166" t="s">
        <v>211</v>
      </c>
      <c r="M1743" s="168" t="s">
        <v>211</v>
      </c>
      <c r="N1743" s="166" t="s">
        <v>211</v>
      </c>
      <c r="O1743" s="168" t="s">
        <v>211</v>
      </c>
    </row>
    <row r="1744" spans="2:15" s="453" customFormat="1" ht="14" x14ac:dyDescent="0.2">
      <c r="B1744" s="293"/>
      <c r="C1744" s="573" t="s">
        <v>874</v>
      </c>
      <c r="D1744" s="573"/>
      <c r="E1744" s="573"/>
      <c r="F1744" s="573"/>
      <c r="G1744" s="573"/>
      <c r="H1744" s="296"/>
      <c r="I1744" s="168" t="s">
        <v>211</v>
      </c>
      <c r="J1744" s="166" t="s">
        <v>211</v>
      </c>
      <c r="K1744" s="168" t="s">
        <v>211</v>
      </c>
      <c r="L1744" s="166" t="s">
        <v>211</v>
      </c>
      <c r="M1744" s="168" t="s">
        <v>211</v>
      </c>
      <c r="N1744" s="166" t="s">
        <v>211</v>
      </c>
      <c r="O1744" s="168" t="s">
        <v>211</v>
      </c>
    </row>
    <row r="1745" spans="2:15" s="453" customFormat="1" ht="14" x14ac:dyDescent="0.2">
      <c r="B1745" s="293"/>
      <c r="C1745" s="572" t="s">
        <v>875</v>
      </c>
      <c r="D1745" s="572"/>
      <c r="E1745" s="572"/>
      <c r="F1745" s="572"/>
      <c r="G1745" s="572"/>
      <c r="H1745" s="296"/>
      <c r="I1745" s="168" t="s">
        <v>211</v>
      </c>
      <c r="J1745" s="166" t="s">
        <v>211</v>
      </c>
      <c r="K1745" s="168" t="s">
        <v>211</v>
      </c>
      <c r="L1745" s="166" t="s">
        <v>211</v>
      </c>
      <c r="M1745" s="168" t="s">
        <v>211</v>
      </c>
      <c r="N1745" s="166" t="s">
        <v>211</v>
      </c>
      <c r="O1745" s="168" t="s">
        <v>211</v>
      </c>
    </row>
    <row r="1746" spans="2:15" s="453" customFormat="1" ht="14" x14ac:dyDescent="0.2">
      <c r="B1746" s="293"/>
      <c r="C1746" s="572"/>
      <c r="D1746" s="572"/>
      <c r="E1746" s="572"/>
      <c r="F1746" s="572"/>
      <c r="G1746" s="572"/>
      <c r="H1746" s="294"/>
      <c r="I1746" s="169"/>
      <c r="J1746" s="167"/>
      <c r="K1746" s="169"/>
      <c r="L1746" s="167"/>
      <c r="M1746" s="169"/>
      <c r="N1746" s="167"/>
      <c r="O1746" s="169"/>
    </row>
    <row r="1747" spans="2:15" s="453" customFormat="1" ht="14" x14ac:dyDescent="0.2">
      <c r="B1747" s="293"/>
      <c r="C1747" s="573" t="s">
        <v>473</v>
      </c>
      <c r="D1747" s="573"/>
      <c r="E1747" s="573"/>
      <c r="F1747" s="573"/>
      <c r="G1747" s="573"/>
      <c r="H1747" s="296"/>
      <c r="I1747" s="168" t="s">
        <v>211</v>
      </c>
      <c r="J1747" s="166" t="s">
        <v>211</v>
      </c>
      <c r="K1747" s="168" t="s">
        <v>211</v>
      </c>
      <c r="L1747" s="166" t="s">
        <v>211</v>
      </c>
      <c r="M1747" s="168" t="s">
        <v>211</v>
      </c>
      <c r="N1747" s="166" t="s">
        <v>211</v>
      </c>
      <c r="O1747" s="168" t="s">
        <v>211</v>
      </c>
    </row>
    <row r="1748" spans="2:15" s="453" customFormat="1" ht="14" x14ac:dyDescent="0.2">
      <c r="B1748" s="293"/>
      <c r="F1748" s="586" t="s">
        <v>756</v>
      </c>
      <c r="G1748" s="586"/>
      <c r="H1748" s="587"/>
      <c r="I1748" s="169"/>
      <c r="J1748" s="167"/>
      <c r="K1748" s="169"/>
      <c r="L1748" s="167"/>
      <c r="M1748" s="169"/>
      <c r="N1748" s="167"/>
      <c r="O1748" s="169"/>
    </row>
    <row r="1749" spans="2:15" s="453" customFormat="1" ht="14" x14ac:dyDescent="0.2">
      <c r="B1749" s="293"/>
      <c r="F1749" s="604" t="s">
        <v>876</v>
      </c>
      <c r="G1749" s="604"/>
      <c r="H1749" s="767"/>
      <c r="I1749" s="169"/>
      <c r="J1749" s="167"/>
      <c r="K1749" s="169"/>
      <c r="L1749" s="167"/>
      <c r="M1749" s="169"/>
      <c r="N1749" s="167"/>
      <c r="O1749" s="169"/>
    </row>
    <row r="1750" spans="2:15" s="453" customFormat="1" ht="14" x14ac:dyDescent="0.2">
      <c r="B1750" s="302"/>
      <c r="C1750" s="303"/>
      <c r="D1750" s="303"/>
      <c r="E1750" s="303"/>
      <c r="F1750" s="599" t="s">
        <v>474</v>
      </c>
      <c r="G1750" s="599"/>
      <c r="H1750" s="615"/>
      <c r="I1750" s="169"/>
      <c r="J1750" s="167"/>
      <c r="K1750" s="169"/>
      <c r="L1750" s="167"/>
      <c r="M1750" s="169"/>
      <c r="N1750" s="167"/>
      <c r="O1750" s="169"/>
    </row>
    <row r="1751" spans="2:15" s="453" customFormat="1" ht="14" x14ac:dyDescent="0.2">
      <c r="B1751" s="291">
        <v>7</v>
      </c>
      <c r="C1751" s="602" t="s">
        <v>877</v>
      </c>
      <c r="D1751" s="602"/>
      <c r="E1751" s="602"/>
      <c r="F1751" s="602"/>
      <c r="G1751" s="602"/>
      <c r="H1751" s="292"/>
      <c r="I1751" s="168" t="s">
        <v>211</v>
      </c>
      <c r="J1751" s="166" t="s">
        <v>211</v>
      </c>
      <c r="K1751" s="168" t="s">
        <v>211</v>
      </c>
      <c r="L1751" s="166" t="s">
        <v>211</v>
      </c>
      <c r="M1751" s="168" t="s">
        <v>211</v>
      </c>
      <c r="N1751" s="166" t="s">
        <v>211</v>
      </c>
      <c r="O1751" s="168" t="s">
        <v>211</v>
      </c>
    </row>
    <row r="1752" spans="2:15" s="453" customFormat="1" ht="14" x14ac:dyDescent="0.2">
      <c r="B1752" s="293"/>
      <c r="C1752" s="572"/>
      <c r="D1752" s="572"/>
      <c r="E1752" s="572"/>
      <c r="F1752" s="572"/>
      <c r="G1752" s="572"/>
      <c r="H1752" s="294"/>
      <c r="I1752" s="169"/>
      <c r="J1752" s="167"/>
      <c r="K1752" s="169"/>
      <c r="L1752" s="167"/>
      <c r="M1752" s="169"/>
      <c r="N1752" s="167"/>
      <c r="O1752" s="169"/>
    </row>
    <row r="1753" spans="2:15" s="453" customFormat="1" ht="14" x14ac:dyDescent="0.2">
      <c r="B1753" s="293"/>
      <c r="C1753" s="572"/>
      <c r="D1753" s="572"/>
      <c r="E1753" s="572"/>
      <c r="F1753" s="572"/>
      <c r="G1753" s="572"/>
      <c r="H1753" s="294"/>
      <c r="I1753" s="169"/>
      <c r="J1753" s="167"/>
      <c r="K1753" s="169"/>
      <c r="L1753" s="167"/>
      <c r="M1753" s="169"/>
      <c r="N1753" s="167"/>
      <c r="O1753" s="169"/>
    </row>
    <row r="1754" spans="2:15" s="453" customFormat="1" ht="14" x14ac:dyDescent="0.2">
      <c r="B1754" s="293"/>
      <c r="C1754" s="572" t="s">
        <v>1307</v>
      </c>
      <c r="D1754" s="572"/>
      <c r="E1754" s="572"/>
      <c r="F1754" s="572"/>
      <c r="G1754" s="572"/>
      <c r="H1754" s="296"/>
      <c r="I1754" s="168" t="s">
        <v>211</v>
      </c>
      <c r="J1754" s="166" t="s">
        <v>211</v>
      </c>
      <c r="K1754" s="168" t="s">
        <v>211</v>
      </c>
      <c r="L1754" s="166" t="s">
        <v>211</v>
      </c>
      <c r="M1754" s="168" t="s">
        <v>211</v>
      </c>
      <c r="N1754" s="166" t="s">
        <v>211</v>
      </c>
      <c r="O1754" s="168" t="s">
        <v>211</v>
      </c>
    </row>
    <row r="1755" spans="2:15" s="453" customFormat="1" ht="14" x14ac:dyDescent="0.2">
      <c r="B1755" s="293"/>
      <c r="C1755" s="572" t="s">
        <v>847</v>
      </c>
      <c r="D1755" s="572"/>
      <c r="E1755" s="572"/>
      <c r="F1755" s="572"/>
      <c r="G1755" s="572"/>
      <c r="H1755" s="296"/>
      <c r="I1755" s="168" t="s">
        <v>211</v>
      </c>
      <c r="J1755" s="166" t="s">
        <v>211</v>
      </c>
      <c r="K1755" s="168" t="s">
        <v>211</v>
      </c>
      <c r="L1755" s="166" t="s">
        <v>211</v>
      </c>
      <c r="M1755" s="168" t="s">
        <v>211</v>
      </c>
      <c r="N1755" s="166" t="s">
        <v>211</v>
      </c>
      <c r="O1755" s="168" t="s">
        <v>211</v>
      </c>
    </row>
    <row r="1756" spans="2:15" s="453" customFormat="1" ht="14" x14ac:dyDescent="0.2">
      <c r="B1756" s="293"/>
      <c r="C1756" s="572"/>
      <c r="D1756" s="572"/>
      <c r="E1756" s="572"/>
      <c r="F1756" s="572"/>
      <c r="G1756" s="572"/>
      <c r="H1756" s="294"/>
      <c r="I1756" s="169"/>
      <c r="J1756" s="167"/>
      <c r="K1756" s="169"/>
      <c r="L1756" s="167"/>
      <c r="M1756" s="169"/>
      <c r="N1756" s="167"/>
      <c r="O1756" s="169"/>
    </row>
    <row r="1757" spans="2:15" s="453" customFormat="1" ht="14" x14ac:dyDescent="0.2">
      <c r="B1757" s="293"/>
      <c r="C1757" s="573" t="s">
        <v>760</v>
      </c>
      <c r="D1757" s="573"/>
      <c r="E1757" s="573"/>
      <c r="F1757" s="573"/>
      <c r="G1757" s="573"/>
      <c r="H1757" s="296"/>
      <c r="I1757" s="168" t="s">
        <v>211</v>
      </c>
      <c r="J1757" s="166" t="s">
        <v>211</v>
      </c>
      <c r="K1757" s="168" t="s">
        <v>211</v>
      </c>
      <c r="L1757" s="166" t="s">
        <v>211</v>
      </c>
      <c r="M1757" s="168" t="s">
        <v>211</v>
      </c>
      <c r="N1757" s="166" t="s">
        <v>211</v>
      </c>
      <c r="O1757" s="168" t="s">
        <v>211</v>
      </c>
    </row>
    <row r="1758" spans="2:15" s="453" customFormat="1" ht="14" x14ac:dyDescent="0.2">
      <c r="B1758" s="293"/>
      <c r="F1758" s="586" t="s">
        <v>642</v>
      </c>
      <c r="G1758" s="586"/>
      <c r="H1758" s="587"/>
      <c r="I1758" s="169"/>
      <c r="J1758" s="167"/>
      <c r="K1758" s="169"/>
      <c r="L1758" s="167"/>
      <c r="M1758" s="169"/>
      <c r="N1758" s="167"/>
      <c r="O1758" s="169"/>
    </row>
    <row r="1759" spans="2:15" s="453" customFormat="1" ht="14" x14ac:dyDescent="0.2">
      <c r="B1759" s="302"/>
      <c r="C1759" s="303"/>
      <c r="D1759" s="303"/>
      <c r="E1759" s="303"/>
      <c r="F1759" s="599" t="s">
        <v>474</v>
      </c>
      <c r="G1759" s="599"/>
      <c r="H1759" s="615"/>
      <c r="I1759" s="169"/>
      <c r="J1759" s="167"/>
      <c r="K1759" s="169"/>
      <c r="L1759" s="167"/>
      <c r="M1759" s="169"/>
      <c r="N1759" s="167"/>
      <c r="O1759" s="169"/>
    </row>
    <row r="1760" spans="2:15" s="453" customFormat="1" ht="14" x14ac:dyDescent="0.2">
      <c r="B1760" s="291">
        <v>8</v>
      </c>
      <c r="C1760" s="602" t="s">
        <v>878</v>
      </c>
      <c r="D1760" s="602"/>
      <c r="E1760" s="602"/>
      <c r="F1760" s="602"/>
      <c r="G1760" s="602"/>
      <c r="H1760" s="292"/>
      <c r="I1760" s="168" t="s">
        <v>211</v>
      </c>
      <c r="J1760" s="166" t="s">
        <v>211</v>
      </c>
      <c r="K1760" s="168" t="s">
        <v>211</v>
      </c>
      <c r="L1760" s="166" t="s">
        <v>211</v>
      </c>
      <c r="M1760" s="168" t="s">
        <v>211</v>
      </c>
      <c r="N1760" s="166" t="s">
        <v>211</v>
      </c>
      <c r="O1760" s="168" t="s">
        <v>211</v>
      </c>
    </row>
    <row r="1761" spans="2:15" s="453" customFormat="1" ht="14" x14ac:dyDescent="0.2">
      <c r="B1761" s="293"/>
      <c r="C1761" s="572"/>
      <c r="D1761" s="572"/>
      <c r="E1761" s="572"/>
      <c r="F1761" s="572"/>
      <c r="G1761" s="572"/>
      <c r="H1761" s="294"/>
      <c r="I1761" s="169"/>
      <c r="J1761" s="167"/>
      <c r="K1761" s="169"/>
      <c r="L1761" s="167"/>
      <c r="M1761" s="169"/>
      <c r="N1761" s="167"/>
      <c r="O1761" s="169"/>
    </row>
    <row r="1762" spans="2:15" s="453" customFormat="1" ht="14" x14ac:dyDescent="0.2">
      <c r="B1762" s="293"/>
      <c r="C1762" s="573" t="s">
        <v>848</v>
      </c>
      <c r="D1762" s="573"/>
      <c r="E1762" s="573"/>
      <c r="F1762" s="573"/>
      <c r="G1762" s="573"/>
      <c r="H1762" s="296"/>
      <c r="I1762" s="168" t="s">
        <v>211</v>
      </c>
      <c r="J1762" s="166" t="s">
        <v>211</v>
      </c>
      <c r="K1762" s="168" t="s">
        <v>211</v>
      </c>
      <c r="L1762" s="166" t="s">
        <v>211</v>
      </c>
      <c r="M1762" s="168" t="s">
        <v>211</v>
      </c>
      <c r="N1762" s="166" t="s">
        <v>211</v>
      </c>
      <c r="O1762" s="168" t="s">
        <v>211</v>
      </c>
    </row>
    <row r="1763" spans="2:15" s="453" customFormat="1" ht="14" x14ac:dyDescent="0.2">
      <c r="B1763" s="293"/>
      <c r="C1763" s="573" t="s">
        <v>879</v>
      </c>
      <c r="D1763" s="573"/>
      <c r="E1763" s="573"/>
      <c r="F1763" s="573"/>
      <c r="G1763" s="573"/>
      <c r="H1763" s="296"/>
      <c r="I1763" s="168" t="s">
        <v>211</v>
      </c>
      <c r="J1763" s="166" t="s">
        <v>211</v>
      </c>
      <c r="K1763" s="168" t="s">
        <v>211</v>
      </c>
      <c r="L1763" s="166" t="s">
        <v>211</v>
      </c>
      <c r="M1763" s="168" t="s">
        <v>211</v>
      </c>
      <c r="N1763" s="166" t="s">
        <v>211</v>
      </c>
      <c r="O1763" s="168" t="s">
        <v>211</v>
      </c>
    </row>
    <row r="1764" spans="2:15" s="453" customFormat="1" ht="14" x14ac:dyDescent="0.2">
      <c r="B1764" s="293"/>
      <c r="C1764" s="573" t="s">
        <v>823</v>
      </c>
      <c r="D1764" s="573"/>
      <c r="E1764" s="573"/>
      <c r="F1764" s="573"/>
      <c r="G1764" s="573"/>
      <c r="H1764" s="296"/>
      <c r="I1764" s="168" t="s">
        <v>211</v>
      </c>
      <c r="J1764" s="166" t="s">
        <v>211</v>
      </c>
      <c r="K1764" s="168" t="s">
        <v>211</v>
      </c>
      <c r="L1764" s="166" t="s">
        <v>211</v>
      </c>
      <c r="M1764" s="168" t="s">
        <v>211</v>
      </c>
      <c r="N1764" s="166" t="s">
        <v>211</v>
      </c>
      <c r="O1764" s="168" t="s">
        <v>211</v>
      </c>
    </row>
    <row r="1765" spans="2:15" s="453" customFormat="1" ht="14" x14ac:dyDescent="0.2">
      <c r="B1765" s="293"/>
      <c r="F1765" s="593" t="s">
        <v>764</v>
      </c>
      <c r="G1765" s="593"/>
      <c r="H1765" s="768"/>
      <c r="I1765" s="169"/>
      <c r="J1765" s="167"/>
      <c r="K1765" s="169"/>
      <c r="L1765" s="167"/>
      <c r="M1765" s="169"/>
      <c r="N1765" s="167"/>
      <c r="O1765" s="169"/>
    </row>
    <row r="1766" spans="2:15" s="453" customFormat="1" ht="14" x14ac:dyDescent="0.2">
      <c r="B1766" s="293"/>
      <c r="F1766" s="586" t="s">
        <v>604</v>
      </c>
      <c r="G1766" s="586"/>
      <c r="H1766" s="587"/>
      <c r="I1766" s="169"/>
      <c r="J1766" s="167"/>
      <c r="K1766" s="169"/>
      <c r="L1766" s="167"/>
      <c r="M1766" s="169"/>
      <c r="N1766" s="167"/>
      <c r="O1766" s="169"/>
    </row>
    <row r="1767" spans="2:15" s="453" customFormat="1" ht="14" x14ac:dyDescent="0.2">
      <c r="B1767" s="302"/>
      <c r="C1767" s="303"/>
      <c r="D1767" s="303"/>
      <c r="E1767" s="303"/>
      <c r="F1767" s="603" t="s">
        <v>880</v>
      </c>
      <c r="G1767" s="603"/>
      <c r="H1767" s="769"/>
      <c r="I1767" s="169"/>
      <c r="J1767" s="167"/>
      <c r="K1767" s="169"/>
      <c r="L1767" s="167"/>
      <c r="M1767" s="169"/>
      <c r="N1767" s="167"/>
      <c r="O1767" s="169"/>
    </row>
    <row r="1768" spans="2:15" s="453" customFormat="1" ht="14" x14ac:dyDescent="0.2">
      <c r="B1768" s="291">
        <v>9</v>
      </c>
      <c r="C1768" s="602" t="s">
        <v>871</v>
      </c>
      <c r="D1768" s="602"/>
      <c r="E1768" s="602"/>
      <c r="F1768" s="602"/>
      <c r="G1768" s="602"/>
      <c r="H1768" s="292"/>
      <c r="I1768" s="168" t="s">
        <v>211</v>
      </c>
      <c r="J1768" s="166" t="s">
        <v>211</v>
      </c>
      <c r="K1768" s="168" t="s">
        <v>211</v>
      </c>
      <c r="L1768" s="166" t="s">
        <v>211</v>
      </c>
      <c r="M1768" s="168" t="s">
        <v>211</v>
      </c>
      <c r="N1768" s="166" t="s">
        <v>211</v>
      </c>
      <c r="O1768" s="168" t="s">
        <v>211</v>
      </c>
    </row>
    <row r="1769" spans="2:15" s="453" customFormat="1" ht="14" x14ac:dyDescent="0.2">
      <c r="B1769" s="293"/>
      <c r="C1769" s="572"/>
      <c r="D1769" s="572"/>
      <c r="E1769" s="572"/>
      <c r="F1769" s="572"/>
      <c r="G1769" s="572"/>
      <c r="H1769" s="294"/>
      <c r="I1769" s="169"/>
      <c r="J1769" s="167"/>
      <c r="K1769" s="169"/>
      <c r="L1769" s="167"/>
      <c r="M1769" s="169"/>
      <c r="N1769" s="167"/>
      <c r="O1769" s="169"/>
    </row>
    <row r="1770" spans="2:15" s="453" customFormat="1" ht="14" x14ac:dyDescent="0.2">
      <c r="B1770" s="293"/>
      <c r="C1770" s="572" t="s">
        <v>881</v>
      </c>
      <c r="D1770" s="572"/>
      <c r="E1770" s="572"/>
      <c r="F1770" s="572"/>
      <c r="G1770" s="572"/>
      <c r="H1770" s="296"/>
      <c r="I1770" s="168" t="s">
        <v>211</v>
      </c>
      <c r="J1770" s="166" t="s">
        <v>211</v>
      </c>
      <c r="K1770" s="168" t="s">
        <v>211</v>
      </c>
      <c r="L1770" s="166" t="s">
        <v>211</v>
      </c>
      <c r="M1770" s="168" t="s">
        <v>211</v>
      </c>
      <c r="N1770" s="166" t="s">
        <v>211</v>
      </c>
      <c r="O1770" s="168" t="s">
        <v>211</v>
      </c>
    </row>
    <row r="1771" spans="2:15" s="453" customFormat="1" ht="14" x14ac:dyDescent="0.2">
      <c r="B1771" s="293"/>
      <c r="C1771" s="572"/>
      <c r="D1771" s="572"/>
      <c r="E1771" s="572"/>
      <c r="F1771" s="572"/>
      <c r="G1771" s="572"/>
      <c r="H1771" s="294"/>
      <c r="I1771" s="169"/>
      <c r="J1771" s="167"/>
      <c r="K1771" s="169"/>
      <c r="L1771" s="167"/>
      <c r="M1771" s="169"/>
      <c r="N1771" s="167"/>
      <c r="O1771" s="169"/>
    </row>
    <row r="1772" spans="2:15" s="453" customFormat="1" ht="14" x14ac:dyDescent="0.2">
      <c r="B1772" s="293"/>
      <c r="C1772" s="573" t="s">
        <v>882</v>
      </c>
      <c r="D1772" s="573"/>
      <c r="E1772" s="573"/>
      <c r="F1772" s="573"/>
      <c r="G1772" s="573"/>
      <c r="H1772" s="296"/>
      <c r="I1772" s="168" t="s">
        <v>211</v>
      </c>
      <c r="J1772" s="166" t="s">
        <v>211</v>
      </c>
      <c r="K1772" s="168" t="s">
        <v>211</v>
      </c>
      <c r="L1772" s="166" t="s">
        <v>211</v>
      </c>
      <c r="M1772" s="168" t="s">
        <v>211</v>
      </c>
      <c r="N1772" s="166" t="s">
        <v>211</v>
      </c>
      <c r="O1772" s="168" t="s">
        <v>211</v>
      </c>
    </row>
    <row r="1773" spans="2:15" s="453" customFormat="1" ht="14" x14ac:dyDescent="0.2">
      <c r="B1773" s="293"/>
      <c r="C1773" s="572" t="s">
        <v>883</v>
      </c>
      <c r="D1773" s="572"/>
      <c r="E1773" s="572"/>
      <c r="F1773" s="572"/>
      <c r="G1773" s="572"/>
      <c r="H1773" s="296"/>
      <c r="I1773" s="168" t="s">
        <v>211</v>
      </c>
      <c r="J1773" s="166" t="s">
        <v>211</v>
      </c>
      <c r="K1773" s="168" t="s">
        <v>211</v>
      </c>
      <c r="L1773" s="166" t="s">
        <v>211</v>
      </c>
      <c r="M1773" s="168" t="s">
        <v>211</v>
      </c>
      <c r="N1773" s="166" t="s">
        <v>211</v>
      </c>
      <c r="O1773" s="168" t="s">
        <v>211</v>
      </c>
    </row>
    <row r="1774" spans="2:15" s="453" customFormat="1" ht="14" x14ac:dyDescent="0.2">
      <c r="B1774" s="293"/>
      <c r="C1774" s="572"/>
      <c r="D1774" s="572"/>
      <c r="E1774" s="572"/>
      <c r="F1774" s="572"/>
      <c r="G1774" s="572"/>
      <c r="H1774" s="294"/>
      <c r="I1774" s="169"/>
      <c r="J1774" s="167"/>
      <c r="K1774" s="169"/>
      <c r="L1774" s="167"/>
      <c r="M1774" s="169"/>
      <c r="N1774" s="167"/>
      <c r="O1774" s="169"/>
    </row>
    <row r="1775" spans="2:15" s="453" customFormat="1" ht="14" x14ac:dyDescent="0.2">
      <c r="B1775" s="293"/>
      <c r="C1775" s="573" t="s">
        <v>760</v>
      </c>
      <c r="D1775" s="573"/>
      <c r="E1775" s="573"/>
      <c r="F1775" s="573"/>
      <c r="G1775" s="573"/>
      <c r="H1775" s="296"/>
      <c r="I1775" s="168" t="s">
        <v>211</v>
      </c>
      <c r="J1775" s="166" t="s">
        <v>211</v>
      </c>
      <c r="K1775" s="168" t="s">
        <v>211</v>
      </c>
      <c r="L1775" s="166" t="s">
        <v>211</v>
      </c>
      <c r="M1775" s="168" t="s">
        <v>211</v>
      </c>
      <c r="N1775" s="166" t="s">
        <v>211</v>
      </c>
      <c r="O1775" s="168" t="s">
        <v>211</v>
      </c>
    </row>
    <row r="1776" spans="2:15" s="453" customFormat="1" ht="14" x14ac:dyDescent="0.2">
      <c r="B1776" s="293"/>
      <c r="F1776" s="586" t="s">
        <v>765</v>
      </c>
      <c r="G1776" s="586"/>
      <c r="H1776" s="587"/>
      <c r="I1776" s="169"/>
      <c r="J1776" s="167"/>
      <c r="K1776" s="169"/>
      <c r="L1776" s="167"/>
      <c r="M1776" s="169"/>
      <c r="N1776" s="167"/>
      <c r="O1776" s="169"/>
    </row>
    <row r="1777" spans="2:15" s="453" customFormat="1" ht="14" x14ac:dyDescent="0.2">
      <c r="B1777" s="302"/>
      <c r="C1777" s="303"/>
      <c r="D1777" s="303"/>
      <c r="E1777" s="303"/>
      <c r="F1777" s="599" t="s">
        <v>474</v>
      </c>
      <c r="G1777" s="599"/>
      <c r="H1777" s="615"/>
      <c r="I1777" s="169"/>
      <c r="J1777" s="167"/>
      <c r="K1777" s="169"/>
      <c r="L1777" s="167"/>
      <c r="M1777" s="169"/>
      <c r="N1777" s="167"/>
      <c r="O1777" s="169"/>
    </row>
    <row r="1778" spans="2:15" s="453" customFormat="1" ht="14" x14ac:dyDescent="0.2">
      <c r="B1778" s="291">
        <v>10</v>
      </c>
      <c r="C1778" s="602" t="s">
        <v>884</v>
      </c>
      <c r="D1778" s="602"/>
      <c r="E1778" s="602"/>
      <c r="F1778" s="602"/>
      <c r="G1778" s="602"/>
      <c r="H1778" s="292"/>
      <c r="I1778" s="168" t="s">
        <v>211</v>
      </c>
      <c r="J1778" s="166" t="s">
        <v>211</v>
      </c>
      <c r="K1778" s="168" t="s">
        <v>211</v>
      </c>
      <c r="L1778" s="166" t="s">
        <v>211</v>
      </c>
      <c r="M1778" s="168" t="s">
        <v>211</v>
      </c>
      <c r="N1778" s="166" t="s">
        <v>211</v>
      </c>
      <c r="O1778" s="168" t="s">
        <v>211</v>
      </c>
    </row>
    <row r="1779" spans="2:15" s="453" customFormat="1" ht="14" x14ac:dyDescent="0.2">
      <c r="B1779" s="293"/>
      <c r="C1779" s="572"/>
      <c r="D1779" s="572"/>
      <c r="E1779" s="572"/>
      <c r="F1779" s="572"/>
      <c r="G1779" s="572"/>
      <c r="H1779" s="294"/>
      <c r="I1779" s="169"/>
      <c r="J1779" s="167"/>
      <c r="K1779" s="169"/>
      <c r="L1779" s="167"/>
      <c r="M1779" s="169"/>
      <c r="N1779" s="167"/>
      <c r="O1779" s="169"/>
    </row>
    <row r="1780" spans="2:15" s="453" customFormat="1" ht="14" x14ac:dyDescent="0.2">
      <c r="B1780" s="293"/>
      <c r="C1780" s="572" t="s">
        <v>885</v>
      </c>
      <c r="D1780" s="572"/>
      <c r="E1780" s="572"/>
      <c r="F1780" s="572"/>
      <c r="G1780" s="572"/>
      <c r="H1780" s="296"/>
      <c r="I1780" s="168" t="s">
        <v>211</v>
      </c>
      <c r="J1780" s="166" t="s">
        <v>211</v>
      </c>
      <c r="K1780" s="168" t="s">
        <v>211</v>
      </c>
      <c r="L1780" s="166" t="s">
        <v>211</v>
      </c>
      <c r="M1780" s="168" t="s">
        <v>211</v>
      </c>
      <c r="N1780" s="166" t="s">
        <v>211</v>
      </c>
      <c r="O1780" s="168" t="s">
        <v>211</v>
      </c>
    </row>
    <row r="1781" spans="2:15" s="453" customFormat="1" ht="14" x14ac:dyDescent="0.2">
      <c r="B1781" s="293"/>
      <c r="C1781" s="572"/>
      <c r="D1781" s="572"/>
      <c r="E1781" s="572"/>
      <c r="F1781" s="572"/>
      <c r="G1781" s="572"/>
      <c r="H1781" s="294"/>
      <c r="I1781" s="169"/>
      <c r="J1781" s="167"/>
      <c r="K1781" s="169"/>
      <c r="L1781" s="167"/>
      <c r="M1781" s="169"/>
      <c r="N1781" s="167"/>
      <c r="O1781" s="169"/>
    </row>
    <row r="1782" spans="2:15" s="453" customFormat="1" ht="14" x14ac:dyDescent="0.2">
      <c r="B1782" s="293"/>
      <c r="C1782" s="573" t="s">
        <v>768</v>
      </c>
      <c r="D1782" s="573"/>
      <c r="E1782" s="573"/>
      <c r="F1782" s="573"/>
      <c r="G1782" s="573"/>
      <c r="H1782" s="296"/>
      <c r="I1782" s="168" t="s">
        <v>211</v>
      </c>
      <c r="J1782" s="166" t="s">
        <v>211</v>
      </c>
      <c r="K1782" s="168" t="s">
        <v>211</v>
      </c>
      <c r="L1782" s="166" t="s">
        <v>211</v>
      </c>
      <c r="M1782" s="168" t="s">
        <v>211</v>
      </c>
      <c r="N1782" s="166" t="s">
        <v>211</v>
      </c>
      <c r="O1782" s="168" t="s">
        <v>211</v>
      </c>
    </row>
    <row r="1783" spans="2:15" s="453" customFormat="1" ht="14" x14ac:dyDescent="0.2">
      <c r="B1783" s="293"/>
      <c r="C1783" s="573" t="s">
        <v>886</v>
      </c>
      <c r="D1783" s="573"/>
      <c r="E1783" s="573"/>
      <c r="F1783" s="573"/>
      <c r="G1783" s="573"/>
      <c r="H1783" s="296"/>
      <c r="I1783" s="168" t="s">
        <v>211</v>
      </c>
      <c r="J1783" s="166" t="s">
        <v>211</v>
      </c>
      <c r="K1783" s="168" t="s">
        <v>211</v>
      </c>
      <c r="L1783" s="166" t="s">
        <v>211</v>
      </c>
      <c r="M1783" s="168" t="s">
        <v>211</v>
      </c>
      <c r="N1783" s="166" t="s">
        <v>211</v>
      </c>
      <c r="O1783" s="168" t="s">
        <v>211</v>
      </c>
    </row>
    <row r="1784" spans="2:15" s="453" customFormat="1" ht="14" x14ac:dyDescent="0.2">
      <c r="B1784" s="293"/>
      <c r="C1784" s="837" t="s">
        <v>887</v>
      </c>
      <c r="D1784" s="837"/>
      <c r="E1784" s="837"/>
      <c r="F1784" s="837"/>
      <c r="G1784" s="837"/>
      <c r="H1784" s="296"/>
      <c r="I1784" s="168" t="s">
        <v>211</v>
      </c>
      <c r="J1784" s="166" t="s">
        <v>211</v>
      </c>
      <c r="K1784" s="168" t="s">
        <v>211</v>
      </c>
      <c r="L1784" s="166" t="s">
        <v>211</v>
      </c>
      <c r="M1784" s="168" t="s">
        <v>211</v>
      </c>
      <c r="N1784" s="166" t="s">
        <v>211</v>
      </c>
      <c r="O1784" s="168" t="s">
        <v>211</v>
      </c>
    </row>
    <row r="1785" spans="2:15" s="453" customFormat="1" ht="14" x14ac:dyDescent="0.2">
      <c r="B1785" s="293"/>
      <c r="F1785" s="770" t="s">
        <v>604</v>
      </c>
      <c r="G1785" s="770"/>
      <c r="H1785" s="771"/>
      <c r="I1785" s="169"/>
      <c r="J1785" s="167"/>
      <c r="K1785" s="169"/>
      <c r="L1785" s="167"/>
      <c r="M1785" s="169"/>
      <c r="N1785" s="167"/>
      <c r="O1785" s="169"/>
    </row>
    <row r="1786" spans="2:15" s="453" customFormat="1" ht="14" x14ac:dyDescent="0.2">
      <c r="B1786" s="302"/>
      <c r="C1786" s="303"/>
      <c r="D1786" s="303"/>
      <c r="E1786" s="303"/>
      <c r="F1786" s="603" t="s">
        <v>880</v>
      </c>
      <c r="G1786" s="603"/>
      <c r="H1786" s="769"/>
      <c r="I1786" s="169"/>
      <c r="J1786" s="167"/>
      <c r="K1786" s="169"/>
      <c r="L1786" s="167"/>
      <c r="M1786" s="169"/>
      <c r="N1786" s="167"/>
      <c r="O1786" s="169"/>
    </row>
    <row r="1787" spans="2:15" s="453" customFormat="1" ht="14" x14ac:dyDescent="0.2">
      <c r="B1787" s="291">
        <v>11</v>
      </c>
      <c r="C1787" s="598" t="s">
        <v>888</v>
      </c>
      <c r="D1787" s="598"/>
      <c r="E1787" s="598"/>
      <c r="F1787" s="598"/>
      <c r="G1787" s="598"/>
      <c r="H1787" s="292"/>
      <c r="I1787" s="168" t="s">
        <v>211</v>
      </c>
      <c r="J1787" s="166" t="s">
        <v>211</v>
      </c>
      <c r="K1787" s="168" t="s">
        <v>211</v>
      </c>
      <c r="L1787" s="166" t="s">
        <v>211</v>
      </c>
      <c r="M1787" s="168" t="s">
        <v>211</v>
      </c>
      <c r="N1787" s="166" t="s">
        <v>211</v>
      </c>
      <c r="O1787" s="168" t="s">
        <v>211</v>
      </c>
    </row>
    <row r="1788" spans="2:15" s="453" customFormat="1" ht="14" x14ac:dyDescent="0.2">
      <c r="B1788" s="293"/>
      <c r="C1788" s="572" t="s">
        <v>889</v>
      </c>
      <c r="D1788" s="572"/>
      <c r="E1788" s="572"/>
      <c r="F1788" s="572"/>
      <c r="G1788" s="572"/>
      <c r="H1788" s="296"/>
      <c r="I1788" s="168" t="s">
        <v>211</v>
      </c>
      <c r="J1788" s="166" t="s">
        <v>211</v>
      </c>
      <c r="K1788" s="168" t="s">
        <v>211</v>
      </c>
      <c r="L1788" s="166" t="s">
        <v>211</v>
      </c>
      <c r="M1788" s="168" t="s">
        <v>211</v>
      </c>
      <c r="N1788" s="166" t="s">
        <v>211</v>
      </c>
      <c r="O1788" s="168" t="s">
        <v>211</v>
      </c>
    </row>
    <row r="1789" spans="2:15" s="453" customFormat="1" ht="14" x14ac:dyDescent="0.2">
      <c r="B1789" s="293"/>
      <c r="C1789" s="572"/>
      <c r="D1789" s="572"/>
      <c r="E1789" s="572"/>
      <c r="F1789" s="572"/>
      <c r="G1789" s="572"/>
      <c r="H1789" s="294"/>
      <c r="I1789" s="169"/>
      <c r="J1789" s="167"/>
      <c r="K1789" s="169"/>
      <c r="L1789" s="167"/>
      <c r="M1789" s="169"/>
      <c r="N1789" s="167"/>
      <c r="O1789" s="169"/>
    </row>
    <row r="1790" spans="2:15" s="453" customFormat="1" ht="14" x14ac:dyDescent="0.2">
      <c r="B1790" s="293"/>
      <c r="C1790" s="572"/>
      <c r="D1790" s="572"/>
      <c r="E1790" s="572"/>
      <c r="F1790" s="572"/>
      <c r="G1790" s="572"/>
      <c r="H1790" s="294"/>
      <c r="I1790" s="169"/>
      <c r="J1790" s="167"/>
      <c r="K1790" s="169"/>
      <c r="L1790" s="167"/>
      <c r="M1790" s="169"/>
      <c r="N1790" s="167"/>
      <c r="O1790" s="169"/>
    </row>
    <row r="1791" spans="2:15" s="453" customFormat="1" ht="14" x14ac:dyDescent="0.2">
      <c r="B1791" s="293"/>
      <c r="C1791" s="573" t="s">
        <v>845</v>
      </c>
      <c r="D1791" s="573"/>
      <c r="E1791" s="573"/>
      <c r="F1791" s="573"/>
      <c r="G1791" s="573"/>
      <c r="H1791" s="296"/>
      <c r="I1791" s="168" t="s">
        <v>211</v>
      </c>
      <c r="J1791" s="166" t="s">
        <v>211</v>
      </c>
      <c r="K1791" s="168" t="s">
        <v>211</v>
      </c>
      <c r="L1791" s="166" t="s">
        <v>211</v>
      </c>
      <c r="M1791" s="168" t="s">
        <v>211</v>
      </c>
      <c r="N1791" s="166" t="s">
        <v>211</v>
      </c>
      <c r="O1791" s="168" t="s">
        <v>211</v>
      </c>
    </row>
    <row r="1792" spans="2:15" s="453" customFormat="1" ht="14" x14ac:dyDescent="0.2">
      <c r="B1792" s="293"/>
      <c r="F1792" s="586" t="s">
        <v>746</v>
      </c>
      <c r="G1792" s="586"/>
      <c r="H1792" s="587"/>
      <c r="I1792" s="169"/>
      <c r="J1792" s="167"/>
      <c r="K1792" s="169"/>
      <c r="L1792" s="167"/>
      <c r="M1792" s="169"/>
      <c r="N1792" s="167"/>
      <c r="O1792" s="169"/>
    </row>
    <row r="1793" spans="2:15" s="453" customFormat="1" ht="14" x14ac:dyDescent="0.2">
      <c r="B1793" s="302"/>
      <c r="C1793" s="303"/>
      <c r="D1793" s="303"/>
      <c r="E1793" s="303"/>
      <c r="F1793" s="599" t="s">
        <v>772</v>
      </c>
      <c r="G1793" s="599"/>
      <c r="H1793" s="615"/>
      <c r="I1793" s="169"/>
      <c r="J1793" s="167"/>
      <c r="K1793" s="169"/>
      <c r="L1793" s="167"/>
      <c r="M1793" s="169"/>
      <c r="N1793" s="167"/>
      <c r="O1793" s="169"/>
    </row>
    <row r="1794" spans="2:15" s="453" customFormat="1" ht="14" x14ac:dyDescent="0.2">
      <c r="B1794" s="291">
        <v>12</v>
      </c>
      <c r="C1794" s="602" t="s">
        <v>890</v>
      </c>
      <c r="D1794" s="602"/>
      <c r="E1794" s="602"/>
      <c r="F1794" s="602"/>
      <c r="G1794" s="602"/>
      <c r="H1794" s="292"/>
      <c r="I1794" s="168" t="s">
        <v>211</v>
      </c>
      <c r="J1794" s="166" t="s">
        <v>211</v>
      </c>
      <c r="K1794" s="168" t="s">
        <v>211</v>
      </c>
      <c r="L1794" s="166" t="s">
        <v>211</v>
      </c>
      <c r="M1794" s="168" t="s">
        <v>211</v>
      </c>
      <c r="N1794" s="166" t="s">
        <v>211</v>
      </c>
      <c r="O1794" s="168" t="s">
        <v>211</v>
      </c>
    </row>
    <row r="1795" spans="2:15" s="453" customFormat="1" ht="14" x14ac:dyDescent="0.2">
      <c r="B1795" s="293"/>
      <c r="C1795" s="572"/>
      <c r="D1795" s="572"/>
      <c r="E1795" s="572"/>
      <c r="F1795" s="572"/>
      <c r="G1795" s="572"/>
      <c r="H1795" s="294"/>
      <c r="I1795" s="169"/>
      <c r="J1795" s="167"/>
      <c r="K1795" s="169"/>
      <c r="L1795" s="167"/>
      <c r="M1795" s="169"/>
      <c r="N1795" s="167"/>
      <c r="O1795" s="169"/>
    </row>
    <row r="1796" spans="2:15" s="453" customFormat="1" ht="14" x14ac:dyDescent="0.2">
      <c r="B1796" s="295" t="s">
        <v>891</v>
      </c>
      <c r="C1796" s="597" t="s">
        <v>892</v>
      </c>
      <c r="D1796" s="597"/>
      <c r="E1796" s="597"/>
      <c r="F1796" s="597"/>
      <c r="G1796" s="597"/>
      <c r="H1796" s="294"/>
      <c r="I1796" s="169"/>
      <c r="J1796" s="167"/>
      <c r="K1796" s="169"/>
      <c r="L1796" s="167"/>
      <c r="M1796" s="169"/>
      <c r="N1796" s="167"/>
      <c r="O1796" s="169"/>
    </row>
    <row r="1797" spans="2:15" s="453" customFormat="1" ht="14" x14ac:dyDescent="0.2">
      <c r="B1797" s="295"/>
      <c r="C1797" s="597"/>
      <c r="D1797" s="597"/>
      <c r="E1797" s="597"/>
      <c r="F1797" s="597"/>
      <c r="G1797" s="597"/>
      <c r="H1797" s="294"/>
      <c r="I1797" s="169"/>
      <c r="J1797" s="167"/>
      <c r="K1797" s="169"/>
      <c r="L1797" s="167"/>
      <c r="M1797" s="169"/>
      <c r="N1797" s="167"/>
      <c r="O1797" s="169"/>
    </row>
    <row r="1798" spans="2:15" s="453" customFormat="1" ht="14" x14ac:dyDescent="0.2">
      <c r="B1798" s="293"/>
      <c r="F1798" s="586" t="s">
        <v>775</v>
      </c>
      <c r="G1798" s="586"/>
      <c r="H1798" s="587"/>
      <c r="I1798" s="169"/>
      <c r="J1798" s="167"/>
      <c r="K1798" s="169"/>
      <c r="L1798" s="167"/>
      <c r="M1798" s="169"/>
      <c r="N1798" s="167"/>
      <c r="O1798" s="169"/>
    </row>
    <row r="1799" spans="2:15" s="453" customFormat="1" ht="14" x14ac:dyDescent="0.2">
      <c r="B1799" s="293"/>
      <c r="F1799" s="778" t="s">
        <v>893</v>
      </c>
      <c r="G1799" s="778"/>
      <c r="H1799" s="779"/>
      <c r="I1799" s="169"/>
      <c r="J1799" s="167"/>
      <c r="K1799" s="169"/>
      <c r="L1799" s="167"/>
      <c r="M1799" s="169"/>
      <c r="N1799" s="167"/>
      <c r="O1799" s="169"/>
    </row>
    <row r="1800" spans="2:15" s="453" customFormat="1" ht="14" x14ac:dyDescent="0.2">
      <c r="B1800" s="302"/>
      <c r="C1800" s="303"/>
      <c r="D1800" s="303"/>
      <c r="E1800" s="303"/>
      <c r="F1800" s="599" t="s">
        <v>777</v>
      </c>
      <c r="G1800" s="599"/>
      <c r="H1800" s="615"/>
      <c r="I1800" s="169"/>
      <c r="J1800" s="167"/>
      <c r="K1800" s="169"/>
      <c r="L1800" s="167"/>
      <c r="M1800" s="169"/>
      <c r="N1800" s="167"/>
      <c r="O1800" s="169"/>
    </row>
    <row r="1801" spans="2:15" s="453" customFormat="1" ht="14" x14ac:dyDescent="0.2">
      <c r="B1801" s="291">
        <v>13</v>
      </c>
      <c r="C1801" s="602" t="s">
        <v>894</v>
      </c>
      <c r="D1801" s="602"/>
      <c r="E1801" s="602"/>
      <c r="F1801" s="602"/>
      <c r="G1801" s="602"/>
      <c r="H1801" s="292"/>
      <c r="I1801" s="168" t="s">
        <v>211</v>
      </c>
      <c r="J1801" s="166" t="s">
        <v>211</v>
      </c>
      <c r="K1801" s="168" t="s">
        <v>211</v>
      </c>
      <c r="L1801" s="166" t="s">
        <v>211</v>
      </c>
      <c r="M1801" s="168" t="s">
        <v>211</v>
      </c>
      <c r="N1801" s="166" t="s">
        <v>211</v>
      </c>
      <c r="O1801" s="168" t="s">
        <v>211</v>
      </c>
    </row>
    <row r="1802" spans="2:15" s="453" customFormat="1" ht="14" x14ac:dyDescent="0.2">
      <c r="B1802" s="293"/>
      <c r="C1802" s="572"/>
      <c r="D1802" s="572"/>
      <c r="E1802" s="572"/>
      <c r="F1802" s="572"/>
      <c r="G1802" s="572"/>
      <c r="H1802" s="294"/>
      <c r="I1802" s="169"/>
      <c r="J1802" s="167"/>
      <c r="K1802" s="169"/>
      <c r="L1802" s="167"/>
      <c r="M1802" s="169"/>
      <c r="N1802" s="167"/>
      <c r="O1802" s="169"/>
    </row>
    <row r="1803" spans="2:15" s="453" customFormat="1" ht="14" x14ac:dyDescent="0.2">
      <c r="B1803" s="293"/>
      <c r="C1803" s="573" t="s">
        <v>779</v>
      </c>
      <c r="D1803" s="573"/>
      <c r="E1803" s="573"/>
      <c r="F1803" s="573"/>
      <c r="G1803" s="573"/>
      <c r="H1803" s="296"/>
      <c r="I1803" s="168" t="s">
        <v>211</v>
      </c>
      <c r="J1803" s="166" t="s">
        <v>211</v>
      </c>
      <c r="K1803" s="168" t="s">
        <v>211</v>
      </c>
      <c r="L1803" s="166" t="s">
        <v>211</v>
      </c>
      <c r="M1803" s="168" t="s">
        <v>211</v>
      </c>
      <c r="N1803" s="166" t="s">
        <v>211</v>
      </c>
      <c r="O1803" s="168" t="s">
        <v>211</v>
      </c>
    </row>
    <row r="1804" spans="2:15" s="453" customFormat="1" ht="14" x14ac:dyDescent="0.2">
      <c r="B1804" s="293"/>
      <c r="C1804" s="573" t="s">
        <v>780</v>
      </c>
      <c r="D1804" s="573"/>
      <c r="E1804" s="573"/>
      <c r="F1804" s="573"/>
      <c r="G1804" s="573"/>
      <c r="H1804" s="296"/>
      <c r="I1804" s="168" t="s">
        <v>211</v>
      </c>
      <c r="J1804" s="166" t="s">
        <v>211</v>
      </c>
      <c r="K1804" s="168" t="s">
        <v>211</v>
      </c>
      <c r="L1804" s="166" t="s">
        <v>211</v>
      </c>
      <c r="M1804" s="168" t="s">
        <v>211</v>
      </c>
      <c r="N1804" s="166" t="s">
        <v>211</v>
      </c>
      <c r="O1804" s="168" t="s">
        <v>211</v>
      </c>
    </row>
    <row r="1805" spans="2:15" s="453" customFormat="1" ht="14" x14ac:dyDescent="0.2">
      <c r="B1805" s="302"/>
      <c r="C1805" s="303"/>
      <c r="D1805" s="303"/>
      <c r="E1805" s="303"/>
      <c r="F1805" s="580" t="s">
        <v>781</v>
      </c>
      <c r="G1805" s="580"/>
      <c r="H1805" s="585"/>
      <c r="I1805" s="169"/>
      <c r="J1805" s="167"/>
      <c r="K1805" s="169"/>
      <c r="L1805" s="167"/>
      <c r="M1805" s="169"/>
      <c r="N1805" s="167"/>
      <c r="O1805" s="169"/>
    </row>
    <row r="1806" spans="2:15" s="453" customFormat="1" ht="14" x14ac:dyDescent="0.2">
      <c r="B1806" s="291">
        <v>14</v>
      </c>
      <c r="C1806" s="602" t="s">
        <v>895</v>
      </c>
      <c r="D1806" s="602"/>
      <c r="E1806" s="602"/>
      <c r="F1806" s="602"/>
      <c r="G1806" s="602"/>
      <c r="H1806" s="292"/>
      <c r="I1806" s="168" t="s">
        <v>211</v>
      </c>
      <c r="J1806" s="166" t="s">
        <v>211</v>
      </c>
      <c r="K1806" s="168" t="s">
        <v>211</v>
      </c>
      <c r="L1806" s="166" t="s">
        <v>211</v>
      </c>
      <c r="M1806" s="168" t="s">
        <v>211</v>
      </c>
      <c r="N1806" s="166" t="s">
        <v>211</v>
      </c>
      <c r="O1806" s="168" t="s">
        <v>211</v>
      </c>
    </row>
    <row r="1807" spans="2:15" s="453" customFormat="1" ht="14" x14ac:dyDescent="0.2">
      <c r="B1807" s="293"/>
      <c r="C1807" s="572"/>
      <c r="D1807" s="572"/>
      <c r="E1807" s="572"/>
      <c r="F1807" s="572"/>
      <c r="G1807" s="572"/>
      <c r="H1807" s="294"/>
      <c r="I1807" s="169"/>
      <c r="J1807" s="167"/>
      <c r="K1807" s="169"/>
      <c r="L1807" s="167"/>
      <c r="M1807" s="169"/>
      <c r="N1807" s="167"/>
      <c r="O1807" s="169"/>
    </row>
    <row r="1808" spans="2:15" s="453" customFormat="1" ht="14" x14ac:dyDescent="0.2">
      <c r="B1808" s="293"/>
      <c r="C1808" s="572" t="s">
        <v>896</v>
      </c>
      <c r="D1808" s="572"/>
      <c r="E1808" s="572"/>
      <c r="F1808" s="572"/>
      <c r="G1808" s="572"/>
      <c r="H1808" s="296"/>
      <c r="I1808" s="168" t="s">
        <v>211</v>
      </c>
      <c r="J1808" s="166" t="s">
        <v>211</v>
      </c>
      <c r="K1808" s="168" t="s">
        <v>211</v>
      </c>
      <c r="L1808" s="166" t="s">
        <v>211</v>
      </c>
      <c r="M1808" s="168" t="s">
        <v>211</v>
      </c>
      <c r="N1808" s="166" t="s">
        <v>211</v>
      </c>
      <c r="O1808" s="168" t="s">
        <v>211</v>
      </c>
    </row>
    <row r="1809" spans="2:16" s="453" customFormat="1" ht="14" x14ac:dyDescent="0.2">
      <c r="B1809" s="293"/>
      <c r="C1809" s="572"/>
      <c r="D1809" s="572"/>
      <c r="E1809" s="572"/>
      <c r="F1809" s="572"/>
      <c r="G1809" s="572"/>
      <c r="H1809" s="294"/>
      <c r="I1809" s="169"/>
      <c r="J1809" s="167"/>
      <c r="K1809" s="169"/>
      <c r="L1809" s="167"/>
      <c r="M1809" s="169"/>
      <c r="N1809" s="167"/>
      <c r="O1809" s="169"/>
    </row>
    <row r="1810" spans="2:16" s="453" customFormat="1" ht="14" x14ac:dyDescent="0.2">
      <c r="B1810" s="293"/>
      <c r="C1810" s="573" t="s">
        <v>897</v>
      </c>
      <c r="D1810" s="573"/>
      <c r="E1810" s="573"/>
      <c r="F1810" s="573"/>
      <c r="G1810" s="573"/>
      <c r="H1810" s="296"/>
      <c r="I1810" s="168" t="s">
        <v>211</v>
      </c>
      <c r="J1810" s="166" t="s">
        <v>211</v>
      </c>
      <c r="K1810" s="168" t="s">
        <v>211</v>
      </c>
      <c r="L1810" s="166" t="s">
        <v>211</v>
      </c>
      <c r="M1810" s="168" t="s">
        <v>211</v>
      </c>
      <c r="N1810" s="166" t="s">
        <v>211</v>
      </c>
      <c r="O1810" s="168" t="s">
        <v>211</v>
      </c>
    </row>
    <row r="1811" spans="2:16" s="453" customFormat="1" ht="14" x14ac:dyDescent="0.2">
      <c r="B1811" s="293"/>
      <c r="C1811" s="572" t="s">
        <v>898</v>
      </c>
      <c r="D1811" s="572"/>
      <c r="E1811" s="572"/>
      <c r="F1811" s="572"/>
      <c r="G1811" s="572"/>
      <c r="H1811" s="296"/>
      <c r="I1811" s="168" t="s">
        <v>211</v>
      </c>
      <c r="J1811" s="166" t="s">
        <v>211</v>
      </c>
      <c r="K1811" s="168" t="s">
        <v>211</v>
      </c>
      <c r="L1811" s="166" t="s">
        <v>211</v>
      </c>
      <c r="M1811" s="168" t="s">
        <v>211</v>
      </c>
      <c r="N1811" s="166" t="s">
        <v>211</v>
      </c>
      <c r="O1811" s="168" t="s">
        <v>211</v>
      </c>
    </row>
    <row r="1812" spans="2:16" s="453" customFormat="1" ht="14" x14ac:dyDescent="0.2">
      <c r="B1812" s="293"/>
      <c r="C1812" s="572"/>
      <c r="D1812" s="572"/>
      <c r="E1812" s="572"/>
      <c r="F1812" s="572"/>
      <c r="G1812" s="572"/>
      <c r="H1812" s="294"/>
      <c r="I1812" s="172">
        <f>COUNTIF(I1672:I1811,Data!$A$1)</f>
        <v>0</v>
      </c>
      <c r="J1812" s="203">
        <f>COUNTIF(J1672:J1811,Data!$A$1)</f>
        <v>0</v>
      </c>
      <c r="K1812" s="172">
        <f>COUNTIF(K1672:K1811,Data!$A$1)</f>
        <v>0</v>
      </c>
      <c r="L1812" s="203">
        <f>COUNTIF(L1672:L1811,Data!$A$1)</f>
        <v>0</v>
      </c>
      <c r="M1812" s="172">
        <f>COUNTIF(M1672:M1811,Data!$A$1)</f>
        <v>0</v>
      </c>
      <c r="N1812" s="203">
        <f>COUNTIF(N1672:N1811,Data!$A$1)</f>
        <v>0</v>
      </c>
      <c r="O1812" s="172">
        <f>COUNTIF(O1672:O1811,Data!$A$1)</f>
        <v>0</v>
      </c>
      <c r="P1812" s="107">
        <f>SUM(I1812:K1812,M1812:N1812)</f>
        <v>0</v>
      </c>
    </row>
    <row r="1813" spans="2:16" s="453" customFormat="1" ht="14" x14ac:dyDescent="0.2">
      <c r="B1813" s="293"/>
      <c r="F1813" s="776" t="s">
        <v>785</v>
      </c>
      <c r="G1813" s="776"/>
      <c r="H1813" s="777"/>
      <c r="I1813" s="172">
        <f>SUM(I1812*5)</f>
        <v>0</v>
      </c>
      <c r="J1813" s="208"/>
      <c r="K1813" s="172">
        <f>SUM(K1812*4)</f>
        <v>0</v>
      </c>
      <c r="L1813" s="208"/>
      <c r="M1813" s="172">
        <f>SUM(M1812*5)</f>
        <v>0</v>
      </c>
      <c r="N1813" s="208">
        <f>SUM(N1812*5)</f>
        <v>0</v>
      </c>
      <c r="O1813" s="172">
        <f>SUM(I1813:N1813)</f>
        <v>0</v>
      </c>
      <c r="P1813" s="107">
        <f>SUM(P1812*5)</f>
        <v>0</v>
      </c>
    </row>
    <row r="1814" spans="2:16" s="453" customFormat="1" ht="14" x14ac:dyDescent="0.2">
      <c r="B1814" s="293"/>
      <c r="D1814" s="770" t="s">
        <v>899</v>
      </c>
      <c r="E1814" s="770"/>
      <c r="F1814" s="770"/>
      <c r="G1814" s="770"/>
      <c r="H1814" s="771"/>
      <c r="I1814" s="169"/>
      <c r="J1814" s="173"/>
      <c r="K1814" s="169"/>
      <c r="L1814" s="173"/>
      <c r="M1814" s="169"/>
      <c r="N1814" s="173"/>
      <c r="O1814" s="169"/>
    </row>
    <row r="1815" spans="2:16" s="453" customFormat="1" ht="14" x14ac:dyDescent="0.2">
      <c r="B1815" s="293"/>
      <c r="F1815" s="604" t="s">
        <v>786</v>
      </c>
      <c r="G1815" s="604"/>
      <c r="H1815" s="767"/>
      <c r="I1815" s="169"/>
      <c r="J1815" s="173"/>
      <c r="K1815" s="169"/>
      <c r="L1815" s="173"/>
      <c r="M1815" s="169"/>
      <c r="N1815" s="173"/>
      <c r="O1815" s="169"/>
    </row>
    <row r="1816" spans="2:16" s="453" customFormat="1" ht="14" x14ac:dyDescent="0.2">
      <c r="B1816" s="302"/>
      <c r="C1816" s="303"/>
      <c r="D1816" s="303"/>
      <c r="E1816" s="303"/>
      <c r="F1816" s="613" t="s">
        <v>900</v>
      </c>
      <c r="G1816" s="613"/>
      <c r="H1816" s="775"/>
      <c r="I1816" s="169"/>
      <c r="J1816" s="167"/>
      <c r="K1816" s="169"/>
      <c r="L1816" s="167"/>
      <c r="M1816" s="169"/>
      <c r="N1816" s="167"/>
      <c r="O1816" s="169"/>
    </row>
    <row r="1817" spans="2:16" s="453" customFormat="1" ht="14" x14ac:dyDescent="0.2">
      <c r="B1817" s="897" t="s">
        <v>901</v>
      </c>
      <c r="C1817" s="898"/>
      <c r="D1817" s="898"/>
      <c r="E1817" s="440"/>
      <c r="F1817" s="359"/>
      <c r="G1817" s="359"/>
      <c r="H1817" s="360"/>
      <c r="I1817" s="169"/>
      <c r="J1817" s="167"/>
      <c r="K1817" s="169"/>
      <c r="L1817" s="167"/>
      <c r="M1817" s="169"/>
      <c r="N1817" s="167"/>
      <c r="O1817" s="169"/>
    </row>
    <row r="1818" spans="2:16" s="453" customFormat="1" ht="14" x14ac:dyDescent="0.2">
      <c r="B1818" s="293"/>
      <c r="C1818" s="572" t="s">
        <v>902</v>
      </c>
      <c r="D1818" s="572"/>
      <c r="E1818" s="572"/>
      <c r="F1818" s="572"/>
      <c r="G1818" s="572"/>
      <c r="H1818" s="296"/>
      <c r="I1818" s="168" t="s">
        <v>211</v>
      </c>
      <c r="J1818" s="166" t="s">
        <v>211</v>
      </c>
      <c r="K1818" s="168" t="s">
        <v>211</v>
      </c>
      <c r="L1818" s="166" t="s">
        <v>211</v>
      </c>
      <c r="M1818" s="168" t="s">
        <v>211</v>
      </c>
      <c r="N1818" s="166" t="s">
        <v>211</v>
      </c>
      <c r="O1818" s="168" t="s">
        <v>211</v>
      </c>
    </row>
    <row r="1819" spans="2:16" s="453" customFormat="1" ht="14" x14ac:dyDescent="0.2">
      <c r="B1819" s="293"/>
      <c r="C1819" s="572"/>
      <c r="D1819" s="572"/>
      <c r="E1819" s="572"/>
      <c r="F1819" s="572"/>
      <c r="G1819" s="572"/>
      <c r="H1819" s="294"/>
      <c r="I1819" s="172">
        <f>COUNTIF(I1818,Data!$A$1)</f>
        <v>0</v>
      </c>
      <c r="J1819" s="203">
        <f>COUNTIF(J1818,Data!$A$1)</f>
        <v>0</v>
      </c>
      <c r="K1819" s="172">
        <f>COUNTIF(K1818,Data!$A$1)</f>
        <v>0</v>
      </c>
      <c r="L1819" s="203">
        <f>COUNTIF(L1818,Data!$A$1)</f>
        <v>0</v>
      </c>
      <c r="M1819" s="172">
        <f>COUNTIF(M1818,Data!$A$1)</f>
        <v>0</v>
      </c>
      <c r="N1819" s="203">
        <f>COUNTIF(N1818,Data!$A$1)</f>
        <v>0</v>
      </c>
      <c r="O1819" s="172">
        <f>COUNTIF(O1818,Data!$A$1)</f>
        <v>0</v>
      </c>
      <c r="P1819" s="107">
        <f>SUM(I1819:K1819,M1819:N1819)</f>
        <v>0</v>
      </c>
    </row>
    <row r="1820" spans="2:16" s="453" customFormat="1" ht="14" x14ac:dyDescent="0.2">
      <c r="B1820" s="295" t="s">
        <v>333</v>
      </c>
      <c r="C1820" s="365" t="s">
        <v>789</v>
      </c>
      <c r="D1820" s="365"/>
      <c r="E1820" s="365"/>
      <c r="F1820" s="365"/>
      <c r="G1820" s="365"/>
      <c r="H1820" s="294"/>
      <c r="I1820" s="172">
        <f>SUM(I1819*15)</f>
        <v>0</v>
      </c>
      <c r="J1820" s="208"/>
      <c r="K1820" s="172">
        <f>SUM(K1819*10)</f>
        <v>0</v>
      </c>
      <c r="L1820" s="208"/>
      <c r="M1820" s="172">
        <f>SUM(M1819*15)</f>
        <v>0</v>
      </c>
      <c r="N1820" s="209">
        <f>SUM(N1819*15)</f>
        <v>0</v>
      </c>
      <c r="O1820" s="172">
        <f>SUM(I1820:N1820)</f>
        <v>0</v>
      </c>
      <c r="P1820" s="107">
        <f>SUM(P1819*15)</f>
        <v>0</v>
      </c>
    </row>
    <row r="1821" spans="2:16" s="453" customFormat="1" ht="14" x14ac:dyDescent="0.2">
      <c r="B1821" s="295" t="s">
        <v>333</v>
      </c>
      <c r="C1821" s="597" t="s">
        <v>903</v>
      </c>
      <c r="D1821" s="597"/>
      <c r="E1821" s="597"/>
      <c r="F1821" s="597"/>
      <c r="G1821" s="597"/>
      <c r="H1821" s="294"/>
      <c r="I1821" s="169"/>
      <c r="J1821" s="173"/>
      <c r="K1821" s="169"/>
      <c r="L1821" s="173"/>
      <c r="M1821" s="169"/>
      <c r="N1821" s="208"/>
      <c r="O1821" s="169"/>
    </row>
    <row r="1822" spans="2:16" s="453" customFormat="1" ht="14" x14ac:dyDescent="0.2">
      <c r="B1822" s="295"/>
      <c r="C1822" s="597"/>
      <c r="D1822" s="597"/>
      <c r="E1822" s="597"/>
      <c r="F1822" s="597"/>
      <c r="G1822" s="597"/>
      <c r="H1822" s="294"/>
      <c r="I1822" s="169"/>
      <c r="J1822" s="173"/>
      <c r="K1822" s="169"/>
      <c r="L1822" s="173"/>
      <c r="M1822" s="169"/>
      <c r="N1822" s="173"/>
      <c r="O1822" s="169"/>
    </row>
    <row r="1823" spans="2:16" s="453" customFormat="1" ht="14" x14ac:dyDescent="0.2">
      <c r="B1823" s="295"/>
      <c r="C1823" s="597"/>
      <c r="D1823" s="597"/>
      <c r="E1823" s="597"/>
      <c r="F1823" s="597"/>
      <c r="G1823" s="597"/>
      <c r="H1823" s="294"/>
      <c r="I1823" s="169"/>
      <c r="J1823" s="167"/>
      <c r="K1823" s="169"/>
      <c r="L1823" s="167"/>
      <c r="M1823" s="169"/>
      <c r="N1823" s="167"/>
      <c r="O1823" s="169"/>
    </row>
    <row r="1824" spans="2:16" s="453" customFormat="1" ht="14" x14ac:dyDescent="0.2">
      <c r="B1824" s="302"/>
      <c r="C1824" s="303"/>
      <c r="D1824" s="303"/>
      <c r="E1824" s="303"/>
      <c r="F1824" s="580" t="s">
        <v>791</v>
      </c>
      <c r="G1824" s="580"/>
      <c r="H1824" s="585"/>
      <c r="I1824" s="169"/>
      <c r="J1824" s="167"/>
      <c r="K1824" s="169"/>
      <c r="L1824" s="167"/>
      <c r="M1824" s="169"/>
      <c r="N1824" s="167"/>
      <c r="O1824" s="169"/>
    </row>
    <row r="1825" spans="2:15" s="453" customFormat="1" ht="14" x14ac:dyDescent="0.2">
      <c r="B1825" s="291">
        <v>16</v>
      </c>
      <c r="C1825" s="142"/>
      <c r="D1825" s="142"/>
      <c r="E1825" s="142"/>
      <c r="F1825" s="780" t="s">
        <v>792</v>
      </c>
      <c r="G1825" s="780"/>
      <c r="H1825" s="781"/>
      <c r="I1825" s="169"/>
      <c r="J1825" s="167"/>
      <c r="K1825" s="169"/>
      <c r="L1825" s="167"/>
      <c r="M1825" s="169"/>
      <c r="N1825" s="167"/>
      <c r="O1825" s="169"/>
    </row>
    <row r="1826" spans="2:15" s="453" customFormat="1" ht="14" x14ac:dyDescent="0.2">
      <c r="B1826" s="293"/>
      <c r="C1826" s="595" t="s">
        <v>793</v>
      </c>
      <c r="D1826" s="595"/>
      <c r="E1826" s="595"/>
      <c r="F1826" s="595"/>
      <c r="G1826" s="595"/>
      <c r="H1826" s="296"/>
      <c r="I1826" s="168" t="s">
        <v>211</v>
      </c>
      <c r="J1826" s="166" t="s">
        <v>211</v>
      </c>
      <c r="K1826" s="168" t="s">
        <v>211</v>
      </c>
      <c r="L1826" s="166" t="s">
        <v>211</v>
      </c>
      <c r="M1826" s="168" t="s">
        <v>211</v>
      </c>
      <c r="N1826" s="166" t="s">
        <v>211</v>
      </c>
      <c r="O1826" s="168" t="s">
        <v>211</v>
      </c>
    </row>
    <row r="1827" spans="2:15" s="453" customFormat="1" ht="14" x14ac:dyDescent="0.2">
      <c r="B1827" s="293"/>
      <c r="C1827" s="595"/>
      <c r="D1827" s="595"/>
      <c r="E1827" s="595"/>
      <c r="F1827" s="595"/>
      <c r="G1827" s="595"/>
      <c r="H1827" s="294"/>
      <c r="I1827" s="169"/>
      <c r="J1827" s="167"/>
      <c r="K1827" s="169"/>
      <c r="L1827" s="167"/>
      <c r="M1827" s="169"/>
      <c r="N1827" s="167"/>
      <c r="O1827" s="169"/>
    </row>
    <row r="1828" spans="2:15" s="453" customFormat="1" ht="14" x14ac:dyDescent="0.2">
      <c r="B1828" s="293"/>
      <c r="C1828" s="595" t="s">
        <v>904</v>
      </c>
      <c r="D1828" s="595"/>
      <c r="E1828" s="595"/>
      <c r="F1828" s="595"/>
      <c r="G1828" s="595"/>
      <c r="H1828" s="296"/>
      <c r="I1828" s="168" t="s">
        <v>211</v>
      </c>
      <c r="J1828" s="166" t="s">
        <v>211</v>
      </c>
      <c r="K1828" s="168" t="s">
        <v>211</v>
      </c>
      <c r="L1828" s="166" t="s">
        <v>211</v>
      </c>
      <c r="M1828" s="168" t="s">
        <v>211</v>
      </c>
      <c r="N1828" s="166" t="s">
        <v>211</v>
      </c>
      <c r="O1828" s="168" t="s">
        <v>211</v>
      </c>
    </row>
    <row r="1829" spans="2:15" s="453" customFormat="1" ht="14" x14ac:dyDescent="0.2">
      <c r="B1829" s="293"/>
      <c r="C1829" s="595"/>
      <c r="D1829" s="595"/>
      <c r="E1829" s="595"/>
      <c r="F1829" s="595"/>
      <c r="G1829" s="595"/>
      <c r="H1829" s="294"/>
      <c r="I1829" s="169"/>
      <c r="J1829" s="167"/>
      <c r="K1829" s="169"/>
      <c r="L1829" s="167"/>
      <c r="M1829" s="169"/>
      <c r="N1829" s="167"/>
      <c r="O1829" s="169"/>
    </row>
    <row r="1830" spans="2:15" s="453" customFormat="1" ht="14" x14ac:dyDescent="0.2">
      <c r="B1830" s="293"/>
      <c r="C1830" s="595"/>
      <c r="D1830" s="595"/>
      <c r="E1830" s="595"/>
      <c r="F1830" s="595"/>
      <c r="G1830" s="595"/>
      <c r="H1830" s="294"/>
      <c r="I1830" s="169"/>
      <c r="J1830" s="167"/>
      <c r="K1830" s="169"/>
      <c r="L1830" s="167"/>
      <c r="M1830" s="169"/>
      <c r="N1830" s="167"/>
      <c r="O1830" s="169"/>
    </row>
    <row r="1831" spans="2:15" s="453" customFormat="1" ht="14" x14ac:dyDescent="0.2">
      <c r="B1831" s="302"/>
      <c r="C1831" s="303"/>
      <c r="D1831" s="303"/>
      <c r="E1831" s="303"/>
      <c r="F1831" s="580" t="s">
        <v>794</v>
      </c>
      <c r="G1831" s="580"/>
      <c r="H1831" s="585"/>
      <c r="I1831" s="169"/>
      <c r="J1831" s="167"/>
      <c r="K1831" s="169"/>
      <c r="L1831" s="167"/>
      <c r="M1831" s="169"/>
      <c r="N1831" s="167"/>
      <c r="O1831" s="169"/>
    </row>
    <row r="1832" spans="2:15" s="453" customFormat="1" ht="14" x14ac:dyDescent="0.2">
      <c r="B1832" s="291">
        <v>17</v>
      </c>
      <c r="C1832" s="598" t="s">
        <v>905</v>
      </c>
      <c r="D1832" s="598"/>
      <c r="E1832" s="598"/>
      <c r="F1832" s="598"/>
      <c r="G1832" s="598"/>
      <c r="H1832" s="292"/>
      <c r="I1832" s="168" t="s">
        <v>211</v>
      </c>
      <c r="J1832" s="166" t="s">
        <v>211</v>
      </c>
      <c r="K1832" s="168" t="s">
        <v>211</v>
      </c>
      <c r="L1832" s="166" t="s">
        <v>211</v>
      </c>
      <c r="M1832" s="168" t="s">
        <v>211</v>
      </c>
      <c r="N1832" s="166" t="s">
        <v>211</v>
      </c>
      <c r="O1832" s="168" t="s">
        <v>211</v>
      </c>
    </row>
    <row r="1833" spans="2:15" s="453" customFormat="1" ht="14" x14ac:dyDescent="0.2">
      <c r="B1833" s="293"/>
      <c r="C1833" s="573" t="s">
        <v>823</v>
      </c>
      <c r="D1833" s="573"/>
      <c r="E1833" s="573"/>
      <c r="F1833" s="573"/>
      <c r="G1833" s="573"/>
      <c r="H1833" s="296"/>
      <c r="I1833" s="168" t="s">
        <v>211</v>
      </c>
      <c r="J1833" s="166" t="s">
        <v>211</v>
      </c>
      <c r="K1833" s="168" t="s">
        <v>211</v>
      </c>
      <c r="L1833" s="166" t="s">
        <v>211</v>
      </c>
      <c r="M1833" s="168" t="s">
        <v>211</v>
      </c>
      <c r="N1833" s="166" t="s">
        <v>211</v>
      </c>
      <c r="O1833" s="168" t="s">
        <v>211</v>
      </c>
    </row>
    <row r="1834" spans="2:15" s="453" customFormat="1" ht="14" x14ac:dyDescent="0.2">
      <c r="B1834" s="293"/>
      <c r="C1834" s="573" t="s">
        <v>897</v>
      </c>
      <c r="D1834" s="573"/>
      <c r="E1834" s="573"/>
      <c r="F1834" s="573"/>
      <c r="G1834" s="573"/>
      <c r="H1834" s="296"/>
      <c r="I1834" s="168" t="s">
        <v>211</v>
      </c>
      <c r="J1834" s="166" t="s">
        <v>211</v>
      </c>
      <c r="K1834" s="168" t="s">
        <v>211</v>
      </c>
      <c r="L1834" s="166" t="s">
        <v>211</v>
      </c>
      <c r="M1834" s="168" t="s">
        <v>211</v>
      </c>
      <c r="N1834" s="166" t="s">
        <v>211</v>
      </c>
      <c r="O1834" s="168" t="s">
        <v>211</v>
      </c>
    </row>
    <row r="1835" spans="2:15" s="453" customFormat="1" ht="14" x14ac:dyDescent="0.2">
      <c r="B1835" s="293"/>
      <c r="C1835" s="572" t="s">
        <v>906</v>
      </c>
      <c r="D1835" s="572"/>
      <c r="E1835" s="572"/>
      <c r="F1835" s="572"/>
      <c r="G1835" s="572"/>
      <c r="H1835" s="296"/>
      <c r="I1835" s="168" t="s">
        <v>211</v>
      </c>
      <c r="J1835" s="166" t="s">
        <v>211</v>
      </c>
      <c r="K1835" s="168" t="s">
        <v>211</v>
      </c>
      <c r="L1835" s="166" t="s">
        <v>211</v>
      </c>
      <c r="M1835" s="168" t="s">
        <v>211</v>
      </c>
      <c r="N1835" s="166" t="s">
        <v>211</v>
      </c>
      <c r="O1835" s="168" t="s">
        <v>211</v>
      </c>
    </row>
    <row r="1836" spans="2:15" s="453" customFormat="1" ht="14" x14ac:dyDescent="0.2">
      <c r="B1836" s="293"/>
      <c r="F1836" s="593" t="s">
        <v>907</v>
      </c>
      <c r="G1836" s="593"/>
      <c r="H1836" s="768"/>
      <c r="I1836" s="169"/>
      <c r="J1836" s="167"/>
      <c r="K1836" s="169"/>
      <c r="L1836" s="167"/>
      <c r="M1836" s="169"/>
      <c r="N1836" s="167"/>
      <c r="O1836" s="169"/>
    </row>
    <row r="1837" spans="2:15" s="453" customFormat="1" ht="14" x14ac:dyDescent="0.2">
      <c r="B1837" s="293"/>
      <c r="F1837" s="604" t="s">
        <v>908</v>
      </c>
      <c r="G1837" s="604"/>
      <c r="H1837" s="767"/>
      <c r="I1837" s="169"/>
      <c r="J1837" s="167"/>
      <c r="K1837" s="169"/>
      <c r="L1837" s="167"/>
      <c r="M1837" s="169"/>
      <c r="N1837" s="167"/>
      <c r="O1837" s="169"/>
    </row>
    <row r="1838" spans="2:15" s="453" customFormat="1" ht="14" x14ac:dyDescent="0.2">
      <c r="B1838" s="302"/>
      <c r="C1838" s="303"/>
      <c r="D1838" s="303"/>
      <c r="E1838" s="303"/>
      <c r="F1838" s="613" t="s">
        <v>604</v>
      </c>
      <c r="G1838" s="613"/>
      <c r="H1838" s="775"/>
      <c r="I1838" s="169"/>
      <c r="J1838" s="167"/>
      <c r="K1838" s="169"/>
      <c r="L1838" s="167"/>
      <c r="M1838" s="169"/>
      <c r="N1838" s="167"/>
      <c r="O1838" s="169"/>
    </row>
    <row r="1839" spans="2:15" s="453" customFormat="1" ht="14" x14ac:dyDescent="0.2">
      <c r="B1839" s="291">
        <v>18</v>
      </c>
      <c r="C1839" s="142"/>
      <c r="D1839" s="142"/>
      <c r="E1839" s="142"/>
      <c r="F1839" s="612" t="s">
        <v>775</v>
      </c>
      <c r="G1839" s="612"/>
      <c r="H1839" s="782"/>
      <c r="I1839" s="169"/>
      <c r="J1839" s="167"/>
      <c r="K1839" s="169"/>
      <c r="L1839" s="167"/>
      <c r="M1839" s="169"/>
      <c r="N1839" s="167"/>
      <c r="O1839" s="169"/>
    </row>
    <row r="1840" spans="2:15" s="453" customFormat="1" ht="14" x14ac:dyDescent="0.2">
      <c r="B1840" s="293"/>
      <c r="D1840" s="604" t="s">
        <v>909</v>
      </c>
      <c r="E1840" s="604"/>
      <c r="F1840" s="604"/>
      <c r="G1840" s="604"/>
      <c r="H1840" s="767"/>
      <c r="I1840" s="169"/>
      <c r="J1840" s="167"/>
      <c r="K1840" s="169"/>
      <c r="L1840" s="167"/>
      <c r="M1840" s="169"/>
      <c r="N1840" s="167"/>
      <c r="O1840" s="169"/>
    </row>
    <row r="1841" spans="2:15" s="453" customFormat="1" ht="14" x14ac:dyDescent="0.2">
      <c r="B1841" s="293"/>
      <c r="D1841" s="604" t="s">
        <v>910</v>
      </c>
      <c r="E1841" s="604"/>
      <c r="F1841" s="604"/>
      <c r="G1841" s="604"/>
      <c r="H1841" s="767"/>
      <c r="I1841" s="169"/>
      <c r="J1841" s="167"/>
      <c r="K1841" s="169"/>
      <c r="L1841" s="167"/>
      <c r="M1841" s="169"/>
      <c r="N1841" s="167"/>
      <c r="O1841" s="169"/>
    </row>
    <row r="1842" spans="2:15" s="453" customFormat="1" ht="14" x14ac:dyDescent="0.2">
      <c r="B1842" s="302"/>
      <c r="C1842" s="303"/>
      <c r="D1842" s="603" t="s">
        <v>911</v>
      </c>
      <c r="E1842" s="603"/>
      <c r="F1842" s="603"/>
      <c r="G1842" s="603"/>
      <c r="H1842" s="769"/>
      <c r="I1842" s="169"/>
      <c r="J1842" s="167"/>
      <c r="K1842" s="169"/>
      <c r="L1842" s="167"/>
      <c r="M1842" s="169"/>
      <c r="N1842" s="167"/>
      <c r="O1842" s="169"/>
    </row>
    <row r="1843" spans="2:15" s="453" customFormat="1" ht="14" x14ac:dyDescent="0.2">
      <c r="B1843" s="291" t="s">
        <v>804</v>
      </c>
      <c r="C1843" s="598" t="s">
        <v>912</v>
      </c>
      <c r="D1843" s="598"/>
      <c r="E1843" s="598"/>
      <c r="F1843" s="598"/>
      <c r="G1843" s="598"/>
      <c r="H1843" s="292"/>
      <c r="I1843" s="168" t="s">
        <v>211</v>
      </c>
      <c r="J1843" s="166" t="s">
        <v>211</v>
      </c>
      <c r="K1843" s="168" t="s">
        <v>211</v>
      </c>
      <c r="L1843" s="166" t="s">
        <v>211</v>
      </c>
      <c r="M1843" s="168" t="s">
        <v>211</v>
      </c>
      <c r="N1843" s="166" t="s">
        <v>211</v>
      </c>
      <c r="O1843" s="168" t="s">
        <v>211</v>
      </c>
    </row>
    <row r="1844" spans="2:15" s="453" customFormat="1" ht="14" x14ac:dyDescent="0.2">
      <c r="B1844" s="293"/>
      <c r="C1844" s="573" t="s">
        <v>913</v>
      </c>
      <c r="D1844" s="573"/>
      <c r="E1844" s="573"/>
      <c r="F1844" s="573"/>
      <c r="G1844" s="573"/>
      <c r="H1844" s="296"/>
      <c r="I1844" s="168" t="s">
        <v>211</v>
      </c>
      <c r="J1844" s="166" t="s">
        <v>211</v>
      </c>
      <c r="K1844" s="168" t="s">
        <v>211</v>
      </c>
      <c r="L1844" s="166" t="s">
        <v>211</v>
      </c>
      <c r="M1844" s="168" t="s">
        <v>211</v>
      </c>
      <c r="N1844" s="166" t="s">
        <v>211</v>
      </c>
      <c r="O1844" s="168" t="s">
        <v>211</v>
      </c>
    </row>
    <row r="1845" spans="2:15" s="453" customFormat="1" ht="14" x14ac:dyDescent="0.2">
      <c r="B1845" s="293"/>
      <c r="C1845" s="573" t="s">
        <v>914</v>
      </c>
      <c r="D1845" s="573"/>
      <c r="E1845" s="573"/>
      <c r="F1845" s="573"/>
      <c r="G1845" s="573"/>
      <c r="H1845" s="296"/>
      <c r="I1845" s="168" t="s">
        <v>211</v>
      </c>
      <c r="J1845" s="166" t="s">
        <v>211</v>
      </c>
      <c r="K1845" s="168" t="s">
        <v>211</v>
      </c>
      <c r="L1845" s="166" t="s">
        <v>211</v>
      </c>
      <c r="M1845" s="168" t="s">
        <v>211</v>
      </c>
      <c r="N1845" s="166" t="s">
        <v>211</v>
      </c>
      <c r="O1845" s="168" t="s">
        <v>211</v>
      </c>
    </row>
    <row r="1846" spans="2:15" s="453" customFormat="1" ht="14" x14ac:dyDescent="0.2">
      <c r="B1846" s="302"/>
      <c r="C1846" s="627" t="s">
        <v>915</v>
      </c>
      <c r="D1846" s="627"/>
      <c r="E1846" s="627"/>
      <c r="F1846" s="627"/>
      <c r="G1846" s="627"/>
      <c r="H1846" s="341"/>
      <c r="I1846" s="168" t="s">
        <v>211</v>
      </c>
      <c r="J1846" s="166" t="s">
        <v>211</v>
      </c>
      <c r="K1846" s="168" t="s">
        <v>211</v>
      </c>
      <c r="L1846" s="166" t="s">
        <v>211</v>
      </c>
      <c r="M1846" s="168" t="s">
        <v>211</v>
      </c>
      <c r="N1846" s="166" t="s">
        <v>211</v>
      </c>
      <c r="O1846" s="168" t="s">
        <v>211</v>
      </c>
    </row>
    <row r="1847" spans="2:15" s="453" customFormat="1" ht="14" x14ac:dyDescent="0.2">
      <c r="B1847" s="112"/>
      <c r="I1847" s="135"/>
      <c r="J1847" s="105"/>
      <c r="K1847" s="135"/>
      <c r="L1847" s="105"/>
      <c r="M1847" s="135"/>
      <c r="N1847" s="105"/>
      <c r="O1847" s="135"/>
    </row>
    <row r="1848" spans="2:15" s="453" customFormat="1" ht="14" x14ac:dyDescent="0.2">
      <c r="B1848" s="366" t="s">
        <v>916</v>
      </c>
      <c r="C1848" s="367"/>
      <c r="D1848" s="367"/>
      <c r="E1848" s="367"/>
      <c r="F1848" s="367"/>
      <c r="G1848" s="367"/>
      <c r="H1848" s="368"/>
      <c r="I1848" s="135"/>
      <c r="J1848" s="105"/>
      <c r="K1848" s="135"/>
      <c r="L1848" s="105"/>
      <c r="M1848" s="135"/>
      <c r="N1848" s="105"/>
      <c r="O1848" s="135"/>
    </row>
    <row r="1849" spans="2:15" s="453" customFormat="1" ht="14" x14ac:dyDescent="0.2">
      <c r="B1849" s="291">
        <v>1</v>
      </c>
      <c r="C1849" s="602" t="s">
        <v>917</v>
      </c>
      <c r="D1849" s="602"/>
      <c r="E1849" s="602"/>
      <c r="F1849" s="602"/>
      <c r="G1849" s="602"/>
      <c r="H1849" s="292"/>
      <c r="I1849" s="168" t="s">
        <v>211</v>
      </c>
      <c r="J1849" s="166" t="s">
        <v>211</v>
      </c>
      <c r="K1849" s="168" t="s">
        <v>211</v>
      </c>
      <c r="L1849" s="166" t="s">
        <v>211</v>
      </c>
      <c r="M1849" s="168" t="s">
        <v>211</v>
      </c>
      <c r="N1849" s="166" t="s">
        <v>211</v>
      </c>
      <c r="O1849" s="168" t="s">
        <v>211</v>
      </c>
    </row>
    <row r="1850" spans="2:15" s="453" customFormat="1" ht="14" x14ac:dyDescent="0.2">
      <c r="B1850" s="293"/>
      <c r="C1850" s="572"/>
      <c r="D1850" s="572"/>
      <c r="E1850" s="572"/>
      <c r="F1850" s="572"/>
      <c r="G1850" s="572"/>
      <c r="H1850" s="294"/>
      <c r="I1850" s="169"/>
      <c r="J1850" s="167"/>
      <c r="K1850" s="169"/>
      <c r="L1850" s="167"/>
      <c r="M1850" s="169"/>
      <c r="N1850" s="167"/>
      <c r="O1850" s="169"/>
    </row>
    <row r="1851" spans="2:15" s="453" customFormat="1" ht="14" x14ac:dyDescent="0.2">
      <c r="B1851" s="293"/>
      <c r="C1851" s="573" t="s">
        <v>918</v>
      </c>
      <c r="D1851" s="573"/>
      <c r="E1851" s="573"/>
      <c r="F1851" s="573"/>
      <c r="G1851" s="573"/>
      <c r="H1851" s="296"/>
      <c r="I1851" s="168" t="s">
        <v>211</v>
      </c>
      <c r="J1851" s="166" t="s">
        <v>211</v>
      </c>
      <c r="K1851" s="168" t="s">
        <v>211</v>
      </c>
      <c r="L1851" s="166" t="s">
        <v>211</v>
      </c>
      <c r="M1851" s="168" t="s">
        <v>211</v>
      </c>
      <c r="N1851" s="166" t="s">
        <v>211</v>
      </c>
      <c r="O1851" s="168" t="s">
        <v>211</v>
      </c>
    </row>
    <row r="1852" spans="2:15" s="453" customFormat="1" ht="14" x14ac:dyDescent="0.2">
      <c r="B1852" s="293"/>
      <c r="F1852" s="586" t="s">
        <v>727</v>
      </c>
      <c r="G1852" s="586"/>
      <c r="H1852" s="587"/>
      <c r="I1852" s="169"/>
      <c r="J1852" s="167"/>
      <c r="K1852" s="169"/>
      <c r="L1852" s="167"/>
      <c r="M1852" s="169"/>
      <c r="N1852" s="167"/>
      <c r="O1852" s="169"/>
    </row>
    <row r="1853" spans="2:15" s="453" customFormat="1" ht="14" x14ac:dyDescent="0.2">
      <c r="B1853" s="293"/>
      <c r="C1853" s="573" t="s">
        <v>919</v>
      </c>
      <c r="D1853" s="573"/>
      <c r="E1853" s="573"/>
      <c r="F1853" s="573"/>
      <c r="G1853" s="573"/>
      <c r="H1853" s="296"/>
      <c r="I1853" s="168" t="s">
        <v>211</v>
      </c>
      <c r="J1853" s="166" t="s">
        <v>211</v>
      </c>
      <c r="K1853" s="168" t="s">
        <v>211</v>
      </c>
      <c r="L1853" s="166" t="s">
        <v>211</v>
      </c>
      <c r="M1853" s="168" t="s">
        <v>211</v>
      </c>
      <c r="N1853" s="166" t="s">
        <v>211</v>
      </c>
      <c r="O1853" s="168" t="s">
        <v>211</v>
      </c>
    </row>
    <row r="1854" spans="2:15" s="453" customFormat="1" ht="14" x14ac:dyDescent="0.2">
      <c r="B1854" s="293"/>
      <c r="C1854" s="573" t="s">
        <v>728</v>
      </c>
      <c r="D1854" s="573"/>
      <c r="E1854" s="573"/>
      <c r="F1854" s="573"/>
      <c r="G1854" s="573"/>
      <c r="H1854" s="296"/>
      <c r="I1854" s="168" t="s">
        <v>211</v>
      </c>
      <c r="J1854" s="166" t="s">
        <v>211</v>
      </c>
      <c r="K1854" s="168" t="s">
        <v>211</v>
      </c>
      <c r="L1854" s="166" t="s">
        <v>211</v>
      </c>
      <c r="M1854" s="168" t="s">
        <v>211</v>
      </c>
      <c r="N1854" s="166" t="s">
        <v>211</v>
      </c>
      <c r="O1854" s="168" t="s">
        <v>211</v>
      </c>
    </row>
    <row r="1855" spans="2:15" s="453" customFormat="1" ht="14" x14ac:dyDescent="0.2">
      <c r="B1855" s="293"/>
      <c r="C1855" s="573" t="s">
        <v>729</v>
      </c>
      <c r="D1855" s="573"/>
      <c r="E1855" s="573"/>
      <c r="F1855" s="573"/>
      <c r="G1855" s="573"/>
      <c r="H1855" s="296"/>
      <c r="I1855" s="168" t="s">
        <v>211</v>
      </c>
      <c r="J1855" s="166" t="s">
        <v>211</v>
      </c>
      <c r="K1855" s="168" t="s">
        <v>211</v>
      </c>
      <c r="L1855" s="166" t="s">
        <v>211</v>
      </c>
      <c r="M1855" s="168" t="s">
        <v>211</v>
      </c>
      <c r="N1855" s="166" t="s">
        <v>211</v>
      </c>
      <c r="O1855" s="168" t="s">
        <v>211</v>
      </c>
    </row>
    <row r="1856" spans="2:15" s="453" customFormat="1" ht="14" x14ac:dyDescent="0.2">
      <c r="B1856" s="302"/>
      <c r="C1856" s="303"/>
      <c r="D1856" s="303"/>
      <c r="E1856" s="303"/>
      <c r="F1856" s="580" t="s">
        <v>920</v>
      </c>
      <c r="G1856" s="580"/>
      <c r="H1856" s="585"/>
      <c r="I1856" s="169"/>
      <c r="J1856" s="167"/>
      <c r="K1856" s="169"/>
      <c r="L1856" s="167"/>
      <c r="M1856" s="169"/>
      <c r="N1856" s="167"/>
      <c r="O1856" s="169"/>
    </row>
    <row r="1857" spans="2:15" s="453" customFormat="1" ht="14" x14ac:dyDescent="0.2">
      <c r="B1857" s="291">
        <v>2</v>
      </c>
      <c r="C1857" s="598" t="s">
        <v>730</v>
      </c>
      <c r="D1857" s="598"/>
      <c r="E1857" s="598"/>
      <c r="F1857" s="598"/>
      <c r="G1857" s="598"/>
      <c r="H1857" s="292"/>
      <c r="I1857" s="168" t="s">
        <v>211</v>
      </c>
      <c r="J1857" s="166" t="s">
        <v>211</v>
      </c>
      <c r="K1857" s="168" t="s">
        <v>211</v>
      </c>
      <c r="L1857" s="166" t="s">
        <v>211</v>
      </c>
      <c r="M1857" s="168" t="s">
        <v>211</v>
      </c>
      <c r="N1857" s="166" t="s">
        <v>211</v>
      </c>
      <c r="O1857" s="168" t="s">
        <v>211</v>
      </c>
    </row>
    <row r="1858" spans="2:15" s="453" customFormat="1" ht="14" x14ac:dyDescent="0.2">
      <c r="B1858" s="293"/>
      <c r="C1858" s="572" t="s">
        <v>921</v>
      </c>
      <c r="D1858" s="572"/>
      <c r="E1858" s="572"/>
      <c r="F1858" s="572"/>
      <c r="G1858" s="572"/>
      <c r="H1858" s="296"/>
      <c r="I1858" s="168" t="s">
        <v>211</v>
      </c>
      <c r="J1858" s="166" t="s">
        <v>211</v>
      </c>
      <c r="K1858" s="168" t="s">
        <v>211</v>
      </c>
      <c r="L1858" s="166" t="s">
        <v>211</v>
      </c>
      <c r="M1858" s="168" t="s">
        <v>211</v>
      </c>
      <c r="N1858" s="166" t="s">
        <v>211</v>
      </c>
      <c r="O1858" s="168" t="s">
        <v>211</v>
      </c>
    </row>
    <row r="1859" spans="2:15" s="453" customFormat="1" ht="14" x14ac:dyDescent="0.2">
      <c r="B1859" s="293"/>
      <c r="C1859" s="572"/>
      <c r="D1859" s="572"/>
      <c r="E1859" s="572"/>
      <c r="F1859" s="572"/>
      <c r="G1859" s="572"/>
      <c r="H1859" s="294"/>
      <c r="I1859" s="169"/>
      <c r="J1859" s="167"/>
      <c r="K1859" s="169"/>
      <c r="L1859" s="167"/>
      <c r="M1859" s="169"/>
      <c r="N1859" s="167"/>
      <c r="O1859" s="169"/>
    </row>
    <row r="1860" spans="2:15" s="453" customFormat="1" ht="14" x14ac:dyDescent="0.2">
      <c r="B1860" s="293"/>
      <c r="C1860" s="595" t="s">
        <v>922</v>
      </c>
      <c r="D1860" s="595"/>
      <c r="E1860" s="595"/>
      <c r="F1860" s="595"/>
      <c r="G1860" s="595"/>
      <c r="H1860" s="296"/>
      <c r="I1860" s="168" t="s">
        <v>211</v>
      </c>
      <c r="J1860" s="166" t="s">
        <v>211</v>
      </c>
      <c r="K1860" s="168" t="s">
        <v>211</v>
      </c>
      <c r="L1860" s="166" t="s">
        <v>211</v>
      </c>
      <c r="M1860" s="168" t="s">
        <v>211</v>
      </c>
      <c r="N1860" s="166" t="s">
        <v>211</v>
      </c>
      <c r="O1860" s="168" t="s">
        <v>211</v>
      </c>
    </row>
    <row r="1861" spans="2:15" s="453" customFormat="1" ht="14" x14ac:dyDescent="0.2">
      <c r="B1861" s="293"/>
      <c r="C1861" s="573" t="s">
        <v>844</v>
      </c>
      <c r="D1861" s="573"/>
      <c r="E1861" s="573"/>
      <c r="F1861" s="573"/>
      <c r="G1861" s="573"/>
      <c r="H1861" s="296"/>
      <c r="I1861" s="168" t="s">
        <v>211</v>
      </c>
      <c r="J1861" s="166" t="s">
        <v>211</v>
      </c>
      <c r="K1861" s="168" t="s">
        <v>211</v>
      </c>
      <c r="L1861" s="166" t="s">
        <v>211</v>
      </c>
      <c r="M1861" s="168" t="s">
        <v>211</v>
      </c>
      <c r="N1861" s="166" t="s">
        <v>211</v>
      </c>
      <c r="O1861" s="168" t="s">
        <v>211</v>
      </c>
    </row>
    <row r="1862" spans="2:15" s="453" customFormat="1" ht="14" x14ac:dyDescent="0.2">
      <c r="B1862" s="293"/>
      <c r="F1862" s="586" t="s">
        <v>733</v>
      </c>
      <c r="G1862" s="586"/>
      <c r="H1862" s="587"/>
      <c r="I1862" s="169"/>
      <c r="J1862" s="167"/>
      <c r="K1862" s="169"/>
      <c r="L1862" s="167"/>
      <c r="M1862" s="169"/>
      <c r="N1862" s="167"/>
      <c r="O1862" s="169"/>
    </row>
    <row r="1863" spans="2:15" s="453" customFormat="1" ht="14" x14ac:dyDescent="0.2">
      <c r="B1863" s="293"/>
      <c r="F1863" s="770" t="s">
        <v>858</v>
      </c>
      <c r="G1863" s="770"/>
      <c r="H1863" s="771"/>
      <c r="I1863" s="169"/>
      <c r="J1863" s="167"/>
      <c r="K1863" s="169"/>
      <c r="L1863" s="167"/>
      <c r="M1863" s="169"/>
      <c r="N1863" s="167"/>
      <c r="O1863" s="169"/>
    </row>
    <row r="1864" spans="2:15" s="453" customFormat="1" ht="14" x14ac:dyDescent="0.2">
      <c r="B1864" s="302"/>
      <c r="C1864" s="303"/>
      <c r="D1864" s="303"/>
      <c r="E1864" s="603" t="s">
        <v>923</v>
      </c>
      <c r="F1864" s="603"/>
      <c r="G1864" s="603"/>
      <c r="H1864" s="769"/>
      <c r="I1864" s="169"/>
      <c r="J1864" s="167"/>
      <c r="K1864" s="169"/>
      <c r="L1864" s="167"/>
      <c r="M1864" s="169"/>
      <c r="N1864" s="167"/>
      <c r="O1864" s="169"/>
    </row>
    <row r="1865" spans="2:15" s="453" customFormat="1" ht="14" x14ac:dyDescent="0.2">
      <c r="B1865" s="291">
        <v>3</v>
      </c>
      <c r="C1865" s="142"/>
      <c r="D1865" s="142"/>
      <c r="E1865" s="142"/>
      <c r="F1865" s="783" t="s">
        <v>736</v>
      </c>
      <c r="G1865" s="783"/>
      <c r="H1865" s="784"/>
      <c r="I1865" s="169"/>
      <c r="J1865" s="167"/>
      <c r="K1865" s="169"/>
      <c r="L1865" s="167"/>
      <c r="M1865" s="169"/>
      <c r="N1865" s="167"/>
      <c r="O1865" s="169"/>
    </row>
    <row r="1866" spans="2:15" s="453" customFormat="1" ht="14" x14ac:dyDescent="0.2">
      <c r="B1866" s="293"/>
      <c r="E1866" s="604" t="s">
        <v>859</v>
      </c>
      <c r="F1866" s="604"/>
      <c r="G1866" s="604"/>
      <c r="H1866" s="767"/>
      <c r="I1866" s="169"/>
      <c r="J1866" s="167"/>
      <c r="K1866" s="169"/>
      <c r="L1866" s="167"/>
      <c r="M1866" s="169"/>
      <c r="N1866" s="167"/>
      <c r="O1866" s="169"/>
    </row>
    <row r="1867" spans="2:15" s="453" customFormat="1" ht="14" x14ac:dyDescent="0.2">
      <c r="B1867" s="293"/>
      <c r="C1867" s="572" t="s">
        <v>924</v>
      </c>
      <c r="D1867" s="572"/>
      <c r="E1867" s="572"/>
      <c r="F1867" s="572"/>
      <c r="G1867" s="572"/>
      <c r="H1867" s="296"/>
      <c r="I1867" s="168" t="s">
        <v>211</v>
      </c>
      <c r="J1867" s="166" t="s">
        <v>211</v>
      </c>
      <c r="K1867" s="168" t="s">
        <v>211</v>
      </c>
      <c r="L1867" s="166" t="s">
        <v>211</v>
      </c>
      <c r="M1867" s="168" t="s">
        <v>211</v>
      </c>
      <c r="N1867" s="166" t="s">
        <v>211</v>
      </c>
      <c r="O1867" s="168" t="s">
        <v>211</v>
      </c>
    </row>
    <row r="1868" spans="2:15" s="453" customFormat="1" ht="14" x14ac:dyDescent="0.2">
      <c r="B1868" s="293"/>
      <c r="C1868" s="572"/>
      <c r="D1868" s="572"/>
      <c r="E1868" s="572"/>
      <c r="F1868" s="572"/>
      <c r="G1868" s="572"/>
      <c r="H1868" s="294"/>
      <c r="I1868" s="169"/>
      <c r="J1868" s="167"/>
      <c r="K1868" s="169"/>
      <c r="L1868" s="167"/>
      <c r="M1868" s="169"/>
      <c r="N1868" s="167"/>
      <c r="O1868" s="169"/>
    </row>
    <row r="1869" spans="2:15" s="453" customFormat="1" ht="14" x14ac:dyDescent="0.2">
      <c r="B1869" s="293"/>
      <c r="C1869" s="573" t="s">
        <v>860</v>
      </c>
      <c r="D1869" s="573"/>
      <c r="E1869" s="573"/>
      <c r="F1869" s="573"/>
      <c r="G1869" s="573"/>
      <c r="H1869" s="296"/>
      <c r="I1869" s="168" t="s">
        <v>211</v>
      </c>
      <c r="J1869" s="166" t="s">
        <v>211</v>
      </c>
      <c r="K1869" s="168" t="s">
        <v>211</v>
      </c>
      <c r="L1869" s="166" t="s">
        <v>211</v>
      </c>
      <c r="M1869" s="168" t="s">
        <v>211</v>
      </c>
      <c r="N1869" s="166" t="s">
        <v>211</v>
      </c>
      <c r="O1869" s="168" t="s">
        <v>211</v>
      </c>
    </row>
    <row r="1870" spans="2:15" s="453" customFormat="1" ht="14" x14ac:dyDescent="0.2">
      <c r="B1870" s="293"/>
      <c r="C1870" s="573" t="s">
        <v>739</v>
      </c>
      <c r="D1870" s="573"/>
      <c r="E1870" s="573"/>
      <c r="F1870" s="573"/>
      <c r="G1870" s="573"/>
      <c r="H1870" s="296"/>
      <c r="I1870" s="168" t="s">
        <v>211</v>
      </c>
      <c r="J1870" s="166" t="s">
        <v>211</v>
      </c>
      <c r="K1870" s="168" t="s">
        <v>211</v>
      </c>
      <c r="L1870" s="166" t="s">
        <v>211</v>
      </c>
      <c r="M1870" s="168" t="s">
        <v>211</v>
      </c>
      <c r="N1870" s="166" t="s">
        <v>211</v>
      </c>
      <c r="O1870" s="168" t="s">
        <v>211</v>
      </c>
    </row>
    <row r="1871" spans="2:15" s="453" customFormat="1" ht="14" x14ac:dyDescent="0.2">
      <c r="B1871" s="293"/>
      <c r="F1871" s="770" t="s">
        <v>861</v>
      </c>
      <c r="G1871" s="770"/>
      <c r="H1871" s="771"/>
      <c r="I1871" s="169"/>
      <c r="J1871" s="167"/>
      <c r="K1871" s="169"/>
      <c r="L1871" s="167"/>
      <c r="M1871" s="169"/>
      <c r="N1871" s="167"/>
      <c r="O1871" s="169"/>
    </row>
    <row r="1872" spans="2:15" s="453" customFormat="1" ht="14" x14ac:dyDescent="0.2">
      <c r="B1872" s="293"/>
      <c r="F1872" s="770" t="s">
        <v>862</v>
      </c>
      <c r="G1872" s="770"/>
      <c r="H1872" s="771"/>
      <c r="I1872" s="169"/>
      <c r="J1872" s="167"/>
      <c r="K1872" s="169"/>
      <c r="L1872" s="167"/>
      <c r="M1872" s="169"/>
      <c r="N1872" s="167"/>
      <c r="O1872" s="169"/>
    </row>
    <row r="1873" spans="2:15" s="453" customFormat="1" ht="14" x14ac:dyDescent="0.2">
      <c r="B1873" s="302"/>
      <c r="C1873" s="303"/>
      <c r="D1873" s="303"/>
      <c r="E1873" s="303"/>
      <c r="F1873" s="613" t="s">
        <v>863</v>
      </c>
      <c r="G1873" s="613"/>
      <c r="H1873" s="775"/>
      <c r="I1873" s="169"/>
      <c r="J1873" s="167"/>
      <c r="K1873" s="169"/>
      <c r="L1873" s="167"/>
      <c r="M1873" s="169"/>
      <c r="N1873" s="167"/>
      <c r="O1873" s="169"/>
    </row>
    <row r="1874" spans="2:15" s="453" customFormat="1" ht="14" x14ac:dyDescent="0.2">
      <c r="B1874" s="291">
        <v>4</v>
      </c>
      <c r="C1874" s="598" t="s">
        <v>925</v>
      </c>
      <c r="D1874" s="598"/>
      <c r="E1874" s="598"/>
      <c r="F1874" s="598"/>
      <c r="G1874" s="598"/>
      <c r="H1874" s="292"/>
      <c r="I1874" s="168" t="s">
        <v>211</v>
      </c>
      <c r="J1874" s="166" t="s">
        <v>211</v>
      </c>
      <c r="K1874" s="168" t="s">
        <v>211</v>
      </c>
      <c r="L1874" s="166" t="s">
        <v>211</v>
      </c>
      <c r="M1874" s="168" t="s">
        <v>211</v>
      </c>
      <c r="N1874" s="166" t="s">
        <v>211</v>
      </c>
      <c r="O1874" s="168" t="s">
        <v>211</v>
      </c>
    </row>
    <row r="1875" spans="2:15" s="453" customFormat="1" ht="14" x14ac:dyDescent="0.2">
      <c r="B1875" s="293"/>
      <c r="C1875" s="604" t="s">
        <v>926</v>
      </c>
      <c r="D1875" s="604"/>
      <c r="E1875" s="604"/>
      <c r="F1875" s="604"/>
      <c r="G1875" s="604"/>
      <c r="H1875" s="294"/>
      <c r="I1875" s="169"/>
      <c r="J1875" s="167"/>
      <c r="K1875" s="169"/>
      <c r="L1875" s="167"/>
      <c r="M1875" s="169"/>
      <c r="N1875" s="167"/>
      <c r="O1875" s="169"/>
    </row>
    <row r="1876" spans="2:15" s="453" customFormat="1" ht="14" x14ac:dyDescent="0.2">
      <c r="B1876" s="293"/>
      <c r="C1876" s="572" t="s">
        <v>927</v>
      </c>
      <c r="D1876" s="572"/>
      <c r="E1876" s="572"/>
      <c r="F1876" s="572"/>
      <c r="G1876" s="572"/>
      <c r="H1876" s="296"/>
      <c r="I1876" s="168" t="s">
        <v>211</v>
      </c>
      <c r="J1876" s="166" t="s">
        <v>211</v>
      </c>
      <c r="K1876" s="168" t="s">
        <v>211</v>
      </c>
      <c r="L1876" s="166" t="s">
        <v>211</v>
      </c>
      <c r="M1876" s="168" t="s">
        <v>211</v>
      </c>
      <c r="N1876" s="166" t="s">
        <v>211</v>
      </c>
      <c r="O1876" s="168" t="s">
        <v>211</v>
      </c>
    </row>
    <row r="1877" spans="2:15" s="453" customFormat="1" ht="14" x14ac:dyDescent="0.2">
      <c r="B1877" s="293"/>
      <c r="C1877" s="572"/>
      <c r="D1877" s="572"/>
      <c r="E1877" s="572"/>
      <c r="F1877" s="572"/>
      <c r="G1877" s="572"/>
      <c r="H1877" s="294"/>
      <c r="I1877" s="169"/>
      <c r="J1877" s="167"/>
      <c r="K1877" s="169"/>
      <c r="L1877" s="167"/>
      <c r="M1877" s="169"/>
      <c r="N1877" s="167"/>
      <c r="O1877" s="169"/>
    </row>
    <row r="1878" spans="2:15" s="453" customFormat="1" ht="14" x14ac:dyDescent="0.2">
      <c r="B1878" s="293"/>
      <c r="C1878" s="572" t="s">
        <v>928</v>
      </c>
      <c r="D1878" s="572"/>
      <c r="E1878" s="572"/>
      <c r="F1878" s="572"/>
      <c r="G1878" s="572"/>
      <c r="H1878" s="296"/>
      <c r="I1878" s="168" t="s">
        <v>211</v>
      </c>
      <c r="J1878" s="166" t="s">
        <v>211</v>
      </c>
      <c r="K1878" s="168" t="s">
        <v>211</v>
      </c>
      <c r="L1878" s="166" t="s">
        <v>211</v>
      </c>
      <c r="M1878" s="168" t="s">
        <v>211</v>
      </c>
      <c r="N1878" s="166" t="s">
        <v>211</v>
      </c>
      <c r="O1878" s="168" t="s">
        <v>211</v>
      </c>
    </row>
    <row r="1879" spans="2:15" s="453" customFormat="1" ht="14" x14ac:dyDescent="0.2">
      <c r="B1879" s="293"/>
      <c r="C1879" s="572"/>
      <c r="D1879" s="572"/>
      <c r="E1879" s="572"/>
      <c r="F1879" s="572"/>
      <c r="G1879" s="572"/>
      <c r="H1879" s="294"/>
      <c r="I1879" s="169"/>
      <c r="J1879" s="167"/>
      <c r="K1879" s="169"/>
      <c r="L1879" s="167"/>
      <c r="M1879" s="169"/>
      <c r="N1879" s="167"/>
      <c r="O1879" s="169"/>
    </row>
    <row r="1880" spans="2:15" s="453" customFormat="1" ht="14" x14ac:dyDescent="0.2">
      <c r="B1880" s="293"/>
      <c r="C1880" s="572"/>
      <c r="D1880" s="572"/>
      <c r="E1880" s="572"/>
      <c r="F1880" s="572"/>
      <c r="G1880" s="572"/>
      <c r="H1880" s="294"/>
      <c r="I1880" s="169"/>
      <c r="J1880" s="167"/>
      <c r="K1880" s="169"/>
      <c r="L1880" s="167"/>
      <c r="M1880" s="169"/>
      <c r="N1880" s="167"/>
      <c r="O1880" s="169"/>
    </row>
    <row r="1881" spans="2:15" s="453" customFormat="1" ht="14" x14ac:dyDescent="0.2">
      <c r="B1881" s="293"/>
      <c r="C1881" s="572"/>
      <c r="D1881" s="572"/>
      <c r="E1881" s="572"/>
      <c r="F1881" s="572"/>
      <c r="G1881" s="572"/>
      <c r="H1881" s="294"/>
      <c r="I1881" s="169"/>
      <c r="J1881" s="167"/>
      <c r="K1881" s="169"/>
      <c r="L1881" s="167"/>
      <c r="M1881" s="169"/>
      <c r="N1881" s="167"/>
      <c r="O1881" s="169"/>
    </row>
    <row r="1882" spans="2:15" s="453" customFormat="1" ht="14" x14ac:dyDescent="0.2">
      <c r="B1882" s="293"/>
      <c r="C1882" s="573" t="s">
        <v>845</v>
      </c>
      <c r="D1882" s="573"/>
      <c r="E1882" s="573"/>
      <c r="F1882" s="573"/>
      <c r="G1882" s="573"/>
      <c r="H1882" s="296"/>
      <c r="I1882" s="168" t="s">
        <v>211</v>
      </c>
      <c r="J1882" s="166" t="s">
        <v>211</v>
      </c>
      <c r="K1882" s="168" t="s">
        <v>211</v>
      </c>
      <c r="L1882" s="166" t="s">
        <v>211</v>
      </c>
      <c r="M1882" s="168" t="s">
        <v>211</v>
      </c>
      <c r="N1882" s="166" t="s">
        <v>211</v>
      </c>
      <c r="O1882" s="168" t="s">
        <v>211</v>
      </c>
    </row>
    <row r="1883" spans="2:15" s="453" customFormat="1" ht="14" x14ac:dyDescent="0.2">
      <c r="B1883" s="293"/>
      <c r="F1883" s="586" t="s">
        <v>746</v>
      </c>
      <c r="G1883" s="586"/>
      <c r="H1883" s="587"/>
      <c r="I1883" s="169"/>
      <c r="J1883" s="167"/>
      <c r="K1883" s="169"/>
      <c r="L1883" s="167"/>
      <c r="M1883" s="169"/>
      <c r="N1883" s="167"/>
      <c r="O1883" s="169"/>
    </row>
    <row r="1884" spans="2:15" s="453" customFormat="1" ht="14" x14ac:dyDescent="0.2">
      <c r="B1884" s="293"/>
      <c r="F1884" s="604" t="s">
        <v>747</v>
      </c>
      <c r="G1884" s="604"/>
      <c r="H1884" s="767"/>
      <c r="I1884" s="169"/>
      <c r="J1884" s="167"/>
      <c r="K1884" s="169"/>
      <c r="L1884" s="167"/>
      <c r="M1884" s="169"/>
      <c r="N1884" s="167"/>
      <c r="O1884" s="169"/>
    </row>
    <row r="1885" spans="2:15" s="453" customFormat="1" ht="14" x14ac:dyDescent="0.2">
      <c r="B1885" s="293"/>
      <c r="F1885" s="770" t="s">
        <v>867</v>
      </c>
      <c r="G1885" s="770"/>
      <c r="H1885" s="771"/>
      <c r="I1885" s="169"/>
      <c r="J1885" s="167"/>
      <c r="K1885" s="169"/>
      <c r="L1885" s="167"/>
      <c r="M1885" s="169"/>
      <c r="N1885" s="167"/>
      <c r="O1885" s="169"/>
    </row>
    <row r="1886" spans="2:15" s="453" customFormat="1" ht="14" x14ac:dyDescent="0.2">
      <c r="B1886" s="302"/>
      <c r="C1886" s="303"/>
      <c r="D1886" s="303"/>
      <c r="E1886" s="303"/>
      <c r="F1886" s="603" t="s">
        <v>868</v>
      </c>
      <c r="G1886" s="603"/>
      <c r="H1886" s="769"/>
      <c r="I1886" s="169"/>
      <c r="J1886" s="167"/>
      <c r="K1886" s="169"/>
      <c r="L1886" s="167"/>
      <c r="M1886" s="169"/>
      <c r="N1886" s="167"/>
      <c r="O1886" s="169"/>
    </row>
    <row r="1887" spans="2:15" s="453" customFormat="1" ht="14" x14ac:dyDescent="0.2">
      <c r="B1887" s="291">
        <v>5</v>
      </c>
      <c r="C1887" s="602" t="s">
        <v>749</v>
      </c>
      <c r="D1887" s="602"/>
      <c r="E1887" s="602"/>
      <c r="F1887" s="602"/>
      <c r="G1887" s="602"/>
      <c r="H1887" s="292"/>
      <c r="I1887" s="168" t="s">
        <v>211</v>
      </c>
      <c r="J1887" s="166" t="s">
        <v>211</v>
      </c>
      <c r="K1887" s="168" t="s">
        <v>211</v>
      </c>
      <c r="L1887" s="166" t="s">
        <v>211</v>
      </c>
      <c r="M1887" s="168" t="s">
        <v>211</v>
      </c>
      <c r="N1887" s="166" t="s">
        <v>211</v>
      </c>
      <c r="O1887" s="168" t="s">
        <v>211</v>
      </c>
    </row>
    <row r="1888" spans="2:15" s="453" customFormat="1" ht="14" x14ac:dyDescent="0.2">
      <c r="B1888" s="293"/>
      <c r="C1888" s="572" t="s">
        <v>929</v>
      </c>
      <c r="D1888" s="572"/>
      <c r="E1888" s="572"/>
      <c r="F1888" s="572"/>
      <c r="G1888" s="572"/>
      <c r="H1888" s="296"/>
      <c r="I1888" s="168" t="s">
        <v>211</v>
      </c>
      <c r="J1888" s="166" t="s">
        <v>211</v>
      </c>
      <c r="K1888" s="168" t="s">
        <v>211</v>
      </c>
      <c r="L1888" s="166" t="s">
        <v>211</v>
      </c>
      <c r="M1888" s="168" t="s">
        <v>211</v>
      </c>
      <c r="N1888" s="166" t="s">
        <v>211</v>
      </c>
      <c r="O1888" s="168" t="s">
        <v>211</v>
      </c>
    </row>
    <row r="1889" spans="2:15" s="453" customFormat="1" ht="14" x14ac:dyDescent="0.2">
      <c r="B1889" s="293"/>
      <c r="C1889" s="572" t="s">
        <v>930</v>
      </c>
      <c r="D1889" s="572"/>
      <c r="E1889" s="572"/>
      <c r="F1889" s="572"/>
      <c r="G1889" s="572"/>
      <c r="H1889" s="296"/>
      <c r="I1889" s="168" t="s">
        <v>211</v>
      </c>
      <c r="J1889" s="166" t="s">
        <v>211</v>
      </c>
      <c r="K1889" s="168" t="s">
        <v>211</v>
      </c>
      <c r="L1889" s="166" t="s">
        <v>211</v>
      </c>
      <c r="M1889" s="168" t="s">
        <v>211</v>
      </c>
      <c r="N1889" s="166" t="s">
        <v>211</v>
      </c>
      <c r="O1889" s="168" t="s">
        <v>211</v>
      </c>
    </row>
    <row r="1890" spans="2:15" s="453" customFormat="1" ht="14" x14ac:dyDescent="0.2">
      <c r="B1890" s="293"/>
      <c r="C1890" s="572"/>
      <c r="D1890" s="572"/>
      <c r="E1890" s="572"/>
      <c r="F1890" s="572"/>
      <c r="G1890" s="572"/>
      <c r="H1890" s="294"/>
      <c r="I1890" s="169"/>
      <c r="J1890" s="167"/>
      <c r="K1890" s="169"/>
      <c r="L1890" s="167"/>
      <c r="M1890" s="169"/>
      <c r="N1890" s="167"/>
      <c r="O1890" s="169"/>
    </row>
    <row r="1891" spans="2:15" s="453" customFormat="1" ht="14" x14ac:dyDescent="0.2">
      <c r="B1891" s="293"/>
      <c r="F1891" s="593" t="s">
        <v>870</v>
      </c>
      <c r="G1891" s="593"/>
      <c r="H1891" s="768"/>
      <c r="I1891" s="169"/>
      <c r="J1891" s="167"/>
      <c r="K1891" s="169"/>
      <c r="L1891" s="167"/>
      <c r="M1891" s="169"/>
      <c r="N1891" s="167"/>
      <c r="O1891" s="169"/>
    </row>
    <row r="1892" spans="2:15" s="453" customFormat="1" ht="14" x14ac:dyDescent="0.2">
      <c r="B1892" s="302"/>
      <c r="C1892" s="303"/>
      <c r="D1892" s="303"/>
      <c r="E1892" s="303"/>
      <c r="F1892" s="603" t="s">
        <v>852</v>
      </c>
      <c r="G1892" s="603"/>
      <c r="H1892" s="769"/>
      <c r="I1892" s="169"/>
      <c r="J1892" s="167"/>
      <c r="K1892" s="169"/>
      <c r="L1892" s="167"/>
      <c r="M1892" s="169"/>
      <c r="N1892" s="167"/>
      <c r="O1892" s="169"/>
    </row>
    <row r="1893" spans="2:15" s="453" customFormat="1" ht="14" x14ac:dyDescent="0.2">
      <c r="B1893" s="291">
        <v>6</v>
      </c>
      <c r="C1893" s="602" t="s">
        <v>931</v>
      </c>
      <c r="D1893" s="602"/>
      <c r="E1893" s="602"/>
      <c r="F1893" s="602"/>
      <c r="G1893" s="602"/>
      <c r="H1893" s="292"/>
      <c r="I1893" s="168" t="s">
        <v>211</v>
      </c>
      <c r="J1893" s="166" t="s">
        <v>211</v>
      </c>
      <c r="K1893" s="168" t="s">
        <v>211</v>
      </c>
      <c r="L1893" s="166" t="s">
        <v>211</v>
      </c>
      <c r="M1893" s="168" t="s">
        <v>211</v>
      </c>
      <c r="N1893" s="166" t="s">
        <v>211</v>
      </c>
      <c r="O1893" s="168" t="s">
        <v>211</v>
      </c>
    </row>
    <row r="1894" spans="2:15" s="453" customFormat="1" ht="14" x14ac:dyDescent="0.2">
      <c r="B1894" s="293"/>
      <c r="C1894" s="572"/>
      <c r="D1894" s="572"/>
      <c r="E1894" s="572"/>
      <c r="F1894" s="572"/>
      <c r="G1894" s="572"/>
      <c r="H1894" s="294"/>
      <c r="I1894" s="169"/>
      <c r="J1894" s="167"/>
      <c r="K1894" s="169"/>
      <c r="L1894" s="167"/>
      <c r="M1894" s="169"/>
      <c r="N1894" s="167"/>
      <c r="O1894" s="169"/>
    </row>
    <row r="1895" spans="2:15" s="453" customFormat="1" ht="14" x14ac:dyDescent="0.2">
      <c r="B1895" s="293"/>
      <c r="C1895" s="785" t="s">
        <v>872</v>
      </c>
      <c r="D1895" s="785"/>
      <c r="E1895" s="785"/>
      <c r="F1895" s="785"/>
      <c r="G1895" s="785"/>
      <c r="H1895" s="296"/>
      <c r="I1895" s="168" t="s">
        <v>211</v>
      </c>
      <c r="J1895" s="166" t="s">
        <v>211</v>
      </c>
      <c r="K1895" s="168" t="s">
        <v>211</v>
      </c>
      <c r="L1895" s="166" t="s">
        <v>211</v>
      </c>
      <c r="M1895" s="168" t="s">
        <v>211</v>
      </c>
      <c r="N1895" s="166" t="s">
        <v>211</v>
      </c>
      <c r="O1895" s="168" t="s">
        <v>211</v>
      </c>
    </row>
    <row r="1896" spans="2:15" s="453" customFormat="1" ht="14" x14ac:dyDescent="0.2">
      <c r="B1896" s="293"/>
      <c r="C1896" s="785"/>
      <c r="D1896" s="785"/>
      <c r="E1896" s="785"/>
      <c r="F1896" s="785"/>
      <c r="G1896" s="785"/>
      <c r="H1896" s="294"/>
      <c r="I1896" s="169"/>
      <c r="J1896" s="167"/>
      <c r="K1896" s="169"/>
      <c r="L1896" s="167"/>
      <c r="M1896" s="169"/>
      <c r="N1896" s="167"/>
      <c r="O1896" s="169"/>
    </row>
    <row r="1897" spans="2:15" s="453" customFormat="1" ht="14" x14ac:dyDescent="0.2">
      <c r="B1897" s="293"/>
      <c r="C1897" s="573" t="s">
        <v>873</v>
      </c>
      <c r="D1897" s="573"/>
      <c r="E1897" s="573"/>
      <c r="F1897" s="573"/>
      <c r="G1897" s="573"/>
      <c r="H1897" s="296"/>
      <c r="I1897" s="168" t="s">
        <v>211</v>
      </c>
      <c r="J1897" s="166" t="s">
        <v>211</v>
      </c>
      <c r="K1897" s="168" t="s">
        <v>211</v>
      </c>
      <c r="L1897" s="166" t="s">
        <v>211</v>
      </c>
      <c r="M1897" s="168" t="s">
        <v>211</v>
      </c>
      <c r="N1897" s="166" t="s">
        <v>211</v>
      </c>
      <c r="O1897" s="168" t="s">
        <v>211</v>
      </c>
    </row>
    <row r="1898" spans="2:15" s="453" customFormat="1" ht="14" x14ac:dyDescent="0.2">
      <c r="B1898" s="293"/>
      <c r="C1898" s="573" t="s">
        <v>874</v>
      </c>
      <c r="D1898" s="573"/>
      <c r="E1898" s="573"/>
      <c r="F1898" s="573"/>
      <c r="G1898" s="573"/>
      <c r="H1898" s="296"/>
      <c r="I1898" s="168" t="s">
        <v>211</v>
      </c>
      <c r="J1898" s="166" t="s">
        <v>211</v>
      </c>
      <c r="K1898" s="168" t="s">
        <v>211</v>
      </c>
      <c r="L1898" s="166" t="s">
        <v>211</v>
      </c>
      <c r="M1898" s="168" t="s">
        <v>211</v>
      </c>
      <c r="N1898" s="166" t="s">
        <v>211</v>
      </c>
      <c r="O1898" s="168" t="s">
        <v>211</v>
      </c>
    </row>
    <row r="1899" spans="2:15" s="453" customFormat="1" ht="14" x14ac:dyDescent="0.2">
      <c r="B1899" s="293"/>
      <c r="C1899" s="572" t="s">
        <v>875</v>
      </c>
      <c r="D1899" s="572"/>
      <c r="E1899" s="572"/>
      <c r="F1899" s="572"/>
      <c r="G1899" s="572"/>
      <c r="H1899" s="296"/>
      <c r="I1899" s="168" t="s">
        <v>211</v>
      </c>
      <c r="J1899" s="166" t="s">
        <v>211</v>
      </c>
      <c r="K1899" s="168" t="s">
        <v>211</v>
      </c>
      <c r="L1899" s="166" t="s">
        <v>211</v>
      </c>
      <c r="M1899" s="168" t="s">
        <v>211</v>
      </c>
      <c r="N1899" s="166" t="s">
        <v>211</v>
      </c>
      <c r="O1899" s="168" t="s">
        <v>211</v>
      </c>
    </row>
    <row r="1900" spans="2:15" s="453" customFormat="1" ht="14" x14ac:dyDescent="0.2">
      <c r="B1900" s="293"/>
      <c r="C1900" s="572"/>
      <c r="D1900" s="572"/>
      <c r="E1900" s="572"/>
      <c r="F1900" s="572"/>
      <c r="G1900" s="572"/>
      <c r="H1900" s="294"/>
      <c r="I1900" s="169"/>
      <c r="J1900" s="167"/>
      <c r="K1900" s="169"/>
      <c r="L1900" s="167"/>
      <c r="M1900" s="169"/>
      <c r="N1900" s="167"/>
      <c r="O1900" s="169"/>
    </row>
    <row r="1901" spans="2:15" s="453" customFormat="1" ht="14" x14ac:dyDescent="0.2">
      <c r="B1901" s="293"/>
      <c r="C1901" s="573" t="s">
        <v>932</v>
      </c>
      <c r="D1901" s="573"/>
      <c r="E1901" s="573"/>
      <c r="F1901" s="573"/>
      <c r="G1901" s="573"/>
      <c r="H1901" s="296"/>
      <c r="I1901" s="168" t="s">
        <v>211</v>
      </c>
      <c r="J1901" s="166" t="s">
        <v>211</v>
      </c>
      <c r="K1901" s="168" t="s">
        <v>211</v>
      </c>
      <c r="L1901" s="166" t="s">
        <v>211</v>
      </c>
      <c r="M1901" s="168" t="s">
        <v>211</v>
      </c>
      <c r="N1901" s="166" t="s">
        <v>211</v>
      </c>
      <c r="O1901" s="168" t="s">
        <v>211</v>
      </c>
    </row>
    <row r="1902" spans="2:15" s="453" customFormat="1" ht="14" x14ac:dyDescent="0.2">
      <c r="B1902" s="293"/>
      <c r="F1902" s="586" t="s">
        <v>756</v>
      </c>
      <c r="G1902" s="586"/>
      <c r="H1902" s="587"/>
      <c r="I1902" s="169"/>
      <c r="J1902" s="167"/>
      <c r="K1902" s="169"/>
      <c r="L1902" s="167"/>
      <c r="M1902" s="169"/>
      <c r="N1902" s="167"/>
      <c r="O1902" s="169"/>
    </row>
    <row r="1903" spans="2:15" s="453" customFormat="1" ht="14" x14ac:dyDescent="0.2">
      <c r="B1903" s="293"/>
      <c r="F1903" s="604" t="s">
        <v>876</v>
      </c>
      <c r="G1903" s="604"/>
      <c r="H1903" s="767"/>
      <c r="I1903" s="169"/>
      <c r="J1903" s="167"/>
      <c r="K1903" s="169"/>
      <c r="L1903" s="167"/>
      <c r="M1903" s="169"/>
      <c r="N1903" s="167"/>
      <c r="O1903" s="169"/>
    </row>
    <row r="1904" spans="2:15" s="453" customFormat="1" ht="14" x14ac:dyDescent="0.2">
      <c r="B1904" s="302"/>
      <c r="C1904" s="303"/>
      <c r="D1904" s="303"/>
      <c r="E1904" s="303"/>
      <c r="F1904" s="599" t="s">
        <v>474</v>
      </c>
      <c r="G1904" s="599"/>
      <c r="H1904" s="615"/>
      <c r="I1904" s="169"/>
      <c r="J1904" s="167"/>
      <c r="K1904" s="169"/>
      <c r="L1904" s="167"/>
      <c r="M1904" s="169"/>
      <c r="N1904" s="167"/>
      <c r="O1904" s="169"/>
    </row>
    <row r="1905" spans="2:15" s="453" customFormat="1" ht="14" x14ac:dyDescent="0.2">
      <c r="B1905" s="291">
        <v>7</v>
      </c>
      <c r="C1905" s="602" t="s">
        <v>933</v>
      </c>
      <c r="D1905" s="602"/>
      <c r="E1905" s="602"/>
      <c r="F1905" s="602"/>
      <c r="G1905" s="602"/>
      <c r="H1905" s="292"/>
      <c r="I1905" s="168" t="s">
        <v>211</v>
      </c>
      <c r="J1905" s="166" t="s">
        <v>211</v>
      </c>
      <c r="K1905" s="168" t="s">
        <v>211</v>
      </c>
      <c r="L1905" s="166" t="s">
        <v>211</v>
      </c>
      <c r="M1905" s="168" t="s">
        <v>211</v>
      </c>
      <c r="N1905" s="166" t="s">
        <v>211</v>
      </c>
      <c r="O1905" s="168" t="s">
        <v>211</v>
      </c>
    </row>
    <row r="1906" spans="2:15" s="453" customFormat="1" ht="14" x14ac:dyDescent="0.2">
      <c r="B1906" s="293"/>
      <c r="C1906" s="572"/>
      <c r="D1906" s="572"/>
      <c r="E1906" s="572"/>
      <c r="F1906" s="572"/>
      <c r="G1906" s="572"/>
      <c r="H1906" s="294"/>
      <c r="I1906" s="169"/>
      <c r="J1906" s="167"/>
      <c r="K1906" s="169"/>
      <c r="L1906" s="167"/>
      <c r="M1906" s="169"/>
      <c r="N1906" s="167"/>
      <c r="O1906" s="169"/>
    </row>
    <row r="1907" spans="2:15" s="453" customFormat="1" ht="14" x14ac:dyDescent="0.2">
      <c r="B1907" s="293"/>
      <c r="C1907" s="572" t="s">
        <v>934</v>
      </c>
      <c r="D1907" s="572"/>
      <c r="E1907" s="572"/>
      <c r="F1907" s="572"/>
      <c r="G1907" s="572"/>
      <c r="H1907" s="296"/>
      <c r="I1907" s="168" t="s">
        <v>211</v>
      </c>
      <c r="J1907" s="166" t="s">
        <v>211</v>
      </c>
      <c r="K1907" s="168" t="s">
        <v>211</v>
      </c>
      <c r="L1907" s="166" t="s">
        <v>211</v>
      </c>
      <c r="M1907" s="168" t="s">
        <v>211</v>
      </c>
      <c r="N1907" s="166" t="s">
        <v>211</v>
      </c>
      <c r="O1907" s="168" t="s">
        <v>211</v>
      </c>
    </row>
    <row r="1908" spans="2:15" s="453" customFormat="1" ht="14" x14ac:dyDescent="0.2">
      <c r="B1908" s="293"/>
      <c r="C1908" s="572"/>
      <c r="D1908" s="572"/>
      <c r="E1908" s="572"/>
      <c r="F1908" s="572"/>
      <c r="G1908" s="572"/>
      <c r="H1908" s="294"/>
      <c r="I1908" s="169"/>
      <c r="J1908" s="167"/>
      <c r="K1908" s="169"/>
      <c r="L1908" s="167"/>
      <c r="M1908" s="169"/>
      <c r="N1908" s="167"/>
      <c r="O1908" s="169"/>
    </row>
    <row r="1909" spans="2:15" s="453" customFormat="1" ht="14" x14ac:dyDescent="0.2">
      <c r="B1909" s="293"/>
      <c r="C1909" s="572" t="s">
        <v>935</v>
      </c>
      <c r="D1909" s="572"/>
      <c r="E1909" s="572"/>
      <c r="F1909" s="572"/>
      <c r="G1909" s="572"/>
      <c r="H1909" s="296"/>
      <c r="I1909" s="168" t="s">
        <v>211</v>
      </c>
      <c r="J1909" s="166" t="s">
        <v>211</v>
      </c>
      <c r="K1909" s="168" t="s">
        <v>211</v>
      </c>
      <c r="L1909" s="166" t="s">
        <v>211</v>
      </c>
      <c r="M1909" s="168" t="s">
        <v>211</v>
      </c>
      <c r="N1909" s="166" t="s">
        <v>211</v>
      </c>
      <c r="O1909" s="168" t="s">
        <v>211</v>
      </c>
    </row>
    <row r="1910" spans="2:15" s="453" customFormat="1" ht="14" x14ac:dyDescent="0.2">
      <c r="B1910" s="293"/>
      <c r="C1910" s="572"/>
      <c r="D1910" s="572"/>
      <c r="E1910" s="572"/>
      <c r="F1910" s="572"/>
      <c r="G1910" s="572"/>
      <c r="H1910" s="294"/>
      <c r="I1910" s="169"/>
      <c r="J1910" s="167"/>
      <c r="K1910" s="169"/>
      <c r="L1910" s="167"/>
      <c r="M1910" s="169"/>
      <c r="N1910" s="167"/>
      <c r="O1910" s="169"/>
    </row>
    <row r="1911" spans="2:15" s="453" customFormat="1" ht="14" x14ac:dyDescent="0.2">
      <c r="B1911" s="293"/>
      <c r="C1911" s="573" t="s">
        <v>760</v>
      </c>
      <c r="D1911" s="573"/>
      <c r="E1911" s="573"/>
      <c r="F1911" s="573"/>
      <c r="G1911" s="573"/>
      <c r="H1911" s="294"/>
      <c r="I1911" s="169"/>
      <c r="J1911" s="167"/>
      <c r="K1911" s="169"/>
      <c r="L1911" s="167"/>
      <c r="M1911" s="169"/>
      <c r="N1911" s="167"/>
      <c r="O1911" s="169"/>
    </row>
    <row r="1912" spans="2:15" s="453" customFormat="1" ht="14" x14ac:dyDescent="0.2">
      <c r="B1912" s="293"/>
      <c r="F1912" s="586" t="s">
        <v>642</v>
      </c>
      <c r="G1912" s="586"/>
      <c r="H1912" s="587"/>
      <c r="I1912" s="169"/>
      <c r="J1912" s="167"/>
      <c r="K1912" s="169"/>
      <c r="L1912" s="167"/>
      <c r="M1912" s="169"/>
      <c r="N1912" s="167"/>
      <c r="O1912" s="169"/>
    </row>
    <row r="1913" spans="2:15" s="453" customFormat="1" ht="14" x14ac:dyDescent="0.2">
      <c r="B1913" s="302"/>
      <c r="C1913" s="303"/>
      <c r="D1913" s="303"/>
      <c r="E1913" s="303"/>
      <c r="F1913" s="599" t="s">
        <v>936</v>
      </c>
      <c r="G1913" s="599"/>
      <c r="H1913" s="615"/>
      <c r="I1913" s="169"/>
      <c r="J1913" s="167"/>
      <c r="K1913" s="169"/>
      <c r="L1913" s="167"/>
      <c r="M1913" s="169"/>
      <c r="N1913" s="167"/>
      <c r="O1913" s="169"/>
    </row>
    <row r="1914" spans="2:15" s="453" customFormat="1" ht="14" x14ac:dyDescent="0.2">
      <c r="B1914" s="291">
        <v>8</v>
      </c>
      <c r="C1914" s="602" t="s">
        <v>937</v>
      </c>
      <c r="D1914" s="602"/>
      <c r="E1914" s="602"/>
      <c r="F1914" s="602"/>
      <c r="G1914" s="602"/>
      <c r="H1914" s="292"/>
      <c r="I1914" s="168" t="s">
        <v>211</v>
      </c>
      <c r="J1914" s="166" t="s">
        <v>211</v>
      </c>
      <c r="K1914" s="168" t="s">
        <v>211</v>
      </c>
      <c r="L1914" s="166" t="s">
        <v>211</v>
      </c>
      <c r="M1914" s="168" t="s">
        <v>211</v>
      </c>
      <c r="N1914" s="166" t="s">
        <v>211</v>
      </c>
      <c r="O1914" s="168" t="s">
        <v>211</v>
      </c>
    </row>
    <row r="1915" spans="2:15" s="453" customFormat="1" ht="14" x14ac:dyDescent="0.2">
      <c r="B1915" s="293"/>
      <c r="C1915" s="572"/>
      <c r="D1915" s="572"/>
      <c r="E1915" s="572"/>
      <c r="F1915" s="572"/>
      <c r="G1915" s="572"/>
      <c r="H1915" s="294"/>
      <c r="I1915" s="169"/>
      <c r="J1915" s="167"/>
      <c r="K1915" s="169"/>
      <c r="L1915" s="167"/>
      <c r="M1915" s="169"/>
      <c r="N1915" s="167"/>
      <c r="O1915" s="169"/>
    </row>
    <row r="1916" spans="2:15" s="453" customFormat="1" ht="14" x14ac:dyDescent="0.2">
      <c r="B1916" s="293"/>
      <c r="C1916" s="573" t="s">
        <v>848</v>
      </c>
      <c r="D1916" s="573"/>
      <c r="E1916" s="573"/>
      <c r="F1916" s="573"/>
      <c r="G1916" s="573"/>
      <c r="H1916" s="296"/>
      <c r="I1916" s="168" t="s">
        <v>211</v>
      </c>
      <c r="J1916" s="166" t="s">
        <v>211</v>
      </c>
      <c r="K1916" s="168" t="s">
        <v>211</v>
      </c>
      <c r="L1916" s="166" t="s">
        <v>211</v>
      </c>
      <c r="M1916" s="168" t="s">
        <v>211</v>
      </c>
      <c r="N1916" s="166" t="s">
        <v>211</v>
      </c>
      <c r="O1916" s="168" t="s">
        <v>211</v>
      </c>
    </row>
    <row r="1917" spans="2:15" s="453" customFormat="1" ht="14" x14ac:dyDescent="0.2">
      <c r="B1917" s="293"/>
      <c r="C1917" s="573" t="s">
        <v>879</v>
      </c>
      <c r="D1917" s="573"/>
      <c r="E1917" s="573"/>
      <c r="F1917" s="573"/>
      <c r="G1917" s="573"/>
      <c r="H1917" s="296"/>
      <c r="I1917" s="168" t="s">
        <v>211</v>
      </c>
      <c r="J1917" s="166" t="s">
        <v>211</v>
      </c>
      <c r="K1917" s="168" t="s">
        <v>211</v>
      </c>
      <c r="L1917" s="166" t="s">
        <v>211</v>
      </c>
      <c r="M1917" s="168" t="s">
        <v>211</v>
      </c>
      <c r="N1917" s="166" t="s">
        <v>211</v>
      </c>
      <c r="O1917" s="168" t="s">
        <v>211</v>
      </c>
    </row>
    <row r="1918" spans="2:15" s="453" customFormat="1" ht="14" x14ac:dyDescent="0.2">
      <c r="B1918" s="293"/>
      <c r="C1918" s="573" t="s">
        <v>823</v>
      </c>
      <c r="D1918" s="573"/>
      <c r="E1918" s="573"/>
      <c r="F1918" s="573"/>
      <c r="G1918" s="573"/>
      <c r="H1918" s="296"/>
      <c r="I1918" s="168" t="s">
        <v>211</v>
      </c>
      <c r="J1918" s="166" t="s">
        <v>211</v>
      </c>
      <c r="K1918" s="168" t="s">
        <v>211</v>
      </c>
      <c r="L1918" s="166" t="s">
        <v>211</v>
      </c>
      <c r="M1918" s="168" t="s">
        <v>211</v>
      </c>
      <c r="N1918" s="166" t="s">
        <v>211</v>
      </c>
      <c r="O1918" s="168" t="s">
        <v>211</v>
      </c>
    </row>
    <row r="1919" spans="2:15" s="453" customFormat="1" ht="14" x14ac:dyDescent="0.2">
      <c r="B1919" s="293"/>
      <c r="F1919" s="586" t="s">
        <v>604</v>
      </c>
      <c r="G1919" s="586"/>
      <c r="H1919" s="587"/>
      <c r="I1919" s="169"/>
      <c r="J1919" s="167"/>
      <c r="K1919" s="169"/>
      <c r="L1919" s="167"/>
      <c r="M1919" s="169"/>
      <c r="N1919" s="167"/>
      <c r="O1919" s="169"/>
    </row>
    <row r="1920" spans="2:15" s="453" customFormat="1" ht="14" x14ac:dyDescent="0.2">
      <c r="B1920" s="293"/>
      <c r="F1920" s="593" t="s">
        <v>764</v>
      </c>
      <c r="G1920" s="593"/>
      <c r="H1920" s="768"/>
      <c r="I1920" s="169"/>
      <c r="J1920" s="167"/>
      <c r="K1920" s="169"/>
      <c r="L1920" s="167"/>
      <c r="M1920" s="169"/>
      <c r="N1920" s="167"/>
      <c r="O1920" s="169"/>
    </row>
    <row r="1921" spans="2:15" s="453" customFormat="1" ht="14" x14ac:dyDescent="0.2">
      <c r="B1921" s="302"/>
      <c r="C1921" s="303"/>
      <c r="D1921" s="303"/>
      <c r="E1921" s="303"/>
      <c r="F1921" s="786" t="s">
        <v>938</v>
      </c>
      <c r="G1921" s="786"/>
      <c r="H1921" s="787"/>
      <c r="I1921" s="169"/>
      <c r="J1921" s="167"/>
      <c r="K1921" s="169"/>
      <c r="L1921" s="167"/>
      <c r="M1921" s="169"/>
      <c r="N1921" s="167"/>
      <c r="O1921" s="169"/>
    </row>
    <row r="1922" spans="2:15" s="453" customFormat="1" ht="14" x14ac:dyDescent="0.2">
      <c r="B1922" s="291">
        <v>9</v>
      </c>
      <c r="C1922" s="602" t="s">
        <v>939</v>
      </c>
      <c r="D1922" s="602"/>
      <c r="E1922" s="602"/>
      <c r="F1922" s="602"/>
      <c r="G1922" s="602"/>
      <c r="H1922" s="292"/>
      <c r="I1922" s="168" t="s">
        <v>211</v>
      </c>
      <c r="J1922" s="166" t="s">
        <v>211</v>
      </c>
      <c r="K1922" s="168" t="s">
        <v>211</v>
      </c>
      <c r="L1922" s="166" t="s">
        <v>211</v>
      </c>
      <c r="M1922" s="168" t="s">
        <v>211</v>
      </c>
      <c r="N1922" s="166" t="s">
        <v>211</v>
      </c>
      <c r="O1922" s="168" t="s">
        <v>211</v>
      </c>
    </row>
    <row r="1923" spans="2:15" s="453" customFormat="1" ht="14" x14ac:dyDescent="0.2">
      <c r="B1923" s="293"/>
      <c r="C1923" s="572"/>
      <c r="D1923" s="572"/>
      <c r="E1923" s="572"/>
      <c r="F1923" s="572"/>
      <c r="G1923" s="572"/>
      <c r="H1923" s="294"/>
      <c r="I1923" s="169"/>
      <c r="J1923" s="167"/>
      <c r="K1923" s="169"/>
      <c r="L1923" s="167"/>
      <c r="M1923" s="169"/>
      <c r="N1923" s="167"/>
      <c r="O1923" s="169"/>
    </row>
    <row r="1924" spans="2:15" s="453" customFormat="1" ht="14" x14ac:dyDescent="0.2">
      <c r="B1924" s="293"/>
      <c r="C1924" s="572" t="s">
        <v>940</v>
      </c>
      <c r="D1924" s="572"/>
      <c r="E1924" s="572"/>
      <c r="F1924" s="572"/>
      <c r="G1924" s="572"/>
      <c r="H1924" s="296"/>
      <c r="I1924" s="168" t="s">
        <v>211</v>
      </c>
      <c r="J1924" s="166" t="s">
        <v>211</v>
      </c>
      <c r="K1924" s="168" t="s">
        <v>211</v>
      </c>
      <c r="L1924" s="166" t="s">
        <v>211</v>
      </c>
      <c r="M1924" s="168" t="s">
        <v>211</v>
      </c>
      <c r="N1924" s="166" t="s">
        <v>211</v>
      </c>
      <c r="O1924" s="168" t="s">
        <v>211</v>
      </c>
    </row>
    <row r="1925" spans="2:15" s="453" customFormat="1" ht="14" x14ac:dyDescent="0.2">
      <c r="B1925" s="293"/>
      <c r="C1925" s="572"/>
      <c r="D1925" s="572"/>
      <c r="E1925" s="572"/>
      <c r="F1925" s="572"/>
      <c r="G1925" s="572"/>
      <c r="H1925" s="294"/>
      <c r="I1925" s="169"/>
      <c r="J1925" s="167"/>
      <c r="K1925" s="169"/>
      <c r="L1925" s="167"/>
      <c r="M1925" s="169"/>
      <c r="N1925" s="167"/>
      <c r="O1925" s="169"/>
    </row>
    <row r="1926" spans="2:15" s="453" customFormat="1" ht="14" x14ac:dyDescent="0.2">
      <c r="B1926" s="293"/>
      <c r="C1926" s="573" t="s">
        <v>873</v>
      </c>
      <c r="D1926" s="573"/>
      <c r="E1926" s="573"/>
      <c r="F1926" s="573"/>
      <c r="G1926" s="573"/>
      <c r="H1926" s="296"/>
      <c r="I1926" s="168" t="s">
        <v>211</v>
      </c>
      <c r="J1926" s="166" t="s">
        <v>211</v>
      </c>
      <c r="K1926" s="168" t="s">
        <v>211</v>
      </c>
      <c r="L1926" s="166" t="s">
        <v>211</v>
      </c>
      <c r="M1926" s="168" t="s">
        <v>211</v>
      </c>
      <c r="N1926" s="166" t="s">
        <v>211</v>
      </c>
      <c r="O1926" s="168" t="s">
        <v>211</v>
      </c>
    </row>
    <row r="1927" spans="2:15" s="453" customFormat="1" ht="14" x14ac:dyDescent="0.2">
      <c r="B1927" s="293"/>
      <c r="C1927" s="572" t="s">
        <v>941</v>
      </c>
      <c r="D1927" s="572"/>
      <c r="E1927" s="572"/>
      <c r="F1927" s="572"/>
      <c r="G1927" s="572"/>
      <c r="H1927" s="296"/>
      <c r="I1927" s="168" t="s">
        <v>211</v>
      </c>
      <c r="J1927" s="166" t="s">
        <v>211</v>
      </c>
      <c r="K1927" s="168" t="s">
        <v>211</v>
      </c>
      <c r="L1927" s="166" t="s">
        <v>211</v>
      </c>
      <c r="M1927" s="168" t="s">
        <v>211</v>
      </c>
      <c r="N1927" s="166" t="s">
        <v>211</v>
      </c>
      <c r="O1927" s="168" t="s">
        <v>211</v>
      </c>
    </row>
    <row r="1928" spans="2:15" s="453" customFormat="1" ht="14" x14ac:dyDescent="0.2">
      <c r="B1928" s="293"/>
      <c r="C1928" s="572"/>
      <c r="D1928" s="572"/>
      <c r="E1928" s="572"/>
      <c r="F1928" s="572"/>
      <c r="G1928" s="572"/>
      <c r="H1928" s="294"/>
      <c r="I1928" s="169"/>
      <c r="J1928" s="167"/>
      <c r="K1928" s="169"/>
      <c r="L1928" s="167"/>
      <c r="M1928" s="169"/>
      <c r="N1928" s="167"/>
      <c r="O1928" s="169"/>
    </row>
    <row r="1929" spans="2:15" s="453" customFormat="1" ht="14" x14ac:dyDescent="0.2">
      <c r="B1929" s="293"/>
      <c r="C1929" s="573" t="s">
        <v>760</v>
      </c>
      <c r="D1929" s="573"/>
      <c r="E1929" s="573"/>
      <c r="F1929" s="573"/>
      <c r="G1929" s="573"/>
      <c r="H1929" s="296"/>
      <c r="I1929" s="168" t="s">
        <v>211</v>
      </c>
      <c r="J1929" s="166" t="s">
        <v>211</v>
      </c>
      <c r="K1929" s="168" t="s">
        <v>211</v>
      </c>
      <c r="L1929" s="166" t="s">
        <v>211</v>
      </c>
      <c r="M1929" s="168" t="s">
        <v>211</v>
      </c>
      <c r="N1929" s="166" t="s">
        <v>211</v>
      </c>
      <c r="O1929" s="168" t="s">
        <v>211</v>
      </c>
    </row>
    <row r="1930" spans="2:15" s="453" customFormat="1" ht="14" x14ac:dyDescent="0.2">
      <c r="B1930" s="293"/>
      <c r="F1930" s="586" t="s">
        <v>765</v>
      </c>
      <c r="G1930" s="586"/>
      <c r="H1930" s="587"/>
      <c r="I1930" s="169"/>
      <c r="J1930" s="167"/>
      <c r="K1930" s="169"/>
      <c r="L1930" s="167"/>
      <c r="M1930" s="169"/>
      <c r="N1930" s="167"/>
      <c r="O1930" s="169"/>
    </row>
    <row r="1931" spans="2:15" s="453" customFormat="1" ht="14" x14ac:dyDescent="0.2">
      <c r="B1931" s="302"/>
      <c r="C1931" s="303"/>
      <c r="D1931" s="303"/>
      <c r="E1931" s="303"/>
      <c r="F1931" s="599" t="s">
        <v>474</v>
      </c>
      <c r="G1931" s="599"/>
      <c r="H1931" s="615"/>
      <c r="I1931" s="169"/>
      <c r="J1931" s="167"/>
      <c r="K1931" s="169"/>
      <c r="L1931" s="167"/>
      <c r="M1931" s="169"/>
      <c r="N1931" s="167"/>
      <c r="O1931" s="169"/>
    </row>
    <row r="1932" spans="2:15" s="453" customFormat="1" ht="14" x14ac:dyDescent="0.2">
      <c r="B1932" s="291">
        <v>10</v>
      </c>
      <c r="C1932" s="602" t="s">
        <v>942</v>
      </c>
      <c r="D1932" s="602"/>
      <c r="E1932" s="602"/>
      <c r="F1932" s="602"/>
      <c r="G1932" s="602"/>
      <c r="H1932" s="292"/>
      <c r="I1932" s="168" t="s">
        <v>211</v>
      </c>
      <c r="J1932" s="166" t="s">
        <v>211</v>
      </c>
      <c r="K1932" s="168" t="s">
        <v>211</v>
      </c>
      <c r="L1932" s="166" t="s">
        <v>211</v>
      </c>
      <c r="M1932" s="168" t="s">
        <v>211</v>
      </c>
      <c r="N1932" s="166" t="s">
        <v>211</v>
      </c>
      <c r="O1932" s="168" t="s">
        <v>211</v>
      </c>
    </row>
    <row r="1933" spans="2:15" s="453" customFormat="1" ht="14" x14ac:dyDescent="0.2">
      <c r="B1933" s="293"/>
      <c r="C1933" s="572"/>
      <c r="D1933" s="572"/>
      <c r="E1933" s="572"/>
      <c r="F1933" s="572"/>
      <c r="G1933" s="572"/>
      <c r="H1933" s="294"/>
      <c r="I1933" s="169"/>
      <c r="J1933" s="167"/>
      <c r="K1933" s="169"/>
      <c r="L1933" s="167"/>
      <c r="M1933" s="169"/>
      <c r="N1933" s="167"/>
      <c r="O1933" s="169"/>
    </row>
    <row r="1934" spans="2:15" s="453" customFormat="1" ht="14" x14ac:dyDescent="0.2">
      <c r="B1934" s="293"/>
      <c r="C1934" s="572" t="s">
        <v>943</v>
      </c>
      <c r="D1934" s="572"/>
      <c r="E1934" s="572"/>
      <c r="F1934" s="572"/>
      <c r="G1934" s="572"/>
      <c r="H1934" s="296"/>
      <c r="I1934" s="168" t="s">
        <v>211</v>
      </c>
      <c r="J1934" s="166" t="s">
        <v>211</v>
      </c>
      <c r="K1934" s="168" t="s">
        <v>211</v>
      </c>
      <c r="L1934" s="166" t="s">
        <v>211</v>
      </c>
      <c r="M1934" s="168" t="s">
        <v>211</v>
      </c>
      <c r="N1934" s="166" t="s">
        <v>211</v>
      </c>
      <c r="O1934" s="168" t="s">
        <v>211</v>
      </c>
    </row>
    <row r="1935" spans="2:15" s="453" customFormat="1" ht="14" x14ac:dyDescent="0.2">
      <c r="B1935" s="293"/>
      <c r="C1935" s="572"/>
      <c r="D1935" s="572"/>
      <c r="E1935" s="572"/>
      <c r="F1935" s="572"/>
      <c r="G1935" s="572"/>
      <c r="H1935" s="294"/>
      <c r="I1935" s="169"/>
      <c r="J1935" s="167"/>
      <c r="K1935" s="169"/>
      <c r="L1935" s="167"/>
      <c r="M1935" s="169"/>
      <c r="N1935" s="167"/>
      <c r="O1935" s="169"/>
    </row>
    <row r="1936" spans="2:15" s="453" customFormat="1" ht="14" x14ac:dyDescent="0.2">
      <c r="B1936" s="293"/>
      <c r="C1936" s="573" t="s">
        <v>768</v>
      </c>
      <c r="D1936" s="573"/>
      <c r="E1936" s="573"/>
      <c r="F1936" s="573"/>
      <c r="G1936" s="573"/>
      <c r="H1936" s="296"/>
      <c r="I1936" s="168" t="s">
        <v>211</v>
      </c>
      <c r="J1936" s="166" t="s">
        <v>211</v>
      </c>
      <c r="K1936" s="168" t="s">
        <v>211</v>
      </c>
      <c r="L1936" s="166" t="s">
        <v>211</v>
      </c>
      <c r="M1936" s="168" t="s">
        <v>211</v>
      </c>
      <c r="N1936" s="166" t="s">
        <v>211</v>
      </c>
      <c r="O1936" s="168" t="s">
        <v>211</v>
      </c>
    </row>
    <row r="1937" spans="2:15" s="453" customFormat="1" ht="14" x14ac:dyDescent="0.2">
      <c r="B1937" s="293"/>
      <c r="C1937" s="573" t="s">
        <v>944</v>
      </c>
      <c r="D1937" s="573"/>
      <c r="E1937" s="573"/>
      <c r="F1937" s="573"/>
      <c r="G1937" s="573"/>
      <c r="H1937" s="296"/>
      <c r="I1937" s="168" t="s">
        <v>211</v>
      </c>
      <c r="J1937" s="166" t="s">
        <v>211</v>
      </c>
      <c r="K1937" s="168" t="s">
        <v>211</v>
      </c>
      <c r="L1937" s="166" t="s">
        <v>211</v>
      </c>
      <c r="M1937" s="168" t="s">
        <v>211</v>
      </c>
      <c r="N1937" s="166" t="s">
        <v>211</v>
      </c>
      <c r="O1937" s="168" t="s">
        <v>211</v>
      </c>
    </row>
    <row r="1938" spans="2:15" s="453" customFormat="1" ht="14" x14ac:dyDescent="0.2">
      <c r="B1938" s="293"/>
      <c r="C1938" s="595" t="s">
        <v>887</v>
      </c>
      <c r="D1938" s="595"/>
      <c r="E1938" s="595"/>
      <c r="F1938" s="595"/>
      <c r="G1938" s="595"/>
      <c r="H1938" s="296"/>
      <c r="I1938" s="168" t="s">
        <v>211</v>
      </c>
      <c r="J1938" s="166" t="s">
        <v>211</v>
      </c>
      <c r="K1938" s="168" t="s">
        <v>211</v>
      </c>
      <c r="L1938" s="166" t="s">
        <v>211</v>
      </c>
      <c r="M1938" s="168" t="s">
        <v>211</v>
      </c>
      <c r="N1938" s="166" t="s">
        <v>211</v>
      </c>
      <c r="O1938" s="168" t="s">
        <v>211</v>
      </c>
    </row>
    <row r="1939" spans="2:15" s="453" customFormat="1" ht="14" x14ac:dyDescent="0.2">
      <c r="B1939" s="293"/>
      <c r="F1939" s="586" t="s">
        <v>945</v>
      </c>
      <c r="G1939" s="586"/>
      <c r="H1939" s="587"/>
      <c r="I1939" s="169"/>
      <c r="J1939" s="167"/>
      <c r="K1939" s="169"/>
      <c r="L1939" s="167"/>
      <c r="M1939" s="169"/>
      <c r="N1939" s="167"/>
      <c r="O1939" s="169"/>
    </row>
    <row r="1940" spans="2:15" s="453" customFormat="1" ht="14" x14ac:dyDescent="0.2">
      <c r="B1940" s="302"/>
      <c r="C1940" s="303"/>
      <c r="D1940" s="303"/>
      <c r="E1940" s="303"/>
      <c r="F1940" s="603" t="s">
        <v>938</v>
      </c>
      <c r="G1940" s="603"/>
      <c r="H1940" s="769"/>
      <c r="I1940" s="169"/>
      <c r="J1940" s="167"/>
      <c r="K1940" s="169"/>
      <c r="L1940" s="167"/>
      <c r="M1940" s="169"/>
      <c r="N1940" s="167"/>
      <c r="O1940" s="169"/>
    </row>
    <row r="1941" spans="2:15" s="453" customFormat="1" ht="14" x14ac:dyDescent="0.2">
      <c r="B1941" s="291">
        <v>11</v>
      </c>
      <c r="C1941" s="598" t="s">
        <v>888</v>
      </c>
      <c r="D1941" s="598"/>
      <c r="E1941" s="598"/>
      <c r="F1941" s="598"/>
      <c r="G1941" s="598"/>
      <c r="H1941" s="292"/>
      <c r="I1941" s="168" t="s">
        <v>211</v>
      </c>
      <c r="J1941" s="166" t="s">
        <v>211</v>
      </c>
      <c r="K1941" s="168" t="s">
        <v>211</v>
      </c>
      <c r="L1941" s="166" t="s">
        <v>211</v>
      </c>
      <c r="M1941" s="168" t="s">
        <v>211</v>
      </c>
      <c r="N1941" s="166" t="s">
        <v>211</v>
      </c>
      <c r="O1941" s="168" t="s">
        <v>211</v>
      </c>
    </row>
    <row r="1942" spans="2:15" s="453" customFormat="1" ht="14" x14ac:dyDescent="0.2">
      <c r="B1942" s="293"/>
      <c r="C1942" s="572" t="s">
        <v>928</v>
      </c>
      <c r="D1942" s="572"/>
      <c r="E1942" s="572"/>
      <c r="F1942" s="572"/>
      <c r="G1942" s="572"/>
      <c r="H1942" s="296"/>
      <c r="I1942" s="168" t="s">
        <v>211</v>
      </c>
      <c r="J1942" s="166" t="s">
        <v>211</v>
      </c>
      <c r="K1942" s="168" t="s">
        <v>211</v>
      </c>
      <c r="L1942" s="166" t="s">
        <v>211</v>
      </c>
      <c r="M1942" s="168" t="s">
        <v>211</v>
      </c>
      <c r="N1942" s="166" t="s">
        <v>211</v>
      </c>
      <c r="O1942" s="168" t="s">
        <v>211</v>
      </c>
    </row>
    <row r="1943" spans="2:15" s="453" customFormat="1" ht="14" x14ac:dyDescent="0.2">
      <c r="B1943" s="293"/>
      <c r="C1943" s="572"/>
      <c r="D1943" s="572"/>
      <c r="E1943" s="572"/>
      <c r="F1943" s="572"/>
      <c r="G1943" s="572"/>
      <c r="H1943" s="294"/>
      <c r="I1943" s="169"/>
      <c r="J1943" s="167"/>
      <c r="K1943" s="169"/>
      <c r="L1943" s="167"/>
      <c r="M1943" s="169"/>
      <c r="N1943" s="167"/>
      <c r="O1943" s="169"/>
    </row>
    <row r="1944" spans="2:15" s="453" customFormat="1" ht="14" x14ac:dyDescent="0.2">
      <c r="B1944" s="293"/>
      <c r="C1944" s="572"/>
      <c r="D1944" s="572"/>
      <c r="E1944" s="572"/>
      <c r="F1944" s="572"/>
      <c r="G1944" s="572"/>
      <c r="H1944" s="294"/>
      <c r="I1944" s="169"/>
      <c r="J1944" s="167"/>
      <c r="K1944" s="169"/>
      <c r="L1944" s="167"/>
      <c r="M1944" s="169"/>
      <c r="N1944" s="167"/>
      <c r="O1944" s="169"/>
    </row>
    <row r="1945" spans="2:15" s="453" customFormat="1" ht="14" x14ac:dyDescent="0.2">
      <c r="B1945" s="293"/>
      <c r="C1945" s="572"/>
      <c r="D1945" s="572"/>
      <c r="E1945" s="572"/>
      <c r="F1945" s="572"/>
      <c r="G1945" s="572"/>
      <c r="H1945" s="294"/>
      <c r="I1945" s="169"/>
      <c r="J1945" s="167"/>
      <c r="K1945" s="169"/>
      <c r="L1945" s="167"/>
      <c r="M1945" s="169"/>
      <c r="N1945" s="167"/>
      <c r="O1945" s="169"/>
    </row>
    <row r="1946" spans="2:15" s="453" customFormat="1" ht="14" x14ac:dyDescent="0.2">
      <c r="B1946" s="293"/>
      <c r="C1946" s="573" t="s">
        <v>946</v>
      </c>
      <c r="D1946" s="573"/>
      <c r="E1946" s="573"/>
      <c r="F1946" s="573"/>
      <c r="G1946" s="573"/>
      <c r="H1946" s="296"/>
      <c r="I1946" s="168" t="s">
        <v>211</v>
      </c>
      <c r="J1946" s="166" t="s">
        <v>211</v>
      </c>
      <c r="K1946" s="168" t="s">
        <v>211</v>
      </c>
      <c r="L1946" s="166" t="s">
        <v>211</v>
      </c>
      <c r="M1946" s="168" t="s">
        <v>211</v>
      </c>
      <c r="N1946" s="166" t="s">
        <v>211</v>
      </c>
      <c r="O1946" s="168" t="s">
        <v>211</v>
      </c>
    </row>
    <row r="1947" spans="2:15" s="453" customFormat="1" ht="14" x14ac:dyDescent="0.2">
      <c r="B1947" s="293"/>
      <c r="F1947" s="586" t="s">
        <v>746</v>
      </c>
      <c r="G1947" s="586"/>
      <c r="H1947" s="587"/>
      <c r="I1947" s="169"/>
      <c r="J1947" s="167"/>
      <c r="K1947" s="169"/>
      <c r="L1947" s="167"/>
      <c r="M1947" s="169"/>
      <c r="N1947" s="167"/>
      <c r="O1947" s="169"/>
    </row>
    <row r="1948" spans="2:15" s="453" customFormat="1" ht="14" x14ac:dyDescent="0.2">
      <c r="B1948" s="302"/>
      <c r="C1948" s="303"/>
      <c r="D1948" s="303"/>
      <c r="E1948" s="303"/>
      <c r="F1948" s="599" t="s">
        <v>772</v>
      </c>
      <c r="G1948" s="599"/>
      <c r="H1948" s="615"/>
      <c r="I1948" s="169"/>
      <c r="J1948" s="167"/>
      <c r="K1948" s="169"/>
      <c r="L1948" s="167"/>
      <c r="M1948" s="169"/>
      <c r="N1948" s="167"/>
      <c r="O1948" s="169"/>
    </row>
    <row r="1949" spans="2:15" s="453" customFormat="1" ht="14" x14ac:dyDescent="0.2">
      <c r="B1949" s="291">
        <v>12</v>
      </c>
      <c r="C1949" s="602" t="s">
        <v>947</v>
      </c>
      <c r="D1949" s="602"/>
      <c r="E1949" s="602"/>
      <c r="F1949" s="602"/>
      <c r="G1949" s="602"/>
      <c r="H1949" s="292"/>
      <c r="I1949" s="168" t="s">
        <v>211</v>
      </c>
      <c r="J1949" s="166" t="s">
        <v>211</v>
      </c>
      <c r="K1949" s="168" t="s">
        <v>211</v>
      </c>
      <c r="L1949" s="166" t="s">
        <v>211</v>
      </c>
      <c r="M1949" s="168" t="s">
        <v>211</v>
      </c>
      <c r="N1949" s="166" t="s">
        <v>211</v>
      </c>
      <c r="O1949" s="168" t="s">
        <v>211</v>
      </c>
    </row>
    <row r="1950" spans="2:15" s="453" customFormat="1" ht="14" x14ac:dyDescent="0.2">
      <c r="B1950" s="293"/>
      <c r="C1950" s="572"/>
      <c r="D1950" s="572"/>
      <c r="E1950" s="572"/>
      <c r="F1950" s="572"/>
      <c r="G1950" s="572"/>
      <c r="H1950" s="294"/>
      <c r="I1950" s="169"/>
      <c r="J1950" s="167"/>
      <c r="K1950" s="169"/>
      <c r="L1950" s="167"/>
      <c r="M1950" s="169"/>
      <c r="N1950" s="167"/>
      <c r="O1950" s="169"/>
    </row>
    <row r="1951" spans="2:15" s="453" customFormat="1" ht="14" x14ac:dyDescent="0.2">
      <c r="B1951" s="295" t="s">
        <v>333</v>
      </c>
      <c r="C1951" s="597" t="s">
        <v>948</v>
      </c>
      <c r="D1951" s="597"/>
      <c r="E1951" s="597"/>
      <c r="F1951" s="597"/>
      <c r="G1951" s="597"/>
      <c r="H1951" s="294"/>
      <c r="I1951" s="169"/>
      <c r="J1951" s="167"/>
      <c r="K1951" s="169"/>
      <c r="L1951" s="167"/>
      <c r="M1951" s="169"/>
      <c r="N1951" s="167"/>
      <c r="O1951" s="169"/>
    </row>
    <row r="1952" spans="2:15" s="453" customFormat="1" ht="14" x14ac:dyDescent="0.2">
      <c r="B1952" s="295"/>
      <c r="C1952" s="597"/>
      <c r="D1952" s="597"/>
      <c r="E1952" s="597"/>
      <c r="F1952" s="597"/>
      <c r="G1952" s="597"/>
      <c r="H1952" s="294"/>
      <c r="I1952" s="169"/>
      <c r="J1952" s="167"/>
      <c r="K1952" s="169"/>
      <c r="L1952" s="167"/>
      <c r="M1952" s="169"/>
      <c r="N1952" s="167"/>
      <c r="O1952" s="169"/>
    </row>
    <row r="1953" spans="2:16" s="453" customFormat="1" ht="14" x14ac:dyDescent="0.2">
      <c r="B1953" s="293"/>
      <c r="F1953" s="586" t="s">
        <v>775</v>
      </c>
      <c r="G1953" s="586"/>
      <c r="H1953" s="587"/>
      <c r="I1953" s="169"/>
      <c r="J1953" s="167"/>
      <c r="K1953" s="169"/>
      <c r="L1953" s="167"/>
      <c r="M1953" s="169"/>
      <c r="N1953" s="167"/>
      <c r="O1953" s="169"/>
    </row>
    <row r="1954" spans="2:16" s="453" customFormat="1" ht="14" x14ac:dyDescent="0.2">
      <c r="B1954" s="293"/>
      <c r="F1954" s="604" t="s">
        <v>776</v>
      </c>
      <c r="G1954" s="604"/>
      <c r="H1954" s="767"/>
      <c r="I1954" s="169"/>
      <c r="J1954" s="167"/>
      <c r="K1954" s="169"/>
      <c r="L1954" s="167"/>
      <c r="M1954" s="169"/>
      <c r="N1954" s="167"/>
      <c r="O1954" s="169"/>
    </row>
    <row r="1955" spans="2:16" s="453" customFormat="1" ht="14" x14ac:dyDescent="0.2">
      <c r="B1955" s="302"/>
      <c r="C1955" s="303"/>
      <c r="D1955" s="303"/>
      <c r="E1955" s="303"/>
      <c r="F1955" s="599" t="s">
        <v>777</v>
      </c>
      <c r="G1955" s="599"/>
      <c r="H1955" s="615"/>
      <c r="I1955" s="169"/>
      <c r="J1955" s="167"/>
      <c r="K1955" s="169"/>
      <c r="L1955" s="167"/>
      <c r="M1955" s="169"/>
      <c r="N1955" s="167"/>
      <c r="O1955" s="169"/>
    </row>
    <row r="1956" spans="2:16" s="453" customFormat="1" ht="14" x14ac:dyDescent="0.2">
      <c r="B1956" s="291">
        <v>13</v>
      </c>
      <c r="C1956" s="602" t="s">
        <v>894</v>
      </c>
      <c r="D1956" s="602"/>
      <c r="E1956" s="602"/>
      <c r="F1956" s="602"/>
      <c r="G1956" s="602"/>
      <c r="H1956" s="292"/>
      <c r="I1956" s="168" t="s">
        <v>211</v>
      </c>
      <c r="J1956" s="166" t="s">
        <v>211</v>
      </c>
      <c r="K1956" s="168" t="s">
        <v>211</v>
      </c>
      <c r="L1956" s="166" t="s">
        <v>211</v>
      </c>
      <c r="M1956" s="168" t="s">
        <v>211</v>
      </c>
      <c r="N1956" s="166" t="s">
        <v>211</v>
      </c>
      <c r="O1956" s="168" t="s">
        <v>211</v>
      </c>
    </row>
    <row r="1957" spans="2:16" s="453" customFormat="1" ht="14" x14ac:dyDescent="0.2">
      <c r="B1957" s="293"/>
      <c r="C1957" s="572"/>
      <c r="D1957" s="572"/>
      <c r="E1957" s="572"/>
      <c r="F1957" s="572"/>
      <c r="G1957" s="572"/>
      <c r="H1957" s="294"/>
      <c r="I1957" s="169"/>
      <c r="J1957" s="167"/>
      <c r="K1957" s="169"/>
      <c r="L1957" s="167"/>
      <c r="M1957" s="169"/>
      <c r="N1957" s="167"/>
      <c r="O1957" s="169"/>
    </row>
    <row r="1958" spans="2:16" s="453" customFormat="1" ht="14" x14ac:dyDescent="0.2">
      <c r="B1958" s="293"/>
      <c r="C1958" s="573" t="s">
        <v>779</v>
      </c>
      <c r="D1958" s="573"/>
      <c r="E1958" s="573"/>
      <c r="F1958" s="573"/>
      <c r="G1958" s="573"/>
      <c r="H1958" s="296"/>
      <c r="I1958" s="168" t="s">
        <v>211</v>
      </c>
      <c r="J1958" s="166" t="s">
        <v>211</v>
      </c>
      <c r="K1958" s="168" t="s">
        <v>211</v>
      </c>
      <c r="L1958" s="166" t="s">
        <v>211</v>
      </c>
      <c r="M1958" s="168" t="s">
        <v>211</v>
      </c>
      <c r="N1958" s="166" t="s">
        <v>211</v>
      </c>
      <c r="O1958" s="168" t="s">
        <v>211</v>
      </c>
    </row>
    <row r="1959" spans="2:16" s="453" customFormat="1" ht="14" x14ac:dyDescent="0.2">
      <c r="B1959" s="293"/>
      <c r="C1959" s="573" t="s">
        <v>780</v>
      </c>
      <c r="D1959" s="573"/>
      <c r="E1959" s="573"/>
      <c r="F1959" s="573"/>
      <c r="G1959" s="573"/>
      <c r="H1959" s="296"/>
      <c r="I1959" s="168" t="s">
        <v>211</v>
      </c>
      <c r="J1959" s="166" t="s">
        <v>211</v>
      </c>
      <c r="K1959" s="168" t="s">
        <v>211</v>
      </c>
      <c r="L1959" s="166" t="s">
        <v>211</v>
      </c>
      <c r="M1959" s="168" t="s">
        <v>211</v>
      </c>
      <c r="N1959" s="166" t="s">
        <v>211</v>
      </c>
      <c r="O1959" s="168" t="s">
        <v>211</v>
      </c>
    </row>
    <row r="1960" spans="2:16" s="453" customFormat="1" ht="14" x14ac:dyDescent="0.2">
      <c r="B1960" s="302"/>
      <c r="C1960" s="303"/>
      <c r="D1960" s="303"/>
      <c r="E1960" s="303"/>
      <c r="F1960" s="580" t="s">
        <v>781</v>
      </c>
      <c r="G1960" s="580"/>
      <c r="H1960" s="585"/>
      <c r="I1960" s="169"/>
      <c r="J1960" s="167"/>
      <c r="K1960" s="169"/>
      <c r="L1960" s="167"/>
      <c r="M1960" s="169"/>
      <c r="N1960" s="167"/>
      <c r="O1960" s="169"/>
    </row>
    <row r="1961" spans="2:16" s="453" customFormat="1" ht="14" x14ac:dyDescent="0.2">
      <c r="B1961" s="291">
        <v>14</v>
      </c>
      <c r="C1961" s="602" t="s">
        <v>949</v>
      </c>
      <c r="D1961" s="602"/>
      <c r="E1961" s="602"/>
      <c r="F1961" s="602"/>
      <c r="G1961" s="602"/>
      <c r="H1961" s="292"/>
      <c r="I1961" s="168" t="s">
        <v>211</v>
      </c>
      <c r="J1961" s="166" t="s">
        <v>211</v>
      </c>
      <c r="K1961" s="168" t="s">
        <v>211</v>
      </c>
      <c r="L1961" s="166" t="s">
        <v>211</v>
      </c>
      <c r="M1961" s="168" t="s">
        <v>211</v>
      </c>
      <c r="N1961" s="166" t="s">
        <v>211</v>
      </c>
      <c r="O1961" s="168" t="s">
        <v>211</v>
      </c>
    </row>
    <row r="1962" spans="2:16" s="453" customFormat="1" ht="14" x14ac:dyDescent="0.2">
      <c r="B1962" s="293"/>
      <c r="C1962" s="572"/>
      <c r="D1962" s="572"/>
      <c r="E1962" s="572"/>
      <c r="F1962" s="572"/>
      <c r="G1962" s="572"/>
      <c r="H1962" s="294"/>
      <c r="I1962" s="169"/>
      <c r="J1962" s="167"/>
      <c r="K1962" s="169"/>
      <c r="L1962" s="167"/>
      <c r="M1962" s="169"/>
      <c r="N1962" s="167"/>
      <c r="O1962" s="169"/>
    </row>
    <row r="1963" spans="2:16" s="453" customFormat="1" ht="14" x14ac:dyDescent="0.2">
      <c r="B1963" s="293"/>
      <c r="C1963" s="572" t="s">
        <v>896</v>
      </c>
      <c r="D1963" s="572"/>
      <c r="E1963" s="572"/>
      <c r="F1963" s="572"/>
      <c r="G1963" s="572"/>
      <c r="H1963" s="296"/>
      <c r="I1963" s="168" t="s">
        <v>211</v>
      </c>
      <c r="J1963" s="166" t="s">
        <v>211</v>
      </c>
      <c r="K1963" s="168" t="s">
        <v>211</v>
      </c>
      <c r="L1963" s="166" t="s">
        <v>211</v>
      </c>
      <c r="M1963" s="168" t="s">
        <v>211</v>
      </c>
      <c r="N1963" s="166" t="s">
        <v>211</v>
      </c>
      <c r="O1963" s="168" t="s">
        <v>211</v>
      </c>
    </row>
    <row r="1964" spans="2:16" s="453" customFormat="1" ht="14" x14ac:dyDescent="0.2">
      <c r="B1964" s="293"/>
      <c r="C1964" s="572"/>
      <c r="D1964" s="572"/>
      <c r="E1964" s="572"/>
      <c r="F1964" s="572"/>
      <c r="G1964" s="572"/>
      <c r="H1964" s="294"/>
      <c r="I1964" s="169"/>
      <c r="J1964" s="167"/>
      <c r="K1964" s="169"/>
      <c r="L1964" s="167"/>
      <c r="M1964" s="169"/>
      <c r="N1964" s="167"/>
      <c r="O1964" s="169"/>
    </row>
    <row r="1965" spans="2:16" s="453" customFormat="1" ht="14" x14ac:dyDescent="0.2">
      <c r="B1965" s="293"/>
      <c r="C1965" s="572" t="s">
        <v>950</v>
      </c>
      <c r="D1965" s="572"/>
      <c r="E1965" s="572"/>
      <c r="F1965" s="572"/>
      <c r="G1965" s="572"/>
      <c r="H1965" s="296"/>
      <c r="I1965" s="168" t="s">
        <v>211</v>
      </c>
      <c r="J1965" s="166" t="s">
        <v>211</v>
      </c>
      <c r="K1965" s="168" t="s">
        <v>211</v>
      </c>
      <c r="L1965" s="166" t="s">
        <v>211</v>
      </c>
      <c r="M1965" s="168" t="s">
        <v>211</v>
      </c>
      <c r="N1965" s="166" t="s">
        <v>211</v>
      </c>
      <c r="O1965" s="168" t="s">
        <v>211</v>
      </c>
    </row>
    <row r="1966" spans="2:16" s="453" customFormat="1" ht="14" x14ac:dyDescent="0.2">
      <c r="B1966" s="293"/>
      <c r="C1966" s="572" t="s">
        <v>898</v>
      </c>
      <c r="D1966" s="572"/>
      <c r="E1966" s="572"/>
      <c r="F1966" s="572"/>
      <c r="G1966" s="572"/>
      <c r="H1966" s="296"/>
      <c r="I1966" s="168" t="s">
        <v>211</v>
      </c>
      <c r="J1966" s="166" t="s">
        <v>211</v>
      </c>
      <c r="K1966" s="168" t="s">
        <v>211</v>
      </c>
      <c r="L1966" s="166" t="s">
        <v>211</v>
      </c>
      <c r="M1966" s="168" t="s">
        <v>211</v>
      </c>
      <c r="N1966" s="166" t="s">
        <v>211</v>
      </c>
      <c r="O1966" s="168" t="s">
        <v>211</v>
      </c>
    </row>
    <row r="1967" spans="2:16" s="453" customFormat="1" ht="14" x14ac:dyDescent="0.2">
      <c r="B1967" s="293"/>
      <c r="C1967" s="572"/>
      <c r="D1967" s="572"/>
      <c r="E1967" s="572"/>
      <c r="F1967" s="572"/>
      <c r="G1967" s="572"/>
      <c r="H1967" s="294"/>
      <c r="I1967" s="172">
        <f>COUNTIF(I1826:I1966,Data!$A$1)</f>
        <v>0</v>
      </c>
      <c r="J1967" s="203">
        <f>COUNTIF(J1826:J1966,Data!$A$1)</f>
        <v>0</v>
      </c>
      <c r="K1967" s="172">
        <f>COUNTIF(K1826:K1966,Data!$A$1)</f>
        <v>0</v>
      </c>
      <c r="L1967" s="203">
        <f>COUNTIF(L1826:L1966,Data!$A$1)</f>
        <v>0</v>
      </c>
      <c r="M1967" s="172">
        <f>COUNTIF(M1826:M1966,Data!$A$1)</f>
        <v>0</v>
      </c>
      <c r="N1967" s="203">
        <f>COUNTIF(N1826:N1966,Data!$A$1)</f>
        <v>0</v>
      </c>
      <c r="O1967" s="172">
        <f>COUNTIF(O1826:O1966,Data!$A$1)</f>
        <v>0</v>
      </c>
      <c r="P1967" s="107">
        <f>SUM(I1967:K1967,M1967:N1967)</f>
        <v>0</v>
      </c>
    </row>
    <row r="1968" spans="2:16" s="453" customFormat="1" ht="14" x14ac:dyDescent="0.2">
      <c r="B1968" s="293"/>
      <c r="F1968" s="776" t="s">
        <v>785</v>
      </c>
      <c r="G1968" s="776"/>
      <c r="H1968" s="777"/>
      <c r="I1968" s="172">
        <f>SUM(I1967*5)</f>
        <v>0</v>
      </c>
      <c r="J1968" s="202"/>
      <c r="K1968" s="172">
        <f>SUM(K1967*4)</f>
        <v>0</v>
      </c>
      <c r="L1968" s="202"/>
      <c r="M1968" s="172">
        <f>SUM(M1967*5)</f>
        <v>0</v>
      </c>
      <c r="N1968" s="202">
        <f>SUM(N1967*5)</f>
        <v>0</v>
      </c>
      <c r="O1968" s="172">
        <f>SUM(I1968:N1968)</f>
        <v>0</v>
      </c>
      <c r="P1968" s="107">
        <f>SUM(P1967*5)</f>
        <v>0</v>
      </c>
    </row>
    <row r="1969" spans="2:16" s="453" customFormat="1" ht="14" x14ac:dyDescent="0.2">
      <c r="B1969" s="293"/>
      <c r="D1969" s="770" t="s">
        <v>899</v>
      </c>
      <c r="E1969" s="770"/>
      <c r="F1969" s="770"/>
      <c r="G1969" s="770"/>
      <c r="H1969" s="771"/>
      <c r="I1969" s="169"/>
      <c r="J1969" s="167"/>
      <c r="K1969" s="169"/>
      <c r="L1969" s="167"/>
      <c r="M1969" s="169"/>
      <c r="N1969" s="167"/>
      <c r="O1969" s="169"/>
    </row>
    <row r="1970" spans="2:16" s="453" customFormat="1" ht="14" x14ac:dyDescent="0.2">
      <c r="B1970" s="293"/>
      <c r="F1970" s="604" t="s">
        <v>786</v>
      </c>
      <c r="G1970" s="604"/>
      <c r="H1970" s="767"/>
      <c r="I1970" s="169"/>
      <c r="J1970" s="167"/>
      <c r="K1970" s="169"/>
      <c r="L1970" s="167"/>
      <c r="M1970" s="169"/>
      <c r="N1970" s="167"/>
      <c r="O1970" s="169"/>
    </row>
    <row r="1971" spans="2:16" s="453" customFormat="1" ht="14" x14ac:dyDescent="0.2">
      <c r="B1971" s="302"/>
      <c r="C1971" s="303"/>
      <c r="D1971" s="303"/>
      <c r="E1971" s="303"/>
      <c r="F1971" s="613" t="s">
        <v>604</v>
      </c>
      <c r="G1971" s="613"/>
      <c r="H1971" s="775"/>
      <c r="I1971" s="169"/>
      <c r="J1971" s="167"/>
      <c r="K1971" s="169"/>
      <c r="L1971" s="167"/>
      <c r="M1971" s="169"/>
      <c r="N1971" s="167"/>
      <c r="O1971" s="169"/>
    </row>
    <row r="1972" spans="2:16" s="453" customFormat="1" ht="14" x14ac:dyDescent="0.2">
      <c r="B1972" s="897" t="s">
        <v>1357</v>
      </c>
      <c r="C1972" s="898"/>
      <c r="D1972" s="898"/>
      <c r="E1972" s="440"/>
      <c r="F1972" s="359"/>
      <c r="G1972" s="359"/>
      <c r="H1972" s="360"/>
      <c r="I1972" s="169"/>
      <c r="J1972" s="167"/>
      <c r="K1972" s="169"/>
      <c r="L1972" s="167"/>
      <c r="M1972" s="169"/>
      <c r="N1972" s="167"/>
      <c r="O1972" s="169"/>
    </row>
    <row r="1973" spans="2:16" s="453" customFormat="1" ht="14" x14ac:dyDescent="0.2">
      <c r="B1973" s="293"/>
      <c r="C1973" s="572" t="s">
        <v>951</v>
      </c>
      <c r="D1973" s="572"/>
      <c r="E1973" s="572"/>
      <c r="F1973" s="572"/>
      <c r="G1973" s="572"/>
      <c r="H1973" s="296"/>
      <c r="I1973" s="168" t="s">
        <v>211</v>
      </c>
      <c r="J1973" s="166" t="s">
        <v>211</v>
      </c>
      <c r="K1973" s="168" t="s">
        <v>211</v>
      </c>
      <c r="L1973" s="166" t="s">
        <v>211</v>
      </c>
      <c r="M1973" s="168" t="s">
        <v>211</v>
      </c>
      <c r="N1973" s="166" t="s">
        <v>211</v>
      </c>
      <c r="O1973" s="168" t="s">
        <v>211</v>
      </c>
    </row>
    <row r="1974" spans="2:16" s="453" customFormat="1" ht="14" x14ac:dyDescent="0.2">
      <c r="B1974" s="293"/>
      <c r="C1974" s="572"/>
      <c r="D1974" s="572"/>
      <c r="E1974" s="572"/>
      <c r="F1974" s="572"/>
      <c r="G1974" s="572"/>
      <c r="H1974" s="294"/>
      <c r="I1974" s="172">
        <f>COUNTIF(I1973,Data!$A$1)</f>
        <v>0</v>
      </c>
      <c r="J1974" s="203">
        <f>COUNTIF(J1973,Data!$A$1)</f>
        <v>0</v>
      </c>
      <c r="K1974" s="172">
        <f>COUNTIF(K1973,Data!$A$1)</f>
        <v>0</v>
      </c>
      <c r="L1974" s="203">
        <f>COUNTIF(L1973,Data!$A$1)</f>
        <v>0</v>
      </c>
      <c r="M1974" s="172">
        <f>COUNTIF(M1973,Data!$A$1)</f>
        <v>0</v>
      </c>
      <c r="N1974" s="203">
        <f>COUNTIF(N1973,Data!$A$1)</f>
        <v>0</v>
      </c>
      <c r="O1974" s="172">
        <f>COUNTIF(O1973,Data!$A$1)</f>
        <v>0</v>
      </c>
      <c r="P1974" s="107">
        <f>SUM(I1974:K1974,M1974:N1974)</f>
        <v>0</v>
      </c>
    </row>
    <row r="1975" spans="2:16" s="453" customFormat="1" ht="14" x14ac:dyDescent="0.2">
      <c r="B1975" s="295"/>
      <c r="C1975" s="365" t="s">
        <v>789</v>
      </c>
      <c r="D1975" s="365"/>
      <c r="E1975" s="365"/>
      <c r="F1975" s="365"/>
      <c r="G1975" s="365"/>
      <c r="H1975" s="294"/>
      <c r="I1975" s="172">
        <f>SUM(I1974*15)</f>
        <v>0</v>
      </c>
      <c r="J1975" s="202"/>
      <c r="K1975" s="172">
        <f>SUM(K1974*10)</f>
        <v>0</v>
      </c>
      <c r="L1975" s="202"/>
      <c r="M1975" s="172">
        <f>SUM(M1974*15)</f>
        <v>0</v>
      </c>
      <c r="N1975" s="202">
        <f>SUM(N1974*15)</f>
        <v>0</v>
      </c>
      <c r="O1975" s="172">
        <f>SUM(I1975:N1975)</f>
        <v>0</v>
      </c>
      <c r="P1975" s="107">
        <f>SUM(P1974*15)</f>
        <v>0</v>
      </c>
    </row>
    <row r="1976" spans="2:16" s="453" customFormat="1" ht="14" x14ac:dyDescent="0.2">
      <c r="B1976" s="295" t="s">
        <v>333</v>
      </c>
      <c r="C1976" s="597" t="s">
        <v>952</v>
      </c>
      <c r="D1976" s="597"/>
      <c r="E1976" s="597"/>
      <c r="F1976" s="597"/>
      <c r="G1976" s="597"/>
      <c r="H1976" s="294"/>
      <c r="I1976" s="169"/>
      <c r="J1976" s="167"/>
      <c r="K1976" s="169"/>
      <c r="L1976" s="167"/>
      <c r="M1976" s="169"/>
      <c r="N1976" s="167"/>
      <c r="O1976" s="169"/>
    </row>
    <row r="1977" spans="2:16" s="453" customFormat="1" ht="14" x14ac:dyDescent="0.2">
      <c r="B1977" s="295"/>
      <c r="C1977" s="597"/>
      <c r="D1977" s="597"/>
      <c r="E1977" s="597"/>
      <c r="F1977" s="597"/>
      <c r="G1977" s="597"/>
      <c r="H1977" s="294"/>
      <c r="I1977" s="169"/>
      <c r="J1977" s="167"/>
      <c r="K1977" s="169"/>
      <c r="L1977" s="167"/>
      <c r="M1977" s="169"/>
      <c r="N1977" s="167"/>
      <c r="O1977" s="169"/>
    </row>
    <row r="1978" spans="2:16" s="453" customFormat="1" ht="14" x14ac:dyDescent="0.2">
      <c r="B1978" s="295"/>
      <c r="C1978" s="597"/>
      <c r="D1978" s="597"/>
      <c r="E1978" s="597"/>
      <c r="F1978" s="597"/>
      <c r="G1978" s="597"/>
      <c r="H1978" s="294"/>
      <c r="I1978" s="169"/>
      <c r="J1978" s="167"/>
      <c r="K1978" s="169"/>
      <c r="L1978" s="167"/>
      <c r="M1978" s="169"/>
      <c r="N1978" s="167"/>
      <c r="O1978" s="169"/>
    </row>
    <row r="1979" spans="2:16" s="453" customFormat="1" ht="14" x14ac:dyDescent="0.2">
      <c r="B1979" s="302"/>
      <c r="C1979" s="303"/>
      <c r="D1979" s="303"/>
      <c r="E1979" s="303"/>
      <c r="F1979" s="580" t="s">
        <v>1290</v>
      </c>
      <c r="G1979" s="580"/>
      <c r="H1979" s="585"/>
      <c r="I1979" s="169"/>
      <c r="J1979" s="167"/>
      <c r="K1979" s="169"/>
      <c r="L1979" s="167"/>
      <c r="M1979" s="169"/>
      <c r="N1979" s="167"/>
      <c r="O1979" s="169"/>
    </row>
    <row r="1980" spans="2:16" s="453" customFormat="1" ht="14" x14ac:dyDescent="0.2">
      <c r="B1980" s="291">
        <v>16</v>
      </c>
      <c r="C1980" s="142"/>
      <c r="D1980" s="142"/>
      <c r="E1980" s="142"/>
      <c r="F1980" s="780" t="s">
        <v>792</v>
      </c>
      <c r="G1980" s="780"/>
      <c r="H1980" s="781"/>
      <c r="I1980" s="169"/>
      <c r="J1980" s="167"/>
      <c r="K1980" s="169"/>
      <c r="L1980" s="167"/>
      <c r="M1980" s="169"/>
      <c r="N1980" s="167"/>
      <c r="O1980" s="169"/>
    </row>
    <row r="1981" spans="2:16" s="453" customFormat="1" ht="14" x14ac:dyDescent="0.2">
      <c r="B1981" s="293"/>
      <c r="C1981" s="572" t="s">
        <v>953</v>
      </c>
      <c r="D1981" s="572"/>
      <c r="E1981" s="572"/>
      <c r="F1981" s="572"/>
      <c r="G1981" s="572"/>
      <c r="H1981" s="296"/>
      <c r="I1981" s="168" t="s">
        <v>211</v>
      </c>
      <c r="J1981" s="166" t="s">
        <v>211</v>
      </c>
      <c r="K1981" s="168" t="s">
        <v>211</v>
      </c>
      <c r="L1981" s="166" t="s">
        <v>211</v>
      </c>
      <c r="M1981" s="168" t="s">
        <v>211</v>
      </c>
      <c r="N1981" s="166" t="s">
        <v>211</v>
      </c>
      <c r="O1981" s="168" t="s">
        <v>211</v>
      </c>
    </row>
    <row r="1982" spans="2:16" s="453" customFormat="1" ht="14" x14ac:dyDescent="0.2">
      <c r="B1982" s="293"/>
      <c r="C1982" s="572"/>
      <c r="D1982" s="572"/>
      <c r="E1982" s="572"/>
      <c r="F1982" s="572"/>
      <c r="G1982" s="572"/>
      <c r="H1982" s="294"/>
      <c r="I1982" s="169"/>
      <c r="J1982" s="167"/>
      <c r="K1982" s="169"/>
      <c r="L1982" s="167"/>
      <c r="M1982" s="169"/>
      <c r="N1982" s="167"/>
      <c r="O1982" s="169"/>
    </row>
    <row r="1983" spans="2:16" s="453" customFormat="1" ht="14" x14ac:dyDescent="0.2">
      <c r="B1983" s="293"/>
      <c r="C1983" s="572" t="s">
        <v>954</v>
      </c>
      <c r="D1983" s="572"/>
      <c r="E1983" s="572"/>
      <c r="F1983" s="572"/>
      <c r="G1983" s="572"/>
      <c r="H1983" s="296"/>
      <c r="I1983" s="168" t="s">
        <v>211</v>
      </c>
      <c r="J1983" s="166" t="s">
        <v>211</v>
      </c>
      <c r="K1983" s="168" t="s">
        <v>211</v>
      </c>
      <c r="L1983" s="166" t="s">
        <v>211</v>
      </c>
      <c r="M1983" s="168" t="s">
        <v>211</v>
      </c>
      <c r="N1983" s="166" t="s">
        <v>211</v>
      </c>
      <c r="O1983" s="168" t="s">
        <v>211</v>
      </c>
    </row>
    <row r="1984" spans="2:16" s="453" customFormat="1" ht="14" x14ac:dyDescent="0.2">
      <c r="B1984" s="293"/>
      <c r="C1984" s="572"/>
      <c r="D1984" s="572"/>
      <c r="E1984" s="572"/>
      <c r="F1984" s="572"/>
      <c r="G1984" s="572"/>
      <c r="H1984" s="294"/>
      <c r="I1984" s="169"/>
      <c r="J1984" s="167"/>
      <c r="K1984" s="169"/>
      <c r="L1984" s="167"/>
      <c r="M1984" s="169"/>
      <c r="N1984" s="167"/>
      <c r="O1984" s="169"/>
    </row>
    <row r="1985" spans="2:15" s="453" customFormat="1" ht="14" x14ac:dyDescent="0.2">
      <c r="B1985" s="293"/>
      <c r="C1985" s="572"/>
      <c r="D1985" s="572"/>
      <c r="E1985" s="572"/>
      <c r="F1985" s="572"/>
      <c r="G1985" s="572"/>
      <c r="H1985" s="294"/>
      <c r="I1985" s="169"/>
      <c r="J1985" s="167"/>
      <c r="K1985" s="169"/>
      <c r="L1985" s="167"/>
      <c r="M1985" s="169"/>
      <c r="N1985" s="167"/>
      <c r="O1985" s="169"/>
    </row>
    <row r="1986" spans="2:15" s="453" customFormat="1" ht="14" x14ac:dyDescent="0.2">
      <c r="B1986" s="302"/>
      <c r="C1986" s="790"/>
      <c r="D1986" s="790"/>
      <c r="E1986" s="790"/>
      <c r="F1986" s="790"/>
      <c r="G1986" s="790"/>
      <c r="H1986" s="298"/>
      <c r="I1986" s="169"/>
      <c r="J1986" s="167"/>
      <c r="K1986" s="169"/>
      <c r="L1986" s="167"/>
      <c r="M1986" s="169"/>
      <c r="N1986" s="167"/>
      <c r="O1986" s="169"/>
    </row>
    <row r="1987" spans="2:15" s="453" customFormat="1" ht="14" x14ac:dyDescent="0.2">
      <c r="B1987" s="291">
        <v>17</v>
      </c>
      <c r="C1987" s="598" t="s">
        <v>955</v>
      </c>
      <c r="D1987" s="598"/>
      <c r="E1987" s="598"/>
      <c r="F1987" s="598"/>
      <c r="G1987" s="598"/>
      <c r="H1987" s="292"/>
      <c r="I1987" s="168" t="s">
        <v>211</v>
      </c>
      <c r="J1987" s="166" t="s">
        <v>211</v>
      </c>
      <c r="K1987" s="168" t="s">
        <v>211</v>
      </c>
      <c r="L1987" s="166" t="s">
        <v>211</v>
      </c>
      <c r="M1987" s="168" t="s">
        <v>211</v>
      </c>
      <c r="N1987" s="166" t="s">
        <v>211</v>
      </c>
      <c r="O1987" s="168" t="s">
        <v>211</v>
      </c>
    </row>
    <row r="1988" spans="2:15" s="453" customFormat="1" ht="14" x14ac:dyDescent="0.2">
      <c r="B1988" s="293"/>
      <c r="C1988" s="573" t="s">
        <v>823</v>
      </c>
      <c r="D1988" s="573"/>
      <c r="E1988" s="573"/>
      <c r="F1988" s="573"/>
      <c r="G1988" s="573"/>
      <c r="H1988" s="296"/>
      <c r="I1988" s="168" t="s">
        <v>211</v>
      </c>
      <c r="J1988" s="166" t="s">
        <v>211</v>
      </c>
      <c r="K1988" s="168" t="s">
        <v>211</v>
      </c>
      <c r="L1988" s="166" t="s">
        <v>211</v>
      </c>
      <c r="M1988" s="168" t="s">
        <v>211</v>
      </c>
      <c r="N1988" s="166" t="s">
        <v>211</v>
      </c>
      <c r="O1988" s="168" t="s">
        <v>211</v>
      </c>
    </row>
    <row r="1989" spans="2:15" s="453" customFormat="1" ht="14" x14ac:dyDescent="0.2">
      <c r="B1989" s="293"/>
      <c r="C1989" s="573" t="s">
        <v>897</v>
      </c>
      <c r="D1989" s="573"/>
      <c r="E1989" s="573"/>
      <c r="F1989" s="573"/>
      <c r="G1989" s="573"/>
      <c r="H1989" s="296"/>
      <c r="I1989" s="168" t="s">
        <v>211</v>
      </c>
      <c r="J1989" s="166" t="s">
        <v>211</v>
      </c>
      <c r="K1989" s="168" t="s">
        <v>211</v>
      </c>
      <c r="L1989" s="166" t="s">
        <v>211</v>
      </c>
      <c r="M1989" s="168" t="s">
        <v>211</v>
      </c>
      <c r="N1989" s="166" t="s">
        <v>211</v>
      </c>
      <c r="O1989" s="168" t="s">
        <v>211</v>
      </c>
    </row>
    <row r="1990" spans="2:15" s="453" customFormat="1" ht="14" x14ac:dyDescent="0.2">
      <c r="B1990" s="293"/>
      <c r="C1990" s="572" t="s">
        <v>906</v>
      </c>
      <c r="D1990" s="572"/>
      <c r="E1990" s="572"/>
      <c r="F1990" s="572"/>
      <c r="G1990" s="572"/>
      <c r="H1990" s="296"/>
      <c r="I1990" s="168" t="s">
        <v>211</v>
      </c>
      <c r="J1990" s="166" t="s">
        <v>211</v>
      </c>
      <c r="K1990" s="168" t="s">
        <v>211</v>
      </c>
      <c r="L1990" s="166" t="s">
        <v>211</v>
      </c>
      <c r="M1990" s="168" t="s">
        <v>211</v>
      </c>
      <c r="N1990" s="166" t="s">
        <v>211</v>
      </c>
      <c r="O1990" s="168" t="s">
        <v>211</v>
      </c>
    </row>
    <row r="1991" spans="2:15" s="453" customFormat="1" ht="14" x14ac:dyDescent="0.2">
      <c r="B1991" s="293"/>
      <c r="F1991" s="604" t="s">
        <v>907</v>
      </c>
      <c r="G1991" s="604"/>
      <c r="H1991" s="767"/>
      <c r="I1991" s="169"/>
      <c r="J1991" s="167"/>
      <c r="K1991" s="169"/>
      <c r="L1991" s="167"/>
      <c r="M1991" s="169"/>
      <c r="N1991" s="167"/>
      <c r="O1991" s="169"/>
    </row>
    <row r="1992" spans="2:15" s="453" customFormat="1" ht="14" x14ac:dyDescent="0.2">
      <c r="B1992" s="293"/>
      <c r="F1992" s="604" t="s">
        <v>956</v>
      </c>
      <c r="G1992" s="604"/>
      <c r="H1992" s="767"/>
      <c r="I1992" s="169"/>
      <c r="J1992" s="167"/>
      <c r="K1992" s="169"/>
      <c r="L1992" s="167"/>
      <c r="M1992" s="169"/>
      <c r="N1992" s="167"/>
      <c r="O1992" s="169"/>
    </row>
    <row r="1993" spans="2:15" s="453" customFormat="1" ht="14" x14ac:dyDescent="0.2">
      <c r="B1993" s="302"/>
      <c r="C1993" s="303"/>
      <c r="D1993" s="303"/>
      <c r="E1993" s="303"/>
      <c r="F1993" s="613" t="s">
        <v>604</v>
      </c>
      <c r="G1993" s="613"/>
      <c r="H1993" s="775"/>
      <c r="I1993" s="169"/>
      <c r="J1993" s="167"/>
      <c r="K1993" s="169"/>
      <c r="L1993" s="167"/>
      <c r="M1993" s="169"/>
      <c r="N1993" s="167"/>
      <c r="O1993" s="169"/>
    </row>
    <row r="1994" spans="2:15" s="453" customFormat="1" ht="14" x14ac:dyDescent="0.2">
      <c r="B1994" s="291">
        <v>18</v>
      </c>
      <c r="C1994" s="142"/>
      <c r="D1994" s="142"/>
      <c r="E1994" s="142"/>
      <c r="F1994" s="612" t="s">
        <v>775</v>
      </c>
      <c r="G1994" s="612"/>
      <c r="H1994" s="782"/>
      <c r="I1994" s="169"/>
      <c r="J1994" s="167"/>
      <c r="K1994" s="169"/>
      <c r="L1994" s="167"/>
      <c r="M1994" s="169"/>
      <c r="N1994" s="167"/>
      <c r="O1994" s="169"/>
    </row>
    <row r="1995" spans="2:15" s="453" customFormat="1" ht="14" x14ac:dyDescent="0.2">
      <c r="B1995" s="293"/>
      <c r="D1995" s="604" t="s">
        <v>801</v>
      </c>
      <c r="E1995" s="604"/>
      <c r="F1995" s="604"/>
      <c r="G1995" s="604"/>
      <c r="H1995" s="767"/>
      <c r="I1995" s="169"/>
      <c r="J1995" s="167"/>
      <c r="K1995" s="169"/>
      <c r="L1995" s="167"/>
      <c r="M1995" s="169"/>
      <c r="N1995" s="167"/>
      <c r="O1995" s="169"/>
    </row>
    <row r="1996" spans="2:15" s="453" customFormat="1" ht="14" x14ac:dyDescent="0.2">
      <c r="B1996" s="293"/>
      <c r="D1996" s="604" t="s">
        <v>957</v>
      </c>
      <c r="E1996" s="604"/>
      <c r="F1996" s="604"/>
      <c r="G1996" s="604"/>
      <c r="H1996" s="767"/>
      <c r="I1996" s="169"/>
      <c r="J1996" s="167"/>
      <c r="K1996" s="169"/>
      <c r="L1996" s="167"/>
      <c r="M1996" s="169"/>
      <c r="N1996" s="167"/>
      <c r="O1996" s="169"/>
    </row>
    <row r="1997" spans="2:15" s="453" customFormat="1" ht="14" x14ac:dyDescent="0.2">
      <c r="B1997" s="302"/>
      <c r="C1997" s="303"/>
      <c r="D1997" s="603" t="s">
        <v>803</v>
      </c>
      <c r="E1997" s="603"/>
      <c r="F1997" s="603"/>
      <c r="G1997" s="603"/>
      <c r="H1997" s="769"/>
      <c r="I1997" s="169"/>
      <c r="J1997" s="167"/>
      <c r="K1997" s="169"/>
      <c r="L1997" s="167"/>
      <c r="M1997" s="169"/>
      <c r="N1997" s="167"/>
      <c r="O1997" s="169"/>
    </row>
    <row r="1998" spans="2:15" s="453" customFormat="1" ht="14" x14ac:dyDescent="0.2">
      <c r="B1998" s="291" t="s">
        <v>958</v>
      </c>
      <c r="C1998" s="598" t="s">
        <v>912</v>
      </c>
      <c r="D1998" s="598"/>
      <c r="E1998" s="598"/>
      <c r="F1998" s="598"/>
      <c r="G1998" s="598"/>
      <c r="H1998" s="292"/>
      <c r="I1998" s="168" t="s">
        <v>211</v>
      </c>
      <c r="J1998" s="166" t="s">
        <v>211</v>
      </c>
      <c r="K1998" s="168" t="s">
        <v>211</v>
      </c>
      <c r="L1998" s="166" t="s">
        <v>211</v>
      </c>
      <c r="M1998" s="168" t="s">
        <v>211</v>
      </c>
      <c r="N1998" s="166" t="s">
        <v>211</v>
      </c>
      <c r="O1998" s="168" t="s">
        <v>211</v>
      </c>
    </row>
    <row r="1999" spans="2:15" s="453" customFormat="1" ht="14" x14ac:dyDescent="0.2">
      <c r="B1999" s="293"/>
      <c r="C1999" s="573" t="s">
        <v>913</v>
      </c>
      <c r="D1999" s="573"/>
      <c r="E1999" s="573"/>
      <c r="F1999" s="573"/>
      <c r="G1999" s="573"/>
      <c r="H1999" s="296"/>
      <c r="I1999" s="168" t="s">
        <v>211</v>
      </c>
      <c r="J1999" s="166" t="s">
        <v>211</v>
      </c>
      <c r="K1999" s="168" t="s">
        <v>211</v>
      </c>
      <c r="L1999" s="166" t="s">
        <v>211</v>
      </c>
      <c r="M1999" s="168" t="s">
        <v>211</v>
      </c>
      <c r="N1999" s="166" t="s">
        <v>211</v>
      </c>
      <c r="O1999" s="168" t="s">
        <v>211</v>
      </c>
    </row>
    <row r="2000" spans="2:15" s="453" customFormat="1" ht="14" x14ac:dyDescent="0.2">
      <c r="B2000" s="293"/>
      <c r="C2000" s="573" t="s">
        <v>914</v>
      </c>
      <c r="D2000" s="573"/>
      <c r="E2000" s="573"/>
      <c r="F2000" s="573"/>
      <c r="G2000" s="573"/>
      <c r="H2000" s="296"/>
      <c r="I2000" s="168" t="s">
        <v>211</v>
      </c>
      <c r="J2000" s="166" t="s">
        <v>211</v>
      </c>
      <c r="K2000" s="168" t="s">
        <v>211</v>
      </c>
      <c r="L2000" s="166" t="s">
        <v>211</v>
      </c>
      <c r="M2000" s="168" t="s">
        <v>211</v>
      </c>
      <c r="N2000" s="166" t="s">
        <v>211</v>
      </c>
      <c r="O2000" s="168" t="s">
        <v>211</v>
      </c>
    </row>
    <row r="2001" spans="2:15" s="453" customFormat="1" ht="14" x14ac:dyDescent="0.2">
      <c r="B2001" s="302"/>
      <c r="C2001" s="627" t="s">
        <v>915</v>
      </c>
      <c r="D2001" s="627"/>
      <c r="E2001" s="627"/>
      <c r="F2001" s="627"/>
      <c r="G2001" s="627"/>
      <c r="H2001" s="341"/>
      <c r="I2001" s="168" t="s">
        <v>211</v>
      </c>
      <c r="J2001" s="166" t="s">
        <v>211</v>
      </c>
      <c r="K2001" s="168" t="s">
        <v>211</v>
      </c>
      <c r="L2001" s="166" t="s">
        <v>211</v>
      </c>
      <c r="M2001" s="168" t="s">
        <v>211</v>
      </c>
      <c r="N2001" s="166" t="s">
        <v>211</v>
      </c>
      <c r="O2001" s="168" t="s">
        <v>211</v>
      </c>
    </row>
    <row r="2002" spans="2:15" s="453" customFormat="1" ht="14" x14ac:dyDescent="0.2">
      <c r="B2002" s="112"/>
      <c r="I2002" s="135"/>
      <c r="J2002" s="105"/>
      <c r="K2002" s="135"/>
      <c r="L2002" s="105"/>
      <c r="M2002" s="135"/>
      <c r="N2002" s="105"/>
      <c r="O2002" s="135"/>
    </row>
    <row r="2003" spans="2:15" s="453" customFormat="1" ht="14" x14ac:dyDescent="0.2">
      <c r="B2003" s="369" t="s">
        <v>959</v>
      </c>
      <c r="C2003" s="370"/>
      <c r="D2003" s="370"/>
      <c r="E2003" s="370"/>
      <c r="F2003" s="370"/>
      <c r="G2003" s="370"/>
      <c r="H2003" s="371"/>
      <c r="I2003" s="135"/>
      <c r="J2003" s="105"/>
      <c r="K2003" s="135"/>
      <c r="L2003" s="105"/>
      <c r="M2003" s="135"/>
      <c r="N2003" s="105"/>
      <c r="O2003" s="135"/>
    </row>
    <row r="2004" spans="2:15" s="453" customFormat="1" ht="14" x14ac:dyDescent="0.2">
      <c r="B2004" s="291">
        <v>1</v>
      </c>
      <c r="C2004" s="602" t="s">
        <v>960</v>
      </c>
      <c r="D2004" s="602"/>
      <c r="E2004" s="602"/>
      <c r="F2004" s="602"/>
      <c r="G2004" s="602"/>
      <c r="H2004" s="333"/>
      <c r="I2004" s="168" t="s">
        <v>211</v>
      </c>
      <c r="J2004" s="166" t="s">
        <v>211</v>
      </c>
      <c r="K2004" s="168" t="s">
        <v>211</v>
      </c>
      <c r="L2004" s="166" t="s">
        <v>211</v>
      </c>
      <c r="M2004" s="168" t="s">
        <v>211</v>
      </c>
      <c r="N2004" s="166" t="s">
        <v>211</v>
      </c>
      <c r="O2004" s="168" t="s">
        <v>211</v>
      </c>
    </row>
    <row r="2005" spans="2:15" s="453" customFormat="1" ht="14" x14ac:dyDescent="0.2">
      <c r="B2005" s="293"/>
      <c r="C2005" s="572"/>
      <c r="D2005" s="572"/>
      <c r="E2005" s="572"/>
      <c r="F2005" s="572"/>
      <c r="G2005" s="572"/>
      <c r="H2005" s="322"/>
      <c r="I2005" s="169"/>
      <c r="J2005" s="167"/>
      <c r="K2005" s="169"/>
      <c r="L2005" s="167"/>
      <c r="M2005" s="169"/>
      <c r="N2005" s="167"/>
      <c r="O2005" s="169"/>
    </row>
    <row r="2006" spans="2:15" s="453" customFormat="1" ht="14" x14ac:dyDescent="0.2">
      <c r="B2006" s="293"/>
      <c r="C2006" s="573" t="s">
        <v>961</v>
      </c>
      <c r="D2006" s="573"/>
      <c r="E2006" s="573"/>
      <c r="F2006" s="573"/>
      <c r="G2006" s="573"/>
      <c r="H2006" s="334"/>
      <c r="I2006" s="168" t="s">
        <v>211</v>
      </c>
      <c r="J2006" s="166" t="s">
        <v>211</v>
      </c>
      <c r="K2006" s="168" t="s">
        <v>211</v>
      </c>
      <c r="L2006" s="166" t="s">
        <v>211</v>
      </c>
      <c r="M2006" s="168" t="s">
        <v>211</v>
      </c>
      <c r="N2006" s="166" t="s">
        <v>211</v>
      </c>
      <c r="O2006" s="168" t="s">
        <v>211</v>
      </c>
    </row>
    <row r="2007" spans="2:15" s="453" customFormat="1" ht="14" x14ac:dyDescent="0.2">
      <c r="B2007" s="293"/>
      <c r="F2007" s="586" t="s">
        <v>727</v>
      </c>
      <c r="G2007" s="586"/>
      <c r="H2007" s="592"/>
      <c r="I2007" s="169"/>
      <c r="J2007" s="167"/>
      <c r="K2007" s="169"/>
      <c r="L2007" s="167"/>
      <c r="M2007" s="169"/>
      <c r="N2007" s="167"/>
      <c r="O2007" s="169"/>
    </row>
    <row r="2008" spans="2:15" s="453" customFormat="1" ht="14" x14ac:dyDescent="0.2">
      <c r="B2008" s="293"/>
      <c r="C2008" s="573" t="s">
        <v>919</v>
      </c>
      <c r="D2008" s="573"/>
      <c r="E2008" s="573"/>
      <c r="F2008" s="573"/>
      <c r="G2008" s="573"/>
      <c r="H2008" s="334"/>
      <c r="I2008" s="168" t="s">
        <v>211</v>
      </c>
      <c r="J2008" s="166" t="s">
        <v>211</v>
      </c>
      <c r="K2008" s="168" t="s">
        <v>211</v>
      </c>
      <c r="L2008" s="166" t="s">
        <v>211</v>
      </c>
      <c r="M2008" s="168" t="s">
        <v>211</v>
      </c>
      <c r="N2008" s="166" t="s">
        <v>211</v>
      </c>
      <c r="O2008" s="168" t="s">
        <v>211</v>
      </c>
    </row>
    <row r="2009" spans="2:15" s="453" customFormat="1" ht="14" x14ac:dyDescent="0.2">
      <c r="B2009" s="293"/>
      <c r="C2009" s="573" t="s">
        <v>728</v>
      </c>
      <c r="D2009" s="573"/>
      <c r="E2009" s="573"/>
      <c r="F2009" s="573"/>
      <c r="G2009" s="573"/>
      <c r="H2009" s="334"/>
      <c r="I2009" s="168" t="s">
        <v>211</v>
      </c>
      <c r="J2009" s="166" t="s">
        <v>211</v>
      </c>
      <c r="K2009" s="168" t="s">
        <v>211</v>
      </c>
      <c r="L2009" s="166" t="s">
        <v>211</v>
      </c>
      <c r="M2009" s="168" t="s">
        <v>211</v>
      </c>
      <c r="N2009" s="166" t="s">
        <v>211</v>
      </c>
      <c r="O2009" s="168" t="s">
        <v>211</v>
      </c>
    </row>
    <row r="2010" spans="2:15" s="453" customFormat="1" ht="14" x14ac:dyDescent="0.2">
      <c r="B2010" s="293"/>
      <c r="C2010" s="573" t="s">
        <v>729</v>
      </c>
      <c r="D2010" s="573"/>
      <c r="E2010" s="573"/>
      <c r="F2010" s="573"/>
      <c r="G2010" s="573"/>
      <c r="H2010" s="334"/>
      <c r="I2010" s="168" t="s">
        <v>211</v>
      </c>
      <c r="J2010" s="166" t="s">
        <v>211</v>
      </c>
      <c r="K2010" s="168" t="s">
        <v>211</v>
      </c>
      <c r="L2010" s="166" t="s">
        <v>211</v>
      </c>
      <c r="M2010" s="168" t="s">
        <v>211</v>
      </c>
      <c r="N2010" s="166" t="s">
        <v>211</v>
      </c>
      <c r="O2010" s="168" t="s">
        <v>211</v>
      </c>
    </row>
    <row r="2011" spans="2:15" s="453" customFormat="1" ht="14" x14ac:dyDescent="0.2">
      <c r="B2011" s="302"/>
      <c r="C2011" s="303"/>
      <c r="D2011" s="303"/>
      <c r="E2011" s="303"/>
      <c r="F2011" s="580" t="s">
        <v>920</v>
      </c>
      <c r="G2011" s="580"/>
      <c r="H2011" s="580"/>
      <c r="I2011" s="169"/>
      <c r="J2011" s="167"/>
      <c r="K2011" s="169"/>
      <c r="L2011" s="167"/>
      <c r="M2011" s="169"/>
      <c r="N2011" s="167"/>
      <c r="O2011" s="169"/>
    </row>
    <row r="2012" spans="2:15" s="453" customFormat="1" ht="14" x14ac:dyDescent="0.2">
      <c r="B2012" s="291">
        <v>2</v>
      </c>
      <c r="C2012" s="598" t="s">
        <v>730</v>
      </c>
      <c r="D2012" s="598"/>
      <c r="E2012" s="598"/>
      <c r="F2012" s="598"/>
      <c r="G2012" s="598"/>
      <c r="H2012" s="333"/>
      <c r="I2012" s="168" t="s">
        <v>211</v>
      </c>
      <c r="J2012" s="166" t="s">
        <v>211</v>
      </c>
      <c r="K2012" s="168" t="s">
        <v>211</v>
      </c>
      <c r="L2012" s="166" t="s">
        <v>211</v>
      </c>
      <c r="M2012" s="168" t="s">
        <v>211</v>
      </c>
      <c r="N2012" s="166" t="s">
        <v>211</v>
      </c>
      <c r="O2012" s="168" t="s">
        <v>211</v>
      </c>
    </row>
    <row r="2013" spans="2:15" s="453" customFormat="1" ht="14" x14ac:dyDescent="0.2">
      <c r="B2013" s="293"/>
      <c r="C2013" s="572" t="s">
        <v>962</v>
      </c>
      <c r="D2013" s="572"/>
      <c r="E2013" s="572"/>
      <c r="F2013" s="572"/>
      <c r="G2013" s="572"/>
      <c r="H2013" s="334"/>
      <c r="I2013" s="168" t="s">
        <v>211</v>
      </c>
      <c r="J2013" s="166" t="s">
        <v>211</v>
      </c>
      <c r="K2013" s="168" t="s">
        <v>211</v>
      </c>
      <c r="L2013" s="166" t="s">
        <v>211</v>
      </c>
      <c r="M2013" s="168" t="s">
        <v>211</v>
      </c>
      <c r="N2013" s="166" t="s">
        <v>211</v>
      </c>
      <c r="O2013" s="168" t="s">
        <v>211</v>
      </c>
    </row>
    <row r="2014" spans="2:15" s="453" customFormat="1" ht="14" x14ac:dyDescent="0.2">
      <c r="B2014" s="293"/>
      <c r="C2014" s="572"/>
      <c r="D2014" s="572"/>
      <c r="E2014" s="572"/>
      <c r="F2014" s="572"/>
      <c r="G2014" s="572"/>
      <c r="H2014" s="322"/>
      <c r="I2014" s="169"/>
      <c r="J2014" s="167"/>
      <c r="K2014" s="169"/>
      <c r="L2014" s="167"/>
      <c r="M2014" s="169"/>
      <c r="N2014" s="167"/>
      <c r="O2014" s="169"/>
    </row>
    <row r="2015" spans="2:15" s="453" customFormat="1" ht="14" x14ac:dyDescent="0.2">
      <c r="B2015" s="293"/>
      <c r="C2015" s="572" t="s">
        <v>963</v>
      </c>
      <c r="D2015" s="572"/>
      <c r="E2015" s="572"/>
      <c r="F2015" s="572"/>
      <c r="G2015" s="572"/>
      <c r="H2015" s="334"/>
      <c r="I2015" s="168" t="s">
        <v>211</v>
      </c>
      <c r="J2015" s="166" t="s">
        <v>211</v>
      </c>
      <c r="K2015" s="168" t="s">
        <v>211</v>
      </c>
      <c r="L2015" s="166" t="s">
        <v>211</v>
      </c>
      <c r="M2015" s="168" t="s">
        <v>211</v>
      </c>
      <c r="N2015" s="166" t="s">
        <v>211</v>
      </c>
      <c r="O2015" s="168" t="s">
        <v>211</v>
      </c>
    </row>
    <row r="2016" spans="2:15" s="453" customFormat="1" ht="14" x14ac:dyDescent="0.2">
      <c r="B2016" s="293"/>
      <c r="C2016" s="572"/>
      <c r="D2016" s="572"/>
      <c r="E2016" s="572"/>
      <c r="F2016" s="572"/>
      <c r="G2016" s="572"/>
      <c r="H2016" s="322"/>
      <c r="I2016" s="169"/>
      <c r="J2016" s="167"/>
      <c r="K2016" s="169"/>
      <c r="L2016" s="167"/>
      <c r="M2016" s="169"/>
      <c r="N2016" s="167"/>
      <c r="O2016" s="169"/>
    </row>
    <row r="2017" spans="2:15" s="453" customFormat="1" ht="14" x14ac:dyDescent="0.2">
      <c r="B2017" s="293"/>
      <c r="C2017" s="595" t="s">
        <v>964</v>
      </c>
      <c r="D2017" s="595"/>
      <c r="E2017" s="595"/>
      <c r="F2017" s="595"/>
      <c r="G2017" s="595"/>
      <c r="H2017" s="334"/>
      <c r="I2017" s="168" t="s">
        <v>211</v>
      </c>
      <c r="J2017" s="166" t="s">
        <v>211</v>
      </c>
      <c r="K2017" s="168" t="s">
        <v>211</v>
      </c>
      <c r="L2017" s="166" t="s">
        <v>211</v>
      </c>
      <c r="M2017" s="168" t="s">
        <v>211</v>
      </c>
      <c r="N2017" s="166" t="s">
        <v>211</v>
      </c>
      <c r="O2017" s="168" t="s">
        <v>211</v>
      </c>
    </row>
    <row r="2018" spans="2:15" s="453" customFormat="1" ht="14" x14ac:dyDescent="0.2">
      <c r="B2018" s="293"/>
      <c r="C2018" s="595"/>
      <c r="D2018" s="595"/>
      <c r="E2018" s="595"/>
      <c r="F2018" s="595"/>
      <c r="G2018" s="595"/>
      <c r="H2018" s="322"/>
      <c r="I2018" s="169"/>
      <c r="J2018" s="167"/>
      <c r="K2018" s="169"/>
      <c r="L2018" s="167"/>
      <c r="M2018" s="169"/>
      <c r="N2018" s="167"/>
      <c r="O2018" s="169"/>
    </row>
    <row r="2019" spans="2:15" s="453" customFormat="1" ht="14" x14ac:dyDescent="0.2">
      <c r="B2019" s="293"/>
      <c r="D2019" s="770" t="s">
        <v>965</v>
      </c>
      <c r="E2019" s="770"/>
      <c r="F2019" s="770"/>
      <c r="G2019" s="770"/>
      <c r="H2019" s="811"/>
      <c r="I2019" s="169"/>
      <c r="J2019" s="167"/>
      <c r="K2019" s="169"/>
      <c r="L2019" s="167"/>
      <c r="M2019" s="169"/>
      <c r="N2019" s="167"/>
      <c r="O2019" s="169"/>
    </row>
    <row r="2020" spans="2:15" s="453" customFormat="1" ht="14" x14ac:dyDescent="0.2">
      <c r="B2020" s="302"/>
      <c r="C2020" s="303"/>
      <c r="D2020" s="303"/>
      <c r="E2020" s="303"/>
      <c r="F2020" s="613" t="s">
        <v>966</v>
      </c>
      <c r="G2020" s="613"/>
      <c r="H2020" s="613"/>
      <c r="I2020" s="169"/>
      <c r="J2020" s="167"/>
      <c r="K2020" s="169"/>
      <c r="L2020" s="167"/>
      <c r="M2020" s="169"/>
      <c r="N2020" s="167"/>
      <c r="O2020" s="169"/>
    </row>
    <row r="2021" spans="2:15" s="453" customFormat="1" ht="14" x14ac:dyDescent="0.2">
      <c r="B2021" s="291">
        <v>3</v>
      </c>
      <c r="C2021" s="602" t="s">
        <v>967</v>
      </c>
      <c r="D2021" s="602"/>
      <c r="E2021" s="602"/>
      <c r="F2021" s="602"/>
      <c r="G2021" s="602"/>
      <c r="H2021" s="333"/>
      <c r="I2021" s="168" t="s">
        <v>211</v>
      </c>
      <c r="J2021" s="166" t="s">
        <v>211</v>
      </c>
      <c r="K2021" s="168" t="s">
        <v>211</v>
      </c>
      <c r="L2021" s="166" t="s">
        <v>211</v>
      </c>
      <c r="M2021" s="168" t="s">
        <v>211</v>
      </c>
      <c r="N2021" s="166" t="s">
        <v>211</v>
      </c>
      <c r="O2021" s="168" t="s">
        <v>211</v>
      </c>
    </row>
    <row r="2022" spans="2:15" s="453" customFormat="1" ht="14" x14ac:dyDescent="0.2">
      <c r="B2022" s="293"/>
      <c r="C2022" s="572"/>
      <c r="D2022" s="572"/>
      <c r="E2022" s="572"/>
      <c r="F2022" s="572"/>
      <c r="G2022" s="572"/>
      <c r="H2022" s="322"/>
      <c r="I2022" s="169"/>
      <c r="J2022" s="167"/>
      <c r="K2022" s="169"/>
      <c r="L2022" s="167"/>
      <c r="M2022" s="169"/>
      <c r="N2022" s="167"/>
      <c r="O2022" s="169"/>
    </row>
    <row r="2023" spans="2:15" s="453" customFormat="1" ht="14" x14ac:dyDescent="0.2">
      <c r="B2023" s="293"/>
      <c r="C2023" s="573" t="s">
        <v>860</v>
      </c>
      <c r="D2023" s="573"/>
      <c r="E2023" s="573"/>
      <c r="F2023" s="573"/>
      <c r="G2023" s="573"/>
      <c r="H2023" s="334"/>
      <c r="I2023" s="168" t="s">
        <v>211</v>
      </c>
      <c r="J2023" s="166" t="s">
        <v>211</v>
      </c>
      <c r="K2023" s="168" t="s">
        <v>211</v>
      </c>
      <c r="L2023" s="166" t="s">
        <v>211</v>
      </c>
      <c r="M2023" s="168" t="s">
        <v>211</v>
      </c>
      <c r="N2023" s="166" t="s">
        <v>211</v>
      </c>
      <c r="O2023" s="168" t="s">
        <v>211</v>
      </c>
    </row>
    <row r="2024" spans="2:15" s="453" customFormat="1" ht="14" x14ac:dyDescent="0.2">
      <c r="B2024" s="293"/>
      <c r="C2024" s="573" t="s">
        <v>739</v>
      </c>
      <c r="D2024" s="573"/>
      <c r="E2024" s="573"/>
      <c r="F2024" s="573"/>
      <c r="G2024" s="573"/>
      <c r="H2024" s="334"/>
      <c r="I2024" s="168" t="s">
        <v>211</v>
      </c>
      <c r="J2024" s="166" t="s">
        <v>211</v>
      </c>
      <c r="K2024" s="168" t="s">
        <v>211</v>
      </c>
      <c r="L2024" s="166" t="s">
        <v>211</v>
      </c>
      <c r="M2024" s="168" t="s">
        <v>211</v>
      </c>
      <c r="N2024" s="166" t="s">
        <v>211</v>
      </c>
      <c r="O2024" s="168" t="s">
        <v>211</v>
      </c>
    </row>
    <row r="2025" spans="2:15" s="453" customFormat="1" ht="14" x14ac:dyDescent="0.2">
      <c r="B2025" s="293"/>
      <c r="F2025" s="795" t="s">
        <v>861</v>
      </c>
      <c r="G2025" s="795"/>
      <c r="H2025" s="796"/>
      <c r="I2025" s="169"/>
      <c r="J2025" s="167"/>
      <c r="K2025" s="169"/>
      <c r="L2025" s="167"/>
      <c r="M2025" s="169"/>
      <c r="N2025" s="167"/>
      <c r="O2025" s="169"/>
    </row>
    <row r="2026" spans="2:15" s="453" customFormat="1" ht="14" x14ac:dyDescent="0.2">
      <c r="B2026" s="293"/>
      <c r="F2026" s="795" t="s">
        <v>862</v>
      </c>
      <c r="G2026" s="795"/>
      <c r="H2026" s="796"/>
      <c r="I2026" s="169"/>
      <c r="J2026" s="167"/>
      <c r="K2026" s="169"/>
      <c r="L2026" s="167"/>
      <c r="M2026" s="169"/>
      <c r="N2026" s="167"/>
      <c r="O2026" s="169"/>
    </row>
    <row r="2027" spans="2:15" s="453" customFormat="1" ht="14" x14ac:dyDescent="0.2">
      <c r="B2027" s="302"/>
      <c r="C2027" s="303"/>
      <c r="D2027" s="303"/>
      <c r="E2027" s="303"/>
      <c r="F2027" s="613" t="s">
        <v>968</v>
      </c>
      <c r="G2027" s="613"/>
      <c r="H2027" s="613"/>
      <c r="I2027" s="169"/>
      <c r="J2027" s="167"/>
      <c r="K2027" s="169"/>
      <c r="L2027" s="167"/>
      <c r="M2027" s="169"/>
      <c r="N2027" s="167"/>
      <c r="O2027" s="169"/>
    </row>
    <row r="2028" spans="2:15" s="453" customFormat="1" ht="14" x14ac:dyDescent="0.2">
      <c r="B2028" s="291">
        <v>4</v>
      </c>
      <c r="C2028" s="812" t="s">
        <v>969</v>
      </c>
      <c r="D2028" s="812"/>
      <c r="E2028" s="812"/>
      <c r="F2028" s="812"/>
      <c r="G2028" s="812"/>
      <c r="H2028" s="142"/>
      <c r="I2028" s="169"/>
      <c r="J2028" s="167"/>
      <c r="K2028" s="169"/>
      <c r="L2028" s="167"/>
      <c r="M2028" s="169"/>
      <c r="N2028" s="167"/>
      <c r="O2028" s="169"/>
    </row>
    <row r="2029" spans="2:15" s="453" customFormat="1" ht="14" x14ac:dyDescent="0.2">
      <c r="B2029" s="293"/>
      <c r="C2029" s="788" t="s">
        <v>970</v>
      </c>
      <c r="D2029" s="788"/>
      <c r="E2029" s="788"/>
      <c r="F2029" s="788"/>
      <c r="G2029" s="788"/>
      <c r="H2029" s="322"/>
      <c r="I2029" s="169"/>
      <c r="J2029" s="167"/>
      <c r="K2029" s="169"/>
      <c r="L2029" s="167"/>
      <c r="M2029" s="169"/>
      <c r="N2029" s="167"/>
      <c r="O2029" s="169"/>
    </row>
    <row r="2030" spans="2:15" s="453" customFormat="1" ht="14" x14ac:dyDescent="0.2">
      <c r="B2030" s="293"/>
      <c r="C2030" s="626" t="s">
        <v>971</v>
      </c>
      <c r="D2030" s="626"/>
      <c r="E2030" s="626"/>
      <c r="F2030" s="626"/>
      <c r="G2030" s="626"/>
      <c r="H2030" s="322"/>
      <c r="I2030" s="169"/>
      <c r="J2030" s="167"/>
      <c r="K2030" s="169"/>
      <c r="L2030" s="167"/>
      <c r="M2030" s="169"/>
      <c r="N2030" s="167"/>
      <c r="O2030" s="169"/>
    </row>
    <row r="2031" spans="2:15" s="453" customFormat="1" ht="14" x14ac:dyDescent="0.2">
      <c r="B2031" s="293"/>
      <c r="C2031" s="626" t="s">
        <v>972</v>
      </c>
      <c r="D2031" s="626"/>
      <c r="E2031" s="365"/>
      <c r="F2031" s="626" t="s">
        <v>973</v>
      </c>
      <c r="G2031" s="626"/>
      <c r="H2031" s="322"/>
      <c r="I2031" s="169"/>
      <c r="J2031" s="167"/>
      <c r="K2031" s="169"/>
      <c r="L2031" s="167"/>
      <c r="M2031" s="169"/>
      <c r="N2031" s="167"/>
      <c r="O2031" s="169"/>
    </row>
    <row r="2032" spans="2:15" s="453" customFormat="1" ht="14" x14ac:dyDescent="0.2">
      <c r="B2032" s="293"/>
      <c r="C2032" s="626" t="s">
        <v>974</v>
      </c>
      <c r="D2032" s="626"/>
      <c r="E2032" s="365"/>
      <c r="F2032" s="626" t="s">
        <v>975</v>
      </c>
      <c r="G2032" s="626"/>
      <c r="H2032" s="322"/>
      <c r="I2032" s="169"/>
      <c r="J2032" s="167"/>
      <c r="K2032" s="169"/>
      <c r="L2032" s="167"/>
      <c r="M2032" s="169"/>
      <c r="N2032" s="167"/>
      <c r="O2032" s="169"/>
    </row>
    <row r="2033" spans="2:15" s="453" customFormat="1" ht="14" x14ac:dyDescent="0.2">
      <c r="B2033" s="293"/>
      <c r="C2033" s="626" t="s">
        <v>976</v>
      </c>
      <c r="D2033" s="626"/>
      <c r="E2033" s="365"/>
      <c r="F2033" s="626" t="s">
        <v>979</v>
      </c>
      <c r="G2033" s="626"/>
      <c r="H2033" s="322"/>
      <c r="I2033" s="169"/>
      <c r="J2033" s="167"/>
      <c r="K2033" s="169"/>
      <c r="L2033" s="167"/>
      <c r="M2033" s="169"/>
      <c r="N2033" s="167"/>
      <c r="O2033" s="169"/>
    </row>
    <row r="2034" spans="2:15" s="453" customFormat="1" ht="14" x14ac:dyDescent="0.2">
      <c r="B2034" s="293"/>
      <c r="C2034" s="626" t="s">
        <v>977</v>
      </c>
      <c r="D2034" s="626"/>
      <c r="E2034" s="365"/>
      <c r="F2034" s="626" t="s">
        <v>980</v>
      </c>
      <c r="G2034" s="626"/>
      <c r="H2034" s="322"/>
      <c r="I2034" s="169"/>
      <c r="J2034" s="167"/>
      <c r="K2034" s="169"/>
      <c r="L2034" s="167"/>
      <c r="M2034" s="169"/>
      <c r="N2034" s="167"/>
      <c r="O2034" s="169"/>
    </row>
    <row r="2035" spans="2:15" s="453" customFormat="1" ht="14" x14ac:dyDescent="0.2">
      <c r="B2035" s="293"/>
      <c r="C2035" s="626" t="s">
        <v>978</v>
      </c>
      <c r="D2035" s="626"/>
      <c r="E2035" s="365"/>
      <c r="F2035" s="626" t="s">
        <v>981</v>
      </c>
      <c r="G2035" s="626"/>
      <c r="H2035" s="322"/>
      <c r="I2035" s="169"/>
      <c r="J2035" s="167"/>
      <c r="K2035" s="169"/>
      <c r="L2035" s="167"/>
      <c r="M2035" s="169"/>
      <c r="N2035" s="167"/>
      <c r="O2035" s="169"/>
    </row>
    <row r="2036" spans="2:15" s="453" customFormat="1" ht="14" x14ac:dyDescent="0.2">
      <c r="B2036" s="293"/>
      <c r="C2036" s="625" t="s">
        <v>982</v>
      </c>
      <c r="D2036" s="625"/>
      <c r="E2036" s="813" t="s">
        <v>983</v>
      </c>
      <c r="F2036" s="813"/>
      <c r="G2036" s="813"/>
      <c r="H2036" s="322"/>
      <c r="I2036" s="169"/>
      <c r="J2036" s="167"/>
      <c r="K2036" s="169"/>
      <c r="L2036" s="167"/>
      <c r="M2036" s="169"/>
      <c r="N2036" s="167"/>
      <c r="O2036" s="169"/>
    </row>
    <row r="2037" spans="2:15" s="453" customFormat="1" ht="14" x14ac:dyDescent="0.2">
      <c r="B2037" s="293"/>
      <c r="C2037" s="626" t="s">
        <v>984</v>
      </c>
      <c r="D2037" s="626"/>
      <c r="E2037" s="626"/>
      <c r="F2037" s="626"/>
      <c r="G2037" s="626"/>
      <c r="H2037" s="322"/>
      <c r="I2037" s="169"/>
      <c r="J2037" s="167"/>
      <c r="K2037" s="169"/>
      <c r="L2037" s="167"/>
      <c r="M2037" s="169"/>
      <c r="N2037" s="167"/>
      <c r="O2037" s="169"/>
    </row>
    <row r="2038" spans="2:15" s="453" customFormat="1" ht="14" x14ac:dyDescent="0.2">
      <c r="B2038" s="302"/>
      <c r="C2038" s="580" t="s">
        <v>985</v>
      </c>
      <c r="D2038" s="580"/>
      <c r="E2038" s="580"/>
      <c r="F2038" s="580"/>
      <c r="G2038" s="580"/>
      <c r="H2038" s="303"/>
      <c r="I2038" s="169"/>
      <c r="J2038" s="167"/>
      <c r="K2038" s="169"/>
      <c r="L2038" s="167"/>
      <c r="M2038" s="169"/>
      <c r="N2038" s="167"/>
      <c r="O2038" s="169"/>
    </row>
    <row r="2039" spans="2:15" s="453" customFormat="1" ht="14" x14ac:dyDescent="0.2">
      <c r="B2039" s="291">
        <v>5</v>
      </c>
      <c r="C2039" s="598" t="s">
        <v>743</v>
      </c>
      <c r="D2039" s="598"/>
      <c r="E2039" s="598"/>
      <c r="F2039" s="598"/>
      <c r="G2039" s="598"/>
      <c r="H2039" s="333"/>
      <c r="I2039" s="168" t="s">
        <v>211</v>
      </c>
      <c r="J2039" s="166" t="s">
        <v>211</v>
      </c>
      <c r="K2039" s="168" t="s">
        <v>211</v>
      </c>
      <c r="L2039" s="166" t="s">
        <v>211</v>
      </c>
      <c r="M2039" s="168" t="s">
        <v>211</v>
      </c>
      <c r="N2039" s="166" t="s">
        <v>211</v>
      </c>
      <c r="O2039" s="168" t="s">
        <v>211</v>
      </c>
    </row>
    <row r="2040" spans="2:15" s="453" customFormat="1" ht="14" x14ac:dyDescent="0.2">
      <c r="B2040" s="293"/>
      <c r="F2040" s="604" t="s">
        <v>986</v>
      </c>
      <c r="G2040" s="604"/>
      <c r="H2040" s="605"/>
      <c r="I2040" s="169"/>
      <c r="J2040" s="167"/>
      <c r="K2040" s="169"/>
      <c r="L2040" s="167"/>
      <c r="M2040" s="169"/>
      <c r="N2040" s="167"/>
      <c r="O2040" s="169"/>
    </row>
    <row r="2041" spans="2:15" s="453" customFormat="1" ht="14" x14ac:dyDescent="0.2">
      <c r="B2041" s="293"/>
      <c r="C2041" s="595" t="s">
        <v>987</v>
      </c>
      <c r="D2041" s="595"/>
      <c r="E2041" s="595"/>
      <c r="F2041" s="595"/>
      <c r="G2041" s="595"/>
      <c r="H2041" s="334"/>
      <c r="I2041" s="168" t="s">
        <v>211</v>
      </c>
      <c r="J2041" s="166" t="s">
        <v>211</v>
      </c>
      <c r="K2041" s="168" t="s">
        <v>211</v>
      </c>
      <c r="L2041" s="166" t="s">
        <v>211</v>
      </c>
      <c r="M2041" s="168" t="s">
        <v>211</v>
      </c>
      <c r="N2041" s="166" t="s">
        <v>211</v>
      </c>
      <c r="O2041" s="168" t="s">
        <v>211</v>
      </c>
    </row>
    <row r="2042" spans="2:15" s="453" customFormat="1" ht="14" x14ac:dyDescent="0.2">
      <c r="B2042" s="293"/>
      <c r="C2042" s="595"/>
      <c r="D2042" s="595"/>
      <c r="E2042" s="595"/>
      <c r="F2042" s="595"/>
      <c r="G2042" s="595"/>
      <c r="H2042" s="322"/>
      <c r="I2042" s="169"/>
      <c r="J2042" s="167"/>
      <c r="K2042" s="169"/>
      <c r="L2042" s="167"/>
      <c r="M2042" s="169"/>
      <c r="N2042" s="167"/>
      <c r="O2042" s="169"/>
    </row>
    <row r="2043" spans="2:15" s="453" customFormat="1" ht="14" x14ac:dyDescent="0.2">
      <c r="B2043" s="293"/>
      <c r="C2043" s="595"/>
      <c r="D2043" s="595"/>
      <c r="E2043" s="595"/>
      <c r="F2043" s="595"/>
      <c r="G2043" s="595"/>
      <c r="H2043" s="322"/>
      <c r="I2043" s="169"/>
      <c r="J2043" s="167"/>
      <c r="K2043" s="169"/>
      <c r="L2043" s="167"/>
      <c r="M2043" s="169"/>
      <c r="N2043" s="167"/>
      <c r="O2043" s="169"/>
    </row>
    <row r="2044" spans="2:15" s="453" customFormat="1" ht="14" x14ac:dyDescent="0.2">
      <c r="B2044" s="293"/>
      <c r="C2044" s="595"/>
      <c r="D2044" s="595"/>
      <c r="E2044" s="595"/>
      <c r="F2044" s="595"/>
      <c r="G2044" s="595"/>
      <c r="H2044" s="322"/>
      <c r="I2044" s="169"/>
      <c r="J2044" s="167"/>
      <c r="K2044" s="169"/>
      <c r="L2044" s="167"/>
      <c r="M2044" s="169"/>
      <c r="N2044" s="167"/>
      <c r="O2044" s="169"/>
    </row>
    <row r="2045" spans="2:15" s="453" customFormat="1" ht="14" x14ac:dyDescent="0.2">
      <c r="B2045" s="293"/>
      <c r="C2045" s="595"/>
      <c r="D2045" s="595"/>
      <c r="E2045" s="595"/>
      <c r="F2045" s="595"/>
      <c r="G2045" s="595"/>
      <c r="H2045" s="322"/>
      <c r="I2045" s="169"/>
      <c r="J2045" s="167"/>
      <c r="K2045" s="169"/>
      <c r="L2045" s="167"/>
      <c r="M2045" s="169"/>
      <c r="N2045" s="167"/>
      <c r="O2045" s="169"/>
    </row>
    <row r="2046" spans="2:15" s="453" customFormat="1" ht="14" x14ac:dyDescent="0.2">
      <c r="B2046" s="293"/>
      <c r="C2046" s="573" t="s">
        <v>946</v>
      </c>
      <c r="D2046" s="573"/>
      <c r="E2046" s="573"/>
      <c r="F2046" s="573"/>
      <c r="G2046" s="573"/>
      <c r="H2046" s="334"/>
      <c r="I2046" s="168" t="s">
        <v>211</v>
      </c>
      <c r="J2046" s="166" t="s">
        <v>211</v>
      </c>
      <c r="K2046" s="168" t="s">
        <v>211</v>
      </c>
      <c r="L2046" s="166" t="s">
        <v>211</v>
      </c>
      <c r="M2046" s="168" t="s">
        <v>211</v>
      </c>
      <c r="N2046" s="166" t="s">
        <v>211</v>
      </c>
      <c r="O2046" s="168" t="s">
        <v>211</v>
      </c>
    </row>
    <row r="2047" spans="2:15" s="453" customFormat="1" ht="14" x14ac:dyDescent="0.2">
      <c r="B2047" s="293"/>
      <c r="F2047" s="586" t="s">
        <v>988</v>
      </c>
      <c r="G2047" s="586"/>
      <c r="H2047" s="592"/>
      <c r="I2047" s="169"/>
      <c r="J2047" s="167"/>
      <c r="K2047" s="169"/>
      <c r="L2047" s="167"/>
      <c r="M2047" s="169"/>
      <c r="N2047" s="167"/>
      <c r="O2047" s="169"/>
    </row>
    <row r="2048" spans="2:15" s="453" customFormat="1" ht="14" x14ac:dyDescent="0.2">
      <c r="B2048" s="293"/>
      <c r="F2048" s="586" t="s">
        <v>989</v>
      </c>
      <c r="G2048" s="586"/>
      <c r="H2048" s="592"/>
      <c r="I2048" s="169"/>
      <c r="J2048" s="167"/>
      <c r="K2048" s="169"/>
      <c r="L2048" s="167"/>
      <c r="M2048" s="169"/>
      <c r="N2048" s="167"/>
      <c r="O2048" s="169"/>
    </row>
    <row r="2049" spans="2:15" s="453" customFormat="1" ht="14" x14ac:dyDescent="0.2">
      <c r="B2049" s="293"/>
      <c r="F2049" s="788" t="s">
        <v>990</v>
      </c>
      <c r="G2049" s="788"/>
      <c r="H2049" s="789"/>
      <c r="I2049" s="169"/>
      <c r="J2049" s="167"/>
      <c r="K2049" s="169"/>
      <c r="L2049" s="167"/>
      <c r="M2049" s="169"/>
      <c r="N2049" s="167"/>
      <c r="O2049" s="169"/>
    </row>
    <row r="2050" spans="2:15" s="453" customFormat="1" ht="14" x14ac:dyDescent="0.2">
      <c r="B2050" s="293"/>
      <c r="F2050" s="792" t="s">
        <v>991</v>
      </c>
      <c r="G2050" s="792"/>
      <c r="H2050" s="793"/>
      <c r="I2050" s="169"/>
      <c r="J2050" s="167"/>
      <c r="K2050" s="169"/>
      <c r="L2050" s="167"/>
      <c r="M2050" s="169"/>
      <c r="N2050" s="167"/>
      <c r="O2050" s="169"/>
    </row>
    <row r="2051" spans="2:15" s="453" customFormat="1" ht="14" x14ac:dyDescent="0.2">
      <c r="B2051" s="302"/>
      <c r="C2051" s="303"/>
      <c r="D2051" s="303"/>
      <c r="E2051" s="303"/>
      <c r="F2051" s="603" t="s">
        <v>992</v>
      </c>
      <c r="G2051" s="603"/>
      <c r="H2051" s="603"/>
      <c r="I2051" s="169"/>
      <c r="J2051" s="167"/>
      <c r="K2051" s="169"/>
      <c r="L2051" s="167"/>
      <c r="M2051" s="169"/>
      <c r="N2051" s="167"/>
      <c r="O2051" s="169"/>
    </row>
    <row r="2052" spans="2:15" s="453" customFormat="1" ht="14" x14ac:dyDescent="0.2">
      <c r="B2052" s="291">
        <v>6</v>
      </c>
      <c r="C2052" s="614" t="s">
        <v>749</v>
      </c>
      <c r="D2052" s="614"/>
      <c r="E2052" s="614"/>
      <c r="F2052" s="614"/>
      <c r="G2052" s="614"/>
      <c r="H2052" s="333"/>
      <c r="I2052" s="168" t="s">
        <v>211</v>
      </c>
      <c r="J2052" s="166" t="s">
        <v>211</v>
      </c>
      <c r="K2052" s="168" t="s">
        <v>211</v>
      </c>
      <c r="L2052" s="166" t="s">
        <v>211</v>
      </c>
      <c r="M2052" s="168" t="s">
        <v>211</v>
      </c>
      <c r="N2052" s="166" t="s">
        <v>211</v>
      </c>
      <c r="O2052" s="168" t="s">
        <v>211</v>
      </c>
    </row>
    <row r="2053" spans="2:15" s="453" customFormat="1" ht="14" x14ac:dyDescent="0.2">
      <c r="B2053" s="293"/>
      <c r="C2053" s="572" t="s">
        <v>993</v>
      </c>
      <c r="D2053" s="572"/>
      <c r="E2053" s="572"/>
      <c r="F2053" s="572"/>
      <c r="G2053" s="572"/>
      <c r="H2053" s="334"/>
      <c r="I2053" s="168" t="s">
        <v>211</v>
      </c>
      <c r="J2053" s="166" t="s">
        <v>211</v>
      </c>
      <c r="K2053" s="168" t="s">
        <v>211</v>
      </c>
      <c r="L2053" s="166" t="s">
        <v>211</v>
      </c>
      <c r="M2053" s="168" t="s">
        <v>211</v>
      </c>
      <c r="N2053" s="166" t="s">
        <v>211</v>
      </c>
      <c r="O2053" s="168" t="s">
        <v>211</v>
      </c>
    </row>
    <row r="2054" spans="2:15" s="453" customFormat="1" ht="14" x14ac:dyDescent="0.2">
      <c r="B2054" s="293"/>
      <c r="C2054" s="572"/>
      <c r="D2054" s="572"/>
      <c r="E2054" s="572"/>
      <c r="F2054" s="572"/>
      <c r="G2054" s="572"/>
      <c r="H2054" s="322"/>
      <c r="I2054" s="169"/>
      <c r="J2054" s="167"/>
      <c r="K2054" s="169"/>
      <c r="L2054" s="167"/>
      <c r="M2054" s="169"/>
      <c r="N2054" s="167"/>
      <c r="O2054" s="169"/>
    </row>
    <row r="2055" spans="2:15" s="453" customFormat="1" ht="14" x14ac:dyDescent="0.2">
      <c r="B2055" s="293"/>
      <c r="C2055" s="572" t="s">
        <v>994</v>
      </c>
      <c r="D2055" s="572"/>
      <c r="E2055" s="572"/>
      <c r="F2055" s="572"/>
      <c r="G2055" s="572"/>
      <c r="H2055" s="334"/>
      <c r="I2055" s="168" t="s">
        <v>211</v>
      </c>
      <c r="J2055" s="166" t="s">
        <v>211</v>
      </c>
      <c r="K2055" s="168" t="s">
        <v>211</v>
      </c>
      <c r="L2055" s="166" t="s">
        <v>211</v>
      </c>
      <c r="M2055" s="168" t="s">
        <v>211</v>
      </c>
      <c r="N2055" s="166" t="s">
        <v>211</v>
      </c>
      <c r="O2055" s="168" t="s">
        <v>211</v>
      </c>
    </row>
    <row r="2056" spans="2:15" s="453" customFormat="1" ht="14" x14ac:dyDescent="0.2">
      <c r="B2056" s="293"/>
      <c r="C2056" s="572"/>
      <c r="D2056" s="572"/>
      <c r="E2056" s="572"/>
      <c r="F2056" s="572"/>
      <c r="G2056" s="572"/>
      <c r="H2056" s="322"/>
      <c r="I2056" s="169"/>
      <c r="J2056" s="167"/>
      <c r="K2056" s="169"/>
      <c r="L2056" s="167"/>
      <c r="M2056" s="169"/>
      <c r="N2056" s="167"/>
      <c r="O2056" s="169"/>
    </row>
    <row r="2057" spans="2:15" s="453" customFormat="1" ht="14" x14ac:dyDescent="0.2">
      <c r="B2057" s="293"/>
      <c r="C2057" s="573" t="s">
        <v>995</v>
      </c>
      <c r="D2057" s="573"/>
      <c r="E2057" s="573"/>
      <c r="F2057" s="573"/>
      <c r="G2057" s="573"/>
      <c r="H2057" s="334"/>
      <c r="I2057" s="168" t="s">
        <v>211</v>
      </c>
      <c r="J2057" s="166" t="s">
        <v>211</v>
      </c>
      <c r="K2057" s="168" t="s">
        <v>211</v>
      </c>
      <c r="L2057" s="166" t="s">
        <v>211</v>
      </c>
      <c r="M2057" s="168" t="s">
        <v>211</v>
      </c>
      <c r="N2057" s="166" t="s">
        <v>211</v>
      </c>
      <c r="O2057" s="168" t="s">
        <v>211</v>
      </c>
    </row>
    <row r="2058" spans="2:15" s="453" customFormat="1" ht="14" x14ac:dyDescent="0.2">
      <c r="B2058" s="293"/>
      <c r="F2058" s="788" t="s">
        <v>996</v>
      </c>
      <c r="G2058" s="788"/>
      <c r="H2058" s="789"/>
      <c r="I2058" s="169"/>
      <c r="J2058" s="167"/>
      <c r="K2058" s="169"/>
      <c r="L2058" s="167"/>
      <c r="M2058" s="169"/>
      <c r="N2058" s="167"/>
      <c r="O2058" s="169"/>
    </row>
    <row r="2059" spans="2:15" s="453" customFormat="1" ht="14" x14ac:dyDescent="0.2">
      <c r="B2059" s="293"/>
      <c r="F2059" s="372" t="s">
        <v>1046</v>
      </c>
      <c r="G2059" s="373" t="s">
        <v>1047</v>
      </c>
      <c r="H2059" s="374"/>
      <c r="I2059" s="169"/>
      <c r="J2059" s="167"/>
      <c r="K2059" s="169"/>
      <c r="L2059" s="167"/>
      <c r="M2059" s="169"/>
      <c r="N2059" s="167"/>
      <c r="O2059" s="169"/>
    </row>
    <row r="2060" spans="2:15" s="453" customFormat="1" ht="14" x14ac:dyDescent="0.2">
      <c r="B2060" s="293"/>
      <c r="F2060" s="604" t="s">
        <v>997</v>
      </c>
      <c r="G2060" s="604"/>
      <c r="H2060" s="605"/>
      <c r="I2060" s="169"/>
      <c r="J2060" s="167"/>
      <c r="K2060" s="169"/>
      <c r="L2060" s="167"/>
      <c r="M2060" s="169"/>
      <c r="N2060" s="167"/>
      <c r="O2060" s="169"/>
    </row>
    <row r="2061" spans="2:15" s="453" customFormat="1" ht="14" x14ac:dyDescent="0.2">
      <c r="B2061" s="302"/>
      <c r="C2061" s="303"/>
      <c r="D2061" s="303"/>
      <c r="E2061" s="303"/>
      <c r="F2061" s="580" t="s">
        <v>998</v>
      </c>
      <c r="G2061" s="580"/>
      <c r="H2061" s="580"/>
      <c r="I2061" s="169"/>
      <c r="J2061" s="167"/>
      <c r="K2061" s="169"/>
      <c r="L2061" s="167"/>
      <c r="M2061" s="169"/>
      <c r="N2061" s="167"/>
      <c r="O2061" s="169"/>
    </row>
    <row r="2062" spans="2:15" s="453" customFormat="1" ht="14" x14ac:dyDescent="0.2">
      <c r="B2062" s="291">
        <v>7</v>
      </c>
      <c r="C2062" s="602" t="s">
        <v>999</v>
      </c>
      <c r="D2062" s="602"/>
      <c r="E2062" s="602"/>
      <c r="F2062" s="602"/>
      <c r="G2062" s="602"/>
      <c r="H2062" s="333"/>
      <c r="I2062" s="168" t="s">
        <v>211</v>
      </c>
      <c r="J2062" s="166" t="s">
        <v>211</v>
      </c>
      <c r="K2062" s="168" t="s">
        <v>211</v>
      </c>
      <c r="L2062" s="166" t="s">
        <v>211</v>
      </c>
      <c r="M2062" s="168" t="s">
        <v>211</v>
      </c>
      <c r="N2062" s="166" t="s">
        <v>211</v>
      </c>
      <c r="O2062" s="168" t="s">
        <v>211</v>
      </c>
    </row>
    <row r="2063" spans="2:15" s="453" customFormat="1" ht="14" x14ac:dyDescent="0.2">
      <c r="B2063" s="293"/>
      <c r="C2063" s="572"/>
      <c r="D2063" s="572"/>
      <c r="E2063" s="572"/>
      <c r="F2063" s="572"/>
      <c r="G2063" s="572"/>
      <c r="H2063" s="322"/>
      <c r="I2063" s="169"/>
      <c r="J2063" s="167"/>
      <c r="K2063" s="169"/>
      <c r="L2063" s="167"/>
      <c r="M2063" s="169"/>
      <c r="N2063" s="167"/>
      <c r="O2063" s="169"/>
    </row>
    <row r="2064" spans="2:15" s="453" customFormat="1" ht="14" x14ac:dyDescent="0.2">
      <c r="B2064" s="293"/>
      <c r="C2064" s="573" t="s">
        <v>873</v>
      </c>
      <c r="D2064" s="573"/>
      <c r="E2064" s="573"/>
      <c r="F2064" s="573"/>
      <c r="G2064" s="573"/>
      <c r="H2064" s="334"/>
      <c r="I2064" s="168" t="s">
        <v>211</v>
      </c>
      <c r="J2064" s="166" t="s">
        <v>211</v>
      </c>
      <c r="K2064" s="168" t="s">
        <v>211</v>
      </c>
      <c r="L2064" s="166" t="s">
        <v>211</v>
      </c>
      <c r="M2064" s="168" t="s">
        <v>211</v>
      </c>
      <c r="N2064" s="166" t="s">
        <v>211</v>
      </c>
      <c r="O2064" s="168" t="s">
        <v>211</v>
      </c>
    </row>
    <row r="2065" spans="2:15" s="453" customFormat="1" ht="14" x14ac:dyDescent="0.2">
      <c r="B2065" s="293"/>
      <c r="C2065" s="573" t="s">
        <v>874</v>
      </c>
      <c r="D2065" s="573"/>
      <c r="E2065" s="573"/>
      <c r="F2065" s="573"/>
      <c r="G2065" s="573"/>
      <c r="H2065" s="334"/>
      <c r="I2065" s="168" t="s">
        <v>211</v>
      </c>
      <c r="J2065" s="166" t="s">
        <v>211</v>
      </c>
      <c r="K2065" s="168" t="s">
        <v>211</v>
      </c>
      <c r="L2065" s="166" t="s">
        <v>211</v>
      </c>
      <c r="M2065" s="168" t="s">
        <v>211</v>
      </c>
      <c r="N2065" s="166" t="s">
        <v>211</v>
      </c>
      <c r="O2065" s="168" t="s">
        <v>211</v>
      </c>
    </row>
    <row r="2066" spans="2:15" s="453" customFormat="1" ht="14" x14ac:dyDescent="0.2">
      <c r="B2066" s="293"/>
      <c r="C2066" s="572" t="s">
        <v>875</v>
      </c>
      <c r="D2066" s="572"/>
      <c r="E2066" s="572"/>
      <c r="F2066" s="572"/>
      <c r="G2066" s="572"/>
      <c r="H2066" s="334"/>
      <c r="I2066" s="168" t="s">
        <v>211</v>
      </c>
      <c r="J2066" s="166" t="s">
        <v>211</v>
      </c>
      <c r="K2066" s="168" t="s">
        <v>211</v>
      </c>
      <c r="L2066" s="166" t="s">
        <v>211</v>
      </c>
      <c r="M2066" s="168" t="s">
        <v>211</v>
      </c>
      <c r="N2066" s="166" t="s">
        <v>211</v>
      </c>
      <c r="O2066" s="168" t="s">
        <v>211</v>
      </c>
    </row>
    <row r="2067" spans="2:15" s="453" customFormat="1" ht="14" x14ac:dyDescent="0.2">
      <c r="B2067" s="293"/>
      <c r="C2067" s="572"/>
      <c r="D2067" s="572"/>
      <c r="E2067" s="572"/>
      <c r="F2067" s="572"/>
      <c r="G2067" s="572"/>
      <c r="H2067" s="322"/>
      <c r="I2067" s="169"/>
      <c r="J2067" s="167"/>
      <c r="K2067" s="169"/>
      <c r="L2067" s="167"/>
      <c r="M2067" s="169"/>
      <c r="N2067" s="167"/>
      <c r="O2067" s="169"/>
    </row>
    <row r="2068" spans="2:15" s="453" customFormat="1" ht="14" x14ac:dyDescent="0.2">
      <c r="B2068" s="293"/>
      <c r="C2068" s="573" t="s">
        <v>473</v>
      </c>
      <c r="D2068" s="573"/>
      <c r="E2068" s="573"/>
      <c r="F2068" s="573"/>
      <c r="G2068" s="573"/>
      <c r="H2068" s="334"/>
      <c r="I2068" s="168" t="s">
        <v>211</v>
      </c>
      <c r="J2068" s="166" t="s">
        <v>211</v>
      </c>
      <c r="K2068" s="168" t="s">
        <v>211</v>
      </c>
      <c r="L2068" s="166" t="s">
        <v>211</v>
      </c>
      <c r="M2068" s="168" t="s">
        <v>211</v>
      </c>
      <c r="N2068" s="166" t="s">
        <v>211</v>
      </c>
      <c r="O2068" s="168" t="s">
        <v>211</v>
      </c>
    </row>
    <row r="2069" spans="2:15" s="453" customFormat="1" ht="14" x14ac:dyDescent="0.2">
      <c r="B2069" s="293"/>
      <c r="F2069" s="586" t="s">
        <v>642</v>
      </c>
      <c r="G2069" s="586"/>
      <c r="H2069" s="592"/>
      <c r="I2069" s="169"/>
      <c r="J2069" s="167"/>
      <c r="K2069" s="169"/>
      <c r="L2069" s="167"/>
      <c r="M2069" s="169"/>
      <c r="N2069" s="167"/>
      <c r="O2069" s="169"/>
    </row>
    <row r="2070" spans="2:15" s="453" customFormat="1" ht="14" x14ac:dyDescent="0.2">
      <c r="B2070" s="293"/>
      <c r="F2070" s="604" t="s">
        <v>866</v>
      </c>
      <c r="G2070" s="604"/>
      <c r="H2070" s="605"/>
      <c r="I2070" s="169"/>
      <c r="J2070" s="167"/>
      <c r="K2070" s="169"/>
      <c r="L2070" s="167"/>
      <c r="M2070" s="169"/>
      <c r="N2070" s="167"/>
      <c r="O2070" s="169"/>
    </row>
    <row r="2071" spans="2:15" s="453" customFormat="1" ht="14" x14ac:dyDescent="0.2">
      <c r="B2071" s="302"/>
      <c r="C2071" s="303"/>
      <c r="D2071" s="303"/>
      <c r="E2071" s="303"/>
      <c r="F2071" s="599" t="s">
        <v>474</v>
      </c>
      <c r="G2071" s="599"/>
      <c r="H2071" s="599"/>
      <c r="I2071" s="169"/>
      <c r="J2071" s="167"/>
      <c r="K2071" s="169"/>
      <c r="L2071" s="167"/>
      <c r="M2071" s="169"/>
      <c r="N2071" s="167"/>
      <c r="O2071" s="169"/>
    </row>
    <row r="2072" spans="2:15" s="453" customFormat="1" ht="14" x14ac:dyDescent="0.2">
      <c r="B2072" s="291">
        <v>8</v>
      </c>
      <c r="C2072" s="602" t="s">
        <v>1000</v>
      </c>
      <c r="D2072" s="602"/>
      <c r="E2072" s="602"/>
      <c r="F2072" s="602"/>
      <c r="G2072" s="602"/>
      <c r="H2072" s="333"/>
      <c r="I2072" s="168" t="s">
        <v>211</v>
      </c>
      <c r="J2072" s="166" t="s">
        <v>211</v>
      </c>
      <c r="K2072" s="168" t="s">
        <v>211</v>
      </c>
      <c r="L2072" s="166" t="s">
        <v>211</v>
      </c>
      <c r="M2072" s="168" t="s">
        <v>211</v>
      </c>
      <c r="N2072" s="166" t="s">
        <v>211</v>
      </c>
      <c r="O2072" s="168" t="s">
        <v>211</v>
      </c>
    </row>
    <row r="2073" spans="2:15" s="453" customFormat="1" ht="14" x14ac:dyDescent="0.2">
      <c r="B2073" s="293"/>
      <c r="C2073" s="572"/>
      <c r="D2073" s="572"/>
      <c r="E2073" s="572"/>
      <c r="F2073" s="572"/>
      <c r="G2073" s="572"/>
      <c r="H2073" s="322"/>
      <c r="I2073" s="169"/>
      <c r="J2073" s="167"/>
      <c r="K2073" s="169"/>
      <c r="L2073" s="167"/>
      <c r="M2073" s="169"/>
      <c r="N2073" s="167"/>
      <c r="O2073" s="169"/>
    </row>
    <row r="2074" spans="2:15" s="453" customFormat="1" ht="14" x14ac:dyDescent="0.2">
      <c r="B2074" s="293"/>
      <c r="C2074" s="572" t="s">
        <v>934</v>
      </c>
      <c r="D2074" s="572"/>
      <c r="E2074" s="572"/>
      <c r="F2074" s="572"/>
      <c r="G2074" s="572"/>
      <c r="H2074" s="334"/>
      <c r="I2074" s="168" t="s">
        <v>211</v>
      </c>
      <c r="J2074" s="166" t="s">
        <v>211</v>
      </c>
      <c r="K2074" s="168" t="s">
        <v>211</v>
      </c>
      <c r="L2074" s="166" t="s">
        <v>211</v>
      </c>
      <c r="M2074" s="168" t="s">
        <v>211</v>
      </c>
      <c r="N2074" s="166" t="s">
        <v>211</v>
      </c>
      <c r="O2074" s="168" t="s">
        <v>211</v>
      </c>
    </row>
    <row r="2075" spans="2:15" s="453" customFormat="1" ht="14" x14ac:dyDescent="0.2">
      <c r="B2075" s="293"/>
      <c r="C2075" s="572"/>
      <c r="D2075" s="572"/>
      <c r="E2075" s="572"/>
      <c r="F2075" s="572"/>
      <c r="G2075" s="572"/>
      <c r="H2075" s="322"/>
      <c r="I2075" s="169"/>
      <c r="J2075" s="167"/>
      <c r="K2075" s="169"/>
      <c r="L2075" s="167"/>
      <c r="M2075" s="169"/>
      <c r="N2075" s="167"/>
      <c r="O2075" s="169"/>
    </row>
    <row r="2076" spans="2:15" s="453" customFormat="1" ht="14" x14ac:dyDescent="0.2">
      <c r="B2076" s="293"/>
      <c r="C2076" s="572" t="s">
        <v>1001</v>
      </c>
      <c r="D2076" s="572"/>
      <c r="E2076" s="572"/>
      <c r="F2076" s="572"/>
      <c r="G2076" s="572"/>
      <c r="H2076" s="334"/>
      <c r="I2076" s="168" t="s">
        <v>211</v>
      </c>
      <c r="J2076" s="166" t="s">
        <v>211</v>
      </c>
      <c r="K2076" s="168" t="s">
        <v>211</v>
      </c>
      <c r="L2076" s="166" t="s">
        <v>211</v>
      </c>
      <c r="M2076" s="168" t="s">
        <v>211</v>
      </c>
      <c r="N2076" s="166" t="s">
        <v>211</v>
      </c>
      <c r="O2076" s="168" t="s">
        <v>211</v>
      </c>
    </row>
    <row r="2077" spans="2:15" s="453" customFormat="1" ht="14" x14ac:dyDescent="0.2">
      <c r="B2077" s="293"/>
      <c r="C2077" s="572"/>
      <c r="D2077" s="572"/>
      <c r="E2077" s="572"/>
      <c r="F2077" s="572"/>
      <c r="G2077" s="572"/>
      <c r="H2077" s="322"/>
      <c r="I2077" s="169"/>
      <c r="J2077" s="167"/>
      <c r="K2077" s="169"/>
      <c r="L2077" s="167"/>
      <c r="M2077" s="169"/>
      <c r="N2077" s="167"/>
      <c r="O2077" s="169"/>
    </row>
    <row r="2078" spans="2:15" s="453" customFormat="1" ht="14" x14ac:dyDescent="0.2">
      <c r="B2078" s="293"/>
      <c r="C2078" s="573" t="s">
        <v>760</v>
      </c>
      <c r="D2078" s="573"/>
      <c r="E2078" s="573"/>
      <c r="F2078" s="573"/>
      <c r="G2078" s="573"/>
      <c r="H2078" s="334"/>
      <c r="I2078" s="168" t="s">
        <v>211</v>
      </c>
      <c r="J2078" s="166" t="s">
        <v>211</v>
      </c>
      <c r="K2078" s="168" t="s">
        <v>211</v>
      </c>
      <c r="L2078" s="166" t="s">
        <v>211</v>
      </c>
      <c r="M2078" s="168" t="s">
        <v>211</v>
      </c>
      <c r="N2078" s="166" t="s">
        <v>211</v>
      </c>
      <c r="O2078" s="168" t="s">
        <v>211</v>
      </c>
    </row>
    <row r="2079" spans="2:15" s="453" customFormat="1" ht="14" x14ac:dyDescent="0.2">
      <c r="B2079" s="293"/>
      <c r="F2079" s="586" t="s">
        <v>1002</v>
      </c>
      <c r="G2079" s="586"/>
      <c r="H2079" s="592"/>
      <c r="I2079" s="169"/>
      <c r="J2079" s="167"/>
      <c r="K2079" s="169"/>
      <c r="L2079" s="167"/>
      <c r="M2079" s="169"/>
      <c r="N2079" s="167"/>
      <c r="O2079" s="169"/>
    </row>
    <row r="2080" spans="2:15" s="453" customFormat="1" ht="14" x14ac:dyDescent="0.2">
      <c r="B2080" s="302"/>
      <c r="C2080" s="303"/>
      <c r="D2080" s="303"/>
      <c r="E2080" s="303"/>
      <c r="F2080" s="599" t="s">
        <v>474</v>
      </c>
      <c r="G2080" s="599"/>
      <c r="H2080" s="599"/>
      <c r="I2080" s="169"/>
      <c r="J2080" s="167"/>
      <c r="K2080" s="169"/>
      <c r="L2080" s="167"/>
      <c r="M2080" s="169"/>
      <c r="N2080" s="167"/>
      <c r="O2080" s="169"/>
    </row>
    <row r="2081" spans="2:15" s="453" customFormat="1" ht="14" x14ac:dyDescent="0.2">
      <c r="B2081" s="291">
        <v>9</v>
      </c>
      <c r="C2081" s="791" t="s">
        <v>1003</v>
      </c>
      <c r="D2081" s="791"/>
      <c r="E2081" s="780" t="s">
        <v>1004</v>
      </c>
      <c r="F2081" s="780"/>
      <c r="G2081" s="780"/>
      <c r="H2081" s="780"/>
      <c r="I2081" s="169"/>
      <c r="J2081" s="167"/>
      <c r="K2081" s="169"/>
      <c r="L2081" s="167"/>
      <c r="M2081" s="169"/>
      <c r="N2081" s="167"/>
      <c r="O2081" s="169"/>
    </row>
    <row r="2082" spans="2:15" s="453" customFormat="1" ht="14" x14ac:dyDescent="0.2">
      <c r="B2082" s="295" t="s">
        <v>333</v>
      </c>
      <c r="C2082" s="597" t="s">
        <v>1005</v>
      </c>
      <c r="D2082" s="597"/>
      <c r="E2082" s="597"/>
      <c r="F2082" s="597"/>
      <c r="G2082" s="597"/>
      <c r="H2082" s="322"/>
      <c r="I2082" s="169"/>
      <c r="J2082" s="167"/>
      <c r="K2082" s="169"/>
      <c r="L2082" s="167"/>
      <c r="M2082" s="169"/>
      <c r="N2082" s="167"/>
      <c r="O2082" s="169"/>
    </row>
    <row r="2083" spans="2:15" s="453" customFormat="1" ht="14" x14ac:dyDescent="0.2">
      <c r="B2083" s="295"/>
      <c r="C2083" s="597"/>
      <c r="D2083" s="597"/>
      <c r="E2083" s="597"/>
      <c r="F2083" s="597"/>
      <c r="G2083" s="597"/>
      <c r="H2083" s="322"/>
      <c r="I2083" s="169"/>
      <c r="J2083" s="167"/>
      <c r="K2083" s="169"/>
      <c r="L2083" s="167"/>
      <c r="M2083" s="169"/>
      <c r="N2083" s="167"/>
      <c r="O2083" s="169"/>
    </row>
    <row r="2084" spans="2:15" s="453" customFormat="1" ht="14" x14ac:dyDescent="0.2">
      <c r="B2084" s="293"/>
      <c r="C2084" s="573" t="s">
        <v>1006</v>
      </c>
      <c r="D2084" s="573"/>
      <c r="E2084" s="573"/>
      <c r="F2084" s="573"/>
      <c r="G2084" s="573"/>
      <c r="H2084" s="334"/>
      <c r="I2084" s="168" t="s">
        <v>211</v>
      </c>
      <c r="J2084" s="166" t="s">
        <v>211</v>
      </c>
      <c r="K2084" s="168" t="s">
        <v>211</v>
      </c>
      <c r="L2084" s="166" t="s">
        <v>211</v>
      </c>
      <c r="M2084" s="168" t="s">
        <v>211</v>
      </c>
      <c r="N2084" s="166" t="s">
        <v>211</v>
      </c>
      <c r="O2084" s="168" t="s">
        <v>211</v>
      </c>
    </row>
    <row r="2085" spans="2:15" s="453" customFormat="1" ht="14" x14ac:dyDescent="0.2">
      <c r="B2085" s="293"/>
      <c r="C2085" s="285" t="s">
        <v>1007</v>
      </c>
      <c r="D2085" s="375" t="s">
        <v>1008</v>
      </c>
      <c r="E2085" s="453" t="s">
        <v>1009</v>
      </c>
      <c r="H2085" s="334"/>
      <c r="I2085" s="168" t="s">
        <v>211</v>
      </c>
      <c r="J2085" s="166" t="s">
        <v>211</v>
      </c>
      <c r="K2085" s="168" t="s">
        <v>211</v>
      </c>
      <c r="L2085" s="166" t="s">
        <v>211</v>
      </c>
      <c r="M2085" s="168" t="s">
        <v>211</v>
      </c>
      <c r="N2085" s="166" t="s">
        <v>211</v>
      </c>
      <c r="O2085" s="168" t="s">
        <v>211</v>
      </c>
    </row>
    <row r="2086" spans="2:15" s="453" customFormat="1" ht="14" x14ac:dyDescent="0.2">
      <c r="B2086" s="293"/>
      <c r="E2086" s="453" t="s">
        <v>1010</v>
      </c>
      <c r="H2086" s="322"/>
      <c r="I2086" s="169"/>
      <c r="J2086" s="167"/>
      <c r="K2086" s="169"/>
      <c r="L2086" s="167"/>
      <c r="M2086" s="169"/>
      <c r="N2086" s="167"/>
      <c r="O2086" s="169"/>
    </row>
    <row r="2087" spans="2:15" s="453" customFormat="1" ht="14" x14ac:dyDescent="0.2">
      <c r="B2087" s="293"/>
      <c r="C2087" s="376" t="s">
        <v>1011</v>
      </c>
      <c r="D2087" s="376"/>
      <c r="E2087" s="453" t="s">
        <v>1013</v>
      </c>
      <c r="H2087" s="334"/>
      <c r="I2087" s="168" t="s">
        <v>211</v>
      </c>
      <c r="J2087" s="166" t="s">
        <v>211</v>
      </c>
      <c r="K2087" s="168" t="s">
        <v>211</v>
      </c>
      <c r="L2087" s="166" t="s">
        <v>211</v>
      </c>
      <c r="M2087" s="168" t="s">
        <v>211</v>
      </c>
      <c r="N2087" s="166" t="s">
        <v>211</v>
      </c>
      <c r="O2087" s="168" t="s">
        <v>211</v>
      </c>
    </row>
    <row r="2088" spans="2:15" s="453" customFormat="1" ht="14" x14ac:dyDescent="0.2">
      <c r="B2088" s="293"/>
      <c r="E2088" s="453" t="s">
        <v>1012</v>
      </c>
      <c r="H2088" s="322"/>
      <c r="I2088" s="169"/>
      <c r="J2088" s="167"/>
      <c r="K2088" s="169"/>
      <c r="L2088" s="167"/>
      <c r="M2088" s="169"/>
      <c r="N2088" s="167"/>
      <c r="O2088" s="169"/>
    </row>
    <row r="2089" spans="2:15" s="453" customFormat="1" ht="14" x14ac:dyDescent="0.2">
      <c r="B2089" s="302"/>
      <c r="C2089" s="303"/>
      <c r="D2089" s="303"/>
      <c r="E2089" s="303"/>
      <c r="F2089" s="580" t="s">
        <v>764</v>
      </c>
      <c r="G2089" s="580"/>
      <c r="H2089" s="580"/>
      <c r="I2089" s="169"/>
      <c r="J2089" s="167"/>
      <c r="K2089" s="169"/>
      <c r="L2089" s="167"/>
      <c r="M2089" s="169"/>
      <c r="N2089" s="167"/>
      <c r="O2089" s="169"/>
    </row>
    <row r="2090" spans="2:15" s="453" customFormat="1" ht="14" x14ac:dyDescent="0.2">
      <c r="B2090" s="291">
        <v>10</v>
      </c>
      <c r="C2090" s="614" t="s">
        <v>1367</v>
      </c>
      <c r="D2090" s="614"/>
      <c r="E2090" s="614"/>
      <c r="F2090" s="614"/>
      <c r="G2090" s="614"/>
      <c r="H2090" s="333"/>
      <c r="I2090" s="168" t="s">
        <v>211</v>
      </c>
      <c r="J2090" s="166" t="s">
        <v>211</v>
      </c>
      <c r="K2090" s="168" t="s">
        <v>211</v>
      </c>
      <c r="L2090" s="166" t="s">
        <v>211</v>
      </c>
      <c r="M2090" s="168" t="s">
        <v>211</v>
      </c>
      <c r="N2090" s="166" t="s">
        <v>211</v>
      </c>
      <c r="O2090" s="168" t="s">
        <v>211</v>
      </c>
    </row>
    <row r="2091" spans="2:15" s="453" customFormat="1" ht="14" x14ac:dyDescent="0.2">
      <c r="B2091" s="293"/>
      <c r="C2091" s="595" t="s">
        <v>1014</v>
      </c>
      <c r="D2091" s="595"/>
      <c r="E2091" s="595"/>
      <c r="F2091" s="595"/>
      <c r="G2091" s="595"/>
      <c r="H2091" s="334"/>
      <c r="I2091" s="168" t="s">
        <v>211</v>
      </c>
      <c r="J2091" s="166" t="s">
        <v>211</v>
      </c>
      <c r="K2091" s="168" t="s">
        <v>211</v>
      </c>
      <c r="L2091" s="166" t="s">
        <v>211</v>
      </c>
      <c r="M2091" s="168" t="s">
        <v>211</v>
      </c>
      <c r="N2091" s="166" t="s">
        <v>211</v>
      </c>
      <c r="O2091" s="168" t="s">
        <v>211</v>
      </c>
    </row>
    <row r="2092" spans="2:15" s="453" customFormat="1" ht="14" x14ac:dyDescent="0.2">
      <c r="B2092" s="293"/>
      <c r="C2092" s="595" t="s">
        <v>887</v>
      </c>
      <c r="D2092" s="595"/>
      <c r="E2092" s="595"/>
      <c r="F2092" s="595"/>
      <c r="G2092" s="595"/>
      <c r="H2092" s="334"/>
      <c r="I2092" s="168" t="s">
        <v>211</v>
      </c>
      <c r="J2092" s="166" t="s">
        <v>211</v>
      </c>
      <c r="K2092" s="168" t="s">
        <v>211</v>
      </c>
      <c r="L2092" s="166" t="s">
        <v>211</v>
      </c>
      <c r="M2092" s="168" t="s">
        <v>211</v>
      </c>
      <c r="N2092" s="166" t="s">
        <v>211</v>
      </c>
      <c r="O2092" s="168" t="s">
        <v>211</v>
      </c>
    </row>
    <row r="2093" spans="2:15" s="453" customFormat="1" ht="14" x14ac:dyDescent="0.2">
      <c r="B2093" s="293"/>
      <c r="C2093" s="572" t="s">
        <v>1015</v>
      </c>
      <c r="D2093" s="572"/>
      <c r="E2093" s="572"/>
      <c r="F2093" s="572"/>
      <c r="G2093" s="572"/>
      <c r="H2093" s="334"/>
      <c r="I2093" s="168" t="s">
        <v>211</v>
      </c>
      <c r="J2093" s="166" t="s">
        <v>211</v>
      </c>
      <c r="K2093" s="168" t="s">
        <v>211</v>
      </c>
      <c r="L2093" s="166" t="s">
        <v>211</v>
      </c>
      <c r="M2093" s="168" t="s">
        <v>211</v>
      </c>
      <c r="N2093" s="166" t="s">
        <v>211</v>
      </c>
      <c r="O2093" s="168" t="s">
        <v>211</v>
      </c>
    </row>
    <row r="2094" spans="2:15" s="453" customFormat="1" ht="14" x14ac:dyDescent="0.2">
      <c r="B2094" s="293"/>
      <c r="C2094" s="572"/>
      <c r="D2094" s="572"/>
      <c r="E2094" s="572"/>
      <c r="F2094" s="572"/>
      <c r="G2094" s="572"/>
      <c r="H2094" s="322"/>
      <c r="I2094" s="169"/>
      <c r="J2094" s="167"/>
      <c r="K2094" s="169"/>
      <c r="L2094" s="167"/>
      <c r="M2094" s="169"/>
      <c r="N2094" s="167"/>
      <c r="O2094" s="169"/>
    </row>
    <row r="2095" spans="2:15" s="453" customFormat="1" ht="14" x14ac:dyDescent="0.2">
      <c r="B2095" s="293"/>
      <c r="F2095" s="586" t="s">
        <v>604</v>
      </c>
      <c r="G2095" s="586"/>
      <c r="H2095" s="592"/>
      <c r="I2095" s="169"/>
      <c r="J2095" s="167"/>
      <c r="K2095" s="169"/>
      <c r="L2095" s="167"/>
      <c r="M2095" s="169"/>
      <c r="N2095" s="167"/>
      <c r="O2095" s="169"/>
    </row>
    <row r="2096" spans="2:15" s="453" customFormat="1" ht="14" x14ac:dyDescent="0.2">
      <c r="B2096" s="302"/>
      <c r="C2096" s="303"/>
      <c r="D2096" s="303"/>
      <c r="E2096" s="303"/>
      <c r="F2096" s="603" t="s">
        <v>938</v>
      </c>
      <c r="G2096" s="603"/>
      <c r="H2096" s="603"/>
      <c r="I2096" s="169"/>
      <c r="J2096" s="167"/>
      <c r="K2096" s="169"/>
      <c r="L2096" s="167"/>
      <c r="M2096" s="169"/>
      <c r="N2096" s="167"/>
      <c r="O2096" s="169"/>
    </row>
    <row r="2097" spans="2:15" s="453" customFormat="1" ht="14" x14ac:dyDescent="0.2">
      <c r="B2097" s="291">
        <v>11</v>
      </c>
      <c r="C2097" s="602" t="s">
        <v>1016</v>
      </c>
      <c r="D2097" s="602"/>
      <c r="E2097" s="602"/>
      <c r="F2097" s="602"/>
      <c r="G2097" s="602"/>
      <c r="H2097" s="333"/>
      <c r="I2097" s="168" t="s">
        <v>211</v>
      </c>
      <c r="J2097" s="166" t="s">
        <v>211</v>
      </c>
      <c r="K2097" s="168" t="s">
        <v>211</v>
      </c>
      <c r="L2097" s="166" t="s">
        <v>211</v>
      </c>
      <c r="M2097" s="168" t="s">
        <v>211</v>
      </c>
      <c r="N2097" s="166" t="s">
        <v>211</v>
      </c>
      <c r="O2097" s="168" t="s">
        <v>211</v>
      </c>
    </row>
    <row r="2098" spans="2:15" s="453" customFormat="1" ht="14" x14ac:dyDescent="0.2">
      <c r="B2098" s="293"/>
      <c r="C2098" s="572"/>
      <c r="D2098" s="572"/>
      <c r="E2098" s="572"/>
      <c r="F2098" s="572"/>
      <c r="G2098" s="572"/>
      <c r="H2098" s="322"/>
      <c r="I2098" s="169"/>
      <c r="J2098" s="167"/>
      <c r="K2098" s="169"/>
      <c r="L2098" s="167"/>
      <c r="M2098" s="169"/>
      <c r="N2098" s="167"/>
      <c r="O2098" s="169"/>
    </row>
    <row r="2099" spans="2:15" s="453" customFormat="1" ht="14" x14ac:dyDescent="0.2">
      <c r="B2099" s="293"/>
      <c r="C2099" s="573" t="s">
        <v>1017</v>
      </c>
      <c r="D2099" s="573"/>
      <c r="E2099" s="573"/>
      <c r="F2099" s="573"/>
      <c r="G2099" s="573"/>
      <c r="H2099" s="334"/>
      <c r="I2099" s="168" t="s">
        <v>211</v>
      </c>
      <c r="J2099" s="166" t="s">
        <v>211</v>
      </c>
      <c r="K2099" s="168" t="s">
        <v>211</v>
      </c>
      <c r="L2099" s="166" t="s">
        <v>211</v>
      </c>
      <c r="M2099" s="168" t="s">
        <v>211</v>
      </c>
      <c r="N2099" s="166" t="s">
        <v>211</v>
      </c>
      <c r="O2099" s="168" t="s">
        <v>211</v>
      </c>
    </row>
    <row r="2100" spans="2:15" s="453" customFormat="1" ht="14" x14ac:dyDescent="0.2">
      <c r="B2100" s="293"/>
      <c r="F2100" s="593" t="s">
        <v>1384</v>
      </c>
      <c r="G2100" s="593"/>
      <c r="H2100" s="594"/>
      <c r="I2100" s="169"/>
      <c r="J2100" s="167"/>
      <c r="K2100" s="169"/>
      <c r="L2100" s="167"/>
      <c r="M2100" s="169"/>
      <c r="N2100" s="167"/>
      <c r="O2100" s="169"/>
    </row>
    <row r="2101" spans="2:15" s="453" customFormat="1" ht="14" x14ac:dyDescent="0.2">
      <c r="B2101" s="293"/>
      <c r="C2101" s="572" t="s">
        <v>1018</v>
      </c>
      <c r="D2101" s="572"/>
      <c r="E2101" s="572"/>
      <c r="F2101" s="572"/>
      <c r="G2101" s="572"/>
      <c r="H2101" s="334"/>
      <c r="I2101" s="168" t="s">
        <v>211</v>
      </c>
      <c r="J2101" s="166" t="s">
        <v>211</v>
      </c>
      <c r="K2101" s="168" t="s">
        <v>211</v>
      </c>
      <c r="L2101" s="166" t="s">
        <v>211</v>
      </c>
      <c r="M2101" s="168" t="s">
        <v>211</v>
      </c>
      <c r="N2101" s="166" t="s">
        <v>211</v>
      </c>
      <c r="O2101" s="168" t="s">
        <v>211</v>
      </c>
    </row>
    <row r="2102" spans="2:15" s="453" customFormat="1" ht="14" x14ac:dyDescent="0.2">
      <c r="B2102" s="293"/>
      <c r="C2102" s="572"/>
      <c r="D2102" s="572"/>
      <c r="E2102" s="572"/>
      <c r="F2102" s="572"/>
      <c r="G2102" s="572"/>
      <c r="H2102" s="322"/>
      <c r="I2102" s="169"/>
      <c r="J2102" s="167"/>
      <c r="K2102" s="169"/>
      <c r="L2102" s="167"/>
      <c r="M2102" s="169"/>
      <c r="N2102" s="167"/>
      <c r="O2102" s="169"/>
    </row>
    <row r="2103" spans="2:15" s="453" customFormat="1" ht="14" x14ac:dyDescent="0.2">
      <c r="B2103" s="293"/>
      <c r="C2103" s="595" t="s">
        <v>1019</v>
      </c>
      <c r="D2103" s="595"/>
      <c r="E2103" s="595"/>
      <c r="F2103" s="595"/>
      <c r="G2103" s="595"/>
      <c r="H2103" s="334"/>
      <c r="I2103" s="168" t="s">
        <v>211</v>
      </c>
      <c r="J2103" s="166" t="s">
        <v>211</v>
      </c>
      <c r="K2103" s="168" t="s">
        <v>211</v>
      </c>
      <c r="L2103" s="166" t="s">
        <v>211</v>
      </c>
      <c r="M2103" s="168" t="s">
        <v>211</v>
      </c>
      <c r="N2103" s="166" t="s">
        <v>211</v>
      </c>
      <c r="O2103" s="168" t="s">
        <v>211</v>
      </c>
    </row>
    <row r="2104" spans="2:15" s="453" customFormat="1" ht="14" x14ac:dyDescent="0.2">
      <c r="B2104" s="293"/>
      <c r="C2104" s="573" t="s">
        <v>1020</v>
      </c>
      <c r="D2104" s="573"/>
      <c r="E2104" s="573"/>
      <c r="F2104" s="573"/>
      <c r="G2104" s="573"/>
      <c r="H2104" s="334"/>
      <c r="I2104" s="168" t="s">
        <v>211</v>
      </c>
      <c r="J2104" s="166" t="s">
        <v>211</v>
      </c>
      <c r="K2104" s="168" t="s">
        <v>211</v>
      </c>
      <c r="L2104" s="166" t="s">
        <v>211</v>
      </c>
      <c r="M2104" s="168" t="s">
        <v>211</v>
      </c>
      <c r="N2104" s="166" t="s">
        <v>211</v>
      </c>
      <c r="O2104" s="168" t="s">
        <v>211</v>
      </c>
    </row>
    <row r="2105" spans="2:15" s="453" customFormat="1" ht="14" x14ac:dyDescent="0.2">
      <c r="B2105" s="295" t="s">
        <v>333</v>
      </c>
      <c r="C2105" s="591" t="s">
        <v>1021</v>
      </c>
      <c r="D2105" s="591"/>
      <c r="E2105" s="591"/>
      <c r="F2105" s="591"/>
      <c r="G2105" s="591"/>
      <c r="H2105" s="322"/>
      <c r="I2105" s="169"/>
      <c r="J2105" s="167"/>
      <c r="K2105" s="169"/>
      <c r="L2105" s="167"/>
      <c r="M2105" s="169"/>
      <c r="N2105" s="167"/>
      <c r="O2105" s="169"/>
    </row>
    <row r="2106" spans="2:15" s="453" customFormat="1" ht="14" x14ac:dyDescent="0.2">
      <c r="B2106" s="293"/>
      <c r="F2106" s="593" t="s">
        <v>1324</v>
      </c>
      <c r="G2106" s="593"/>
      <c r="H2106" s="594"/>
      <c r="I2106" s="169"/>
      <c r="J2106" s="167"/>
      <c r="K2106" s="169"/>
      <c r="L2106" s="167"/>
      <c r="M2106" s="169"/>
      <c r="N2106" s="167"/>
      <c r="O2106" s="169"/>
    </row>
    <row r="2107" spans="2:15" s="453" customFormat="1" ht="14" x14ac:dyDescent="0.2">
      <c r="B2107" s="293"/>
      <c r="F2107" s="604" t="s">
        <v>1022</v>
      </c>
      <c r="G2107" s="604"/>
      <c r="H2107" s="605"/>
      <c r="I2107" s="169"/>
      <c r="J2107" s="167"/>
      <c r="K2107" s="169"/>
      <c r="L2107" s="167"/>
      <c r="M2107" s="169"/>
      <c r="N2107" s="167"/>
      <c r="O2107" s="169"/>
    </row>
    <row r="2108" spans="2:15" s="453" customFormat="1" ht="14" x14ac:dyDescent="0.2">
      <c r="B2108" s="302"/>
      <c r="C2108" s="303"/>
      <c r="D2108" s="303"/>
      <c r="E2108" s="303"/>
      <c r="F2108" s="580" t="s">
        <v>938</v>
      </c>
      <c r="G2108" s="580"/>
      <c r="H2108" s="580"/>
      <c r="I2108" s="169"/>
      <c r="J2108" s="167"/>
      <c r="K2108" s="169"/>
      <c r="L2108" s="167"/>
      <c r="M2108" s="169"/>
      <c r="N2108" s="167"/>
      <c r="O2108" s="169"/>
    </row>
    <row r="2109" spans="2:15" s="453" customFormat="1" ht="14" x14ac:dyDescent="0.2">
      <c r="B2109" s="291">
        <v>12</v>
      </c>
      <c r="C2109" s="602" t="s">
        <v>1023</v>
      </c>
      <c r="D2109" s="602"/>
      <c r="E2109" s="602"/>
      <c r="F2109" s="602"/>
      <c r="G2109" s="602"/>
      <c r="H2109" s="333"/>
      <c r="I2109" s="168" t="s">
        <v>211</v>
      </c>
      <c r="J2109" s="166" t="s">
        <v>211</v>
      </c>
      <c r="K2109" s="168" t="s">
        <v>211</v>
      </c>
      <c r="L2109" s="166" t="s">
        <v>211</v>
      </c>
      <c r="M2109" s="168" t="s">
        <v>211</v>
      </c>
      <c r="N2109" s="166" t="s">
        <v>211</v>
      </c>
      <c r="O2109" s="168" t="s">
        <v>211</v>
      </c>
    </row>
    <row r="2110" spans="2:15" s="453" customFormat="1" ht="14" x14ac:dyDescent="0.2">
      <c r="B2110" s="293"/>
      <c r="C2110" s="572"/>
      <c r="D2110" s="572"/>
      <c r="E2110" s="572"/>
      <c r="F2110" s="572"/>
      <c r="G2110" s="572"/>
      <c r="H2110" s="322"/>
      <c r="I2110" s="169"/>
      <c r="J2110" s="167"/>
      <c r="K2110" s="169"/>
      <c r="L2110" s="167"/>
      <c r="M2110" s="169"/>
      <c r="N2110" s="167"/>
      <c r="O2110" s="169"/>
    </row>
    <row r="2111" spans="2:15" s="453" customFormat="1" ht="14" x14ac:dyDescent="0.2">
      <c r="B2111" s="293"/>
      <c r="C2111" s="595" t="s">
        <v>1019</v>
      </c>
      <c r="D2111" s="595"/>
      <c r="E2111" s="595"/>
      <c r="F2111" s="595"/>
      <c r="G2111" s="595"/>
      <c r="H2111" s="334"/>
      <c r="I2111" s="168" t="s">
        <v>211</v>
      </c>
      <c r="J2111" s="166" t="s">
        <v>211</v>
      </c>
      <c r="K2111" s="168" t="s">
        <v>211</v>
      </c>
      <c r="L2111" s="166" t="s">
        <v>211</v>
      </c>
      <c r="M2111" s="168" t="s">
        <v>211</v>
      </c>
      <c r="N2111" s="166" t="s">
        <v>211</v>
      </c>
      <c r="O2111" s="168" t="s">
        <v>211</v>
      </c>
    </row>
    <row r="2112" spans="2:15" s="453" customFormat="1" ht="14" x14ac:dyDescent="0.2">
      <c r="B2112" s="293"/>
      <c r="C2112" s="573" t="s">
        <v>1020</v>
      </c>
      <c r="D2112" s="573"/>
      <c r="E2112" s="573"/>
      <c r="F2112" s="573"/>
      <c r="G2112" s="573"/>
      <c r="H2112" s="334"/>
      <c r="I2112" s="168" t="s">
        <v>211</v>
      </c>
      <c r="J2112" s="166" t="s">
        <v>211</v>
      </c>
      <c r="K2112" s="168" t="s">
        <v>211</v>
      </c>
      <c r="L2112" s="166" t="s">
        <v>211</v>
      </c>
      <c r="M2112" s="168" t="s">
        <v>211</v>
      </c>
      <c r="N2112" s="166" t="s">
        <v>211</v>
      </c>
      <c r="O2112" s="168" t="s">
        <v>211</v>
      </c>
    </row>
    <row r="2113" spans="2:15" s="453" customFormat="1" ht="14" x14ac:dyDescent="0.2">
      <c r="B2113" s="295" t="s">
        <v>333</v>
      </c>
      <c r="C2113" s="591" t="s">
        <v>1024</v>
      </c>
      <c r="D2113" s="591"/>
      <c r="E2113" s="591"/>
      <c r="F2113" s="591"/>
      <c r="G2113" s="591"/>
      <c r="H2113" s="322"/>
      <c r="I2113" s="169"/>
      <c r="J2113" s="167"/>
      <c r="K2113" s="169"/>
      <c r="L2113" s="167"/>
      <c r="M2113" s="169"/>
      <c r="N2113" s="167"/>
      <c r="O2113" s="169"/>
    </row>
    <row r="2114" spans="2:15" s="453" customFormat="1" ht="14" x14ac:dyDescent="0.2">
      <c r="B2114" s="295" t="s">
        <v>333</v>
      </c>
      <c r="C2114" s="597" t="s">
        <v>1025</v>
      </c>
      <c r="D2114" s="597"/>
      <c r="E2114" s="597"/>
      <c r="F2114" s="597"/>
      <c r="G2114" s="597"/>
      <c r="H2114" s="322"/>
      <c r="I2114" s="169"/>
      <c r="J2114" s="167"/>
      <c r="K2114" s="169"/>
      <c r="L2114" s="167"/>
      <c r="M2114" s="169"/>
      <c r="N2114" s="167"/>
      <c r="O2114" s="169"/>
    </row>
    <row r="2115" spans="2:15" s="453" customFormat="1" ht="14" x14ac:dyDescent="0.2">
      <c r="B2115" s="295"/>
      <c r="C2115" s="597"/>
      <c r="D2115" s="597"/>
      <c r="E2115" s="597"/>
      <c r="F2115" s="597"/>
      <c r="G2115" s="597"/>
      <c r="H2115" s="322"/>
      <c r="I2115" s="169"/>
      <c r="J2115" s="167"/>
      <c r="K2115" s="169"/>
      <c r="L2115" s="167"/>
      <c r="M2115" s="169"/>
      <c r="N2115" s="167"/>
      <c r="O2115" s="169"/>
    </row>
    <row r="2116" spans="2:15" s="453" customFormat="1" ht="14" x14ac:dyDescent="0.2">
      <c r="B2116" s="293"/>
      <c r="F2116" s="593" t="s">
        <v>1383</v>
      </c>
      <c r="G2116" s="593"/>
      <c r="H2116" s="594"/>
      <c r="I2116" s="169"/>
      <c r="J2116" s="167"/>
      <c r="K2116" s="169"/>
      <c r="L2116" s="167"/>
      <c r="M2116" s="169"/>
      <c r="N2116" s="167"/>
      <c r="O2116" s="169"/>
    </row>
    <row r="2117" spans="2:15" s="453" customFormat="1" ht="14" x14ac:dyDescent="0.2">
      <c r="B2117" s="293"/>
      <c r="F2117" s="604" t="s">
        <v>1026</v>
      </c>
      <c r="G2117" s="604"/>
      <c r="H2117" s="605"/>
      <c r="I2117" s="169"/>
      <c r="J2117" s="167"/>
      <c r="K2117" s="169"/>
      <c r="L2117" s="167"/>
      <c r="M2117" s="169"/>
      <c r="N2117" s="167"/>
      <c r="O2117" s="169"/>
    </row>
    <row r="2118" spans="2:15" s="453" customFormat="1" ht="14" x14ac:dyDescent="0.2">
      <c r="B2118" s="302"/>
      <c r="C2118" s="303"/>
      <c r="D2118" s="303"/>
      <c r="E2118" s="303"/>
      <c r="F2118" s="580" t="s">
        <v>938</v>
      </c>
      <c r="G2118" s="580"/>
      <c r="H2118" s="580"/>
      <c r="I2118" s="169"/>
      <c r="J2118" s="167"/>
      <c r="K2118" s="169"/>
      <c r="L2118" s="167"/>
      <c r="M2118" s="169"/>
      <c r="N2118" s="167"/>
      <c r="O2118" s="169"/>
    </row>
    <row r="2119" spans="2:15" s="453" customFormat="1" ht="14" x14ac:dyDescent="0.2">
      <c r="B2119" s="291">
        <v>13</v>
      </c>
      <c r="C2119" s="602" t="s">
        <v>1027</v>
      </c>
      <c r="D2119" s="602"/>
      <c r="E2119" s="602"/>
      <c r="F2119" s="602"/>
      <c r="G2119" s="602"/>
      <c r="H2119" s="333"/>
      <c r="I2119" s="168" t="s">
        <v>211</v>
      </c>
      <c r="J2119" s="166" t="s">
        <v>211</v>
      </c>
      <c r="K2119" s="168" t="s">
        <v>211</v>
      </c>
      <c r="L2119" s="166" t="s">
        <v>211</v>
      </c>
      <c r="M2119" s="168" t="s">
        <v>211</v>
      </c>
      <c r="N2119" s="166" t="s">
        <v>211</v>
      </c>
      <c r="O2119" s="168" t="s">
        <v>211</v>
      </c>
    </row>
    <row r="2120" spans="2:15" s="453" customFormat="1" ht="14" x14ac:dyDescent="0.2">
      <c r="B2120" s="293"/>
      <c r="C2120" s="572" t="s">
        <v>1028</v>
      </c>
      <c r="D2120" s="572"/>
      <c r="E2120" s="572"/>
      <c r="F2120" s="572"/>
      <c r="G2120" s="572"/>
      <c r="H2120" s="334"/>
      <c r="I2120" s="168" t="s">
        <v>211</v>
      </c>
      <c r="J2120" s="166" t="s">
        <v>211</v>
      </c>
      <c r="K2120" s="168" t="s">
        <v>211</v>
      </c>
      <c r="L2120" s="166" t="s">
        <v>211</v>
      </c>
      <c r="M2120" s="168" t="s">
        <v>211</v>
      </c>
      <c r="N2120" s="166" t="s">
        <v>211</v>
      </c>
      <c r="O2120" s="168" t="s">
        <v>211</v>
      </c>
    </row>
    <row r="2121" spans="2:15" s="453" customFormat="1" ht="14" x14ac:dyDescent="0.2">
      <c r="B2121" s="293"/>
      <c r="C2121" s="572"/>
      <c r="D2121" s="572"/>
      <c r="E2121" s="572"/>
      <c r="F2121" s="572"/>
      <c r="G2121" s="572"/>
      <c r="H2121" s="322"/>
      <c r="I2121" s="169"/>
      <c r="J2121" s="167"/>
      <c r="K2121" s="169"/>
      <c r="L2121" s="167"/>
      <c r="M2121" s="169"/>
      <c r="N2121" s="167"/>
      <c r="O2121" s="169"/>
    </row>
    <row r="2122" spans="2:15" s="453" customFormat="1" ht="14" x14ac:dyDescent="0.2">
      <c r="B2122" s="293"/>
      <c r="C2122" s="572"/>
      <c r="D2122" s="572"/>
      <c r="E2122" s="572"/>
      <c r="F2122" s="572"/>
      <c r="G2122" s="572"/>
      <c r="H2122" s="322"/>
      <c r="I2122" s="169"/>
      <c r="J2122" s="167"/>
      <c r="K2122" s="169"/>
      <c r="L2122" s="167"/>
      <c r="M2122" s="169"/>
      <c r="N2122" s="167"/>
      <c r="O2122" s="169"/>
    </row>
    <row r="2123" spans="2:15" s="453" customFormat="1" ht="14" x14ac:dyDescent="0.2">
      <c r="B2123" s="293"/>
      <c r="C2123" s="573" t="s">
        <v>845</v>
      </c>
      <c r="D2123" s="573"/>
      <c r="E2123" s="573"/>
      <c r="F2123" s="573"/>
      <c r="G2123" s="573"/>
      <c r="H2123" s="334"/>
      <c r="I2123" s="168" t="s">
        <v>211</v>
      </c>
      <c r="J2123" s="166" t="s">
        <v>211</v>
      </c>
      <c r="K2123" s="168" t="s">
        <v>211</v>
      </c>
      <c r="L2123" s="166" t="s">
        <v>211</v>
      </c>
      <c r="M2123" s="168" t="s">
        <v>211</v>
      </c>
      <c r="N2123" s="166" t="s">
        <v>211</v>
      </c>
      <c r="O2123" s="168" t="s">
        <v>211</v>
      </c>
    </row>
    <row r="2124" spans="2:15" s="453" customFormat="1" ht="14" x14ac:dyDescent="0.2">
      <c r="B2124" s="293"/>
      <c r="F2124" s="593" t="s">
        <v>1029</v>
      </c>
      <c r="G2124" s="593"/>
      <c r="H2124" s="594"/>
      <c r="I2124" s="169"/>
      <c r="J2124" s="167"/>
      <c r="K2124" s="169"/>
      <c r="L2124" s="167"/>
      <c r="M2124" s="169"/>
      <c r="N2124" s="167"/>
      <c r="O2124" s="169"/>
    </row>
    <row r="2125" spans="2:15" s="453" customFormat="1" ht="14" x14ac:dyDescent="0.2">
      <c r="B2125" s="293"/>
      <c r="F2125" s="593" t="s">
        <v>1030</v>
      </c>
      <c r="G2125" s="593"/>
      <c r="H2125" s="594"/>
      <c r="I2125" s="169"/>
      <c r="J2125" s="167"/>
      <c r="K2125" s="169"/>
      <c r="L2125" s="167"/>
      <c r="M2125" s="169"/>
      <c r="N2125" s="167"/>
      <c r="O2125" s="169"/>
    </row>
    <row r="2126" spans="2:15" s="453" customFormat="1" ht="14" x14ac:dyDescent="0.2">
      <c r="B2126" s="302"/>
      <c r="C2126" s="303"/>
      <c r="D2126" s="303"/>
      <c r="E2126" s="303"/>
      <c r="F2126" s="580" t="s">
        <v>1031</v>
      </c>
      <c r="G2126" s="580"/>
      <c r="H2126" s="580"/>
      <c r="I2126" s="169"/>
      <c r="J2126" s="167"/>
      <c r="K2126" s="169"/>
      <c r="L2126" s="167"/>
      <c r="M2126" s="169"/>
      <c r="N2126" s="167"/>
      <c r="O2126" s="169"/>
    </row>
    <row r="2127" spans="2:15" s="453" customFormat="1" ht="14" x14ac:dyDescent="0.2">
      <c r="B2127" s="291">
        <v>14</v>
      </c>
      <c r="C2127" s="598" t="s">
        <v>1032</v>
      </c>
      <c r="D2127" s="598"/>
      <c r="E2127" s="598"/>
      <c r="F2127" s="598"/>
      <c r="G2127" s="598"/>
      <c r="H2127" s="333"/>
      <c r="I2127" s="168" t="s">
        <v>211</v>
      </c>
      <c r="J2127" s="166" t="s">
        <v>211</v>
      </c>
      <c r="K2127" s="168" t="s">
        <v>211</v>
      </c>
      <c r="L2127" s="166" t="s">
        <v>211</v>
      </c>
      <c r="M2127" s="168" t="s">
        <v>211</v>
      </c>
      <c r="N2127" s="166" t="s">
        <v>211</v>
      </c>
      <c r="O2127" s="168" t="s">
        <v>211</v>
      </c>
    </row>
    <row r="2128" spans="2:15" s="453" customFormat="1" ht="14" x14ac:dyDescent="0.2">
      <c r="B2128" s="293"/>
      <c r="C2128" s="573" t="s">
        <v>823</v>
      </c>
      <c r="D2128" s="573"/>
      <c r="E2128" s="573"/>
      <c r="F2128" s="573"/>
      <c r="G2128" s="573"/>
      <c r="H2128" s="334"/>
      <c r="I2128" s="168" t="s">
        <v>211</v>
      </c>
      <c r="J2128" s="166" t="s">
        <v>211</v>
      </c>
      <c r="K2128" s="168" t="s">
        <v>211</v>
      </c>
      <c r="L2128" s="166" t="s">
        <v>211</v>
      </c>
      <c r="M2128" s="168" t="s">
        <v>211</v>
      </c>
      <c r="N2128" s="166" t="s">
        <v>211</v>
      </c>
      <c r="O2128" s="168" t="s">
        <v>211</v>
      </c>
    </row>
    <row r="2129" spans="2:15" s="453" customFormat="1" ht="14" x14ac:dyDescent="0.2">
      <c r="B2129" s="293"/>
      <c r="C2129" s="573" t="s">
        <v>897</v>
      </c>
      <c r="D2129" s="573"/>
      <c r="E2129" s="573"/>
      <c r="F2129" s="573"/>
      <c r="G2129" s="573"/>
      <c r="H2129" s="334"/>
      <c r="I2129" s="168" t="s">
        <v>211</v>
      </c>
      <c r="J2129" s="166" t="s">
        <v>211</v>
      </c>
      <c r="K2129" s="168" t="s">
        <v>211</v>
      </c>
      <c r="L2129" s="166" t="s">
        <v>211</v>
      </c>
      <c r="M2129" s="168" t="s">
        <v>211</v>
      </c>
      <c r="N2129" s="166" t="s">
        <v>211</v>
      </c>
      <c r="O2129" s="168" t="s">
        <v>211</v>
      </c>
    </row>
    <row r="2130" spans="2:15" s="453" customFormat="1" ht="14" x14ac:dyDescent="0.2">
      <c r="B2130" s="293"/>
      <c r="C2130" s="572" t="s">
        <v>906</v>
      </c>
      <c r="D2130" s="572"/>
      <c r="E2130" s="572"/>
      <c r="F2130" s="572"/>
      <c r="G2130" s="572"/>
      <c r="H2130" s="334"/>
      <c r="I2130" s="168" t="s">
        <v>211</v>
      </c>
      <c r="J2130" s="166" t="s">
        <v>211</v>
      </c>
      <c r="K2130" s="168" t="s">
        <v>211</v>
      </c>
      <c r="L2130" s="166" t="s">
        <v>211</v>
      </c>
      <c r="M2130" s="168" t="s">
        <v>211</v>
      </c>
      <c r="N2130" s="166" t="s">
        <v>211</v>
      </c>
      <c r="O2130" s="168" t="s">
        <v>211</v>
      </c>
    </row>
    <row r="2131" spans="2:15" s="453" customFormat="1" ht="14" x14ac:dyDescent="0.2">
      <c r="B2131" s="293"/>
      <c r="F2131" s="586" t="s">
        <v>604</v>
      </c>
      <c r="G2131" s="586"/>
      <c r="H2131" s="592"/>
      <c r="I2131" s="169"/>
      <c r="J2131" s="167"/>
      <c r="K2131" s="169"/>
      <c r="L2131" s="167"/>
      <c r="M2131" s="169"/>
      <c r="N2131" s="167"/>
      <c r="O2131" s="169"/>
    </row>
    <row r="2132" spans="2:15" s="453" customFormat="1" ht="14" x14ac:dyDescent="0.2">
      <c r="B2132" s="293"/>
      <c r="F2132" s="604" t="s">
        <v>1033</v>
      </c>
      <c r="G2132" s="604"/>
      <c r="H2132" s="605"/>
      <c r="I2132" s="169"/>
      <c r="J2132" s="167"/>
      <c r="K2132" s="169"/>
      <c r="L2132" s="167"/>
      <c r="M2132" s="169"/>
      <c r="N2132" s="167"/>
      <c r="O2132" s="169"/>
    </row>
    <row r="2133" spans="2:15" s="453" customFormat="1" ht="14" x14ac:dyDescent="0.2">
      <c r="B2133" s="302"/>
      <c r="C2133" s="303"/>
      <c r="D2133" s="303"/>
      <c r="E2133" s="303"/>
      <c r="F2133" s="603" t="s">
        <v>1034</v>
      </c>
      <c r="G2133" s="603"/>
      <c r="H2133" s="603"/>
      <c r="I2133" s="169"/>
      <c r="J2133" s="167"/>
      <c r="K2133" s="169"/>
      <c r="L2133" s="167"/>
      <c r="M2133" s="169"/>
      <c r="N2133" s="167"/>
      <c r="O2133" s="169"/>
    </row>
    <row r="2134" spans="2:15" s="453" customFormat="1" ht="14" x14ac:dyDescent="0.2">
      <c r="B2134" s="291">
        <v>15</v>
      </c>
      <c r="C2134" s="602" t="s">
        <v>894</v>
      </c>
      <c r="D2134" s="602"/>
      <c r="E2134" s="602"/>
      <c r="F2134" s="602"/>
      <c r="G2134" s="602"/>
      <c r="H2134" s="333"/>
      <c r="I2134" s="168" t="s">
        <v>211</v>
      </c>
      <c r="J2134" s="166" t="s">
        <v>211</v>
      </c>
      <c r="K2134" s="168" t="s">
        <v>211</v>
      </c>
      <c r="L2134" s="166" t="s">
        <v>211</v>
      </c>
      <c r="M2134" s="168" t="s">
        <v>211</v>
      </c>
      <c r="N2134" s="166" t="s">
        <v>211</v>
      </c>
      <c r="O2134" s="168" t="s">
        <v>211</v>
      </c>
    </row>
    <row r="2135" spans="2:15" s="453" customFormat="1" ht="14" x14ac:dyDescent="0.2">
      <c r="B2135" s="293"/>
      <c r="C2135" s="572"/>
      <c r="D2135" s="572"/>
      <c r="E2135" s="572"/>
      <c r="F2135" s="572"/>
      <c r="G2135" s="572"/>
      <c r="H2135" s="322"/>
      <c r="I2135" s="169"/>
      <c r="J2135" s="167"/>
      <c r="K2135" s="169"/>
      <c r="L2135" s="167"/>
      <c r="M2135" s="169"/>
      <c r="N2135" s="167"/>
      <c r="O2135" s="169"/>
    </row>
    <row r="2136" spans="2:15" s="453" customFormat="1" ht="14" x14ac:dyDescent="0.2">
      <c r="B2136" s="293"/>
      <c r="C2136" s="573" t="s">
        <v>779</v>
      </c>
      <c r="D2136" s="573"/>
      <c r="E2136" s="573"/>
      <c r="F2136" s="573"/>
      <c r="G2136" s="573"/>
      <c r="H2136" s="334"/>
      <c r="I2136" s="168" t="s">
        <v>211</v>
      </c>
      <c r="J2136" s="166" t="s">
        <v>211</v>
      </c>
      <c r="K2136" s="168" t="s">
        <v>211</v>
      </c>
      <c r="L2136" s="166" t="s">
        <v>211</v>
      </c>
      <c r="M2136" s="168" t="s">
        <v>211</v>
      </c>
      <c r="N2136" s="166" t="s">
        <v>211</v>
      </c>
      <c r="O2136" s="168" t="s">
        <v>211</v>
      </c>
    </row>
    <row r="2137" spans="2:15" s="453" customFormat="1" ht="14" x14ac:dyDescent="0.2">
      <c r="B2137" s="293"/>
      <c r="C2137" s="573" t="s">
        <v>780</v>
      </c>
      <c r="D2137" s="573"/>
      <c r="E2137" s="573"/>
      <c r="F2137" s="573"/>
      <c r="G2137" s="573"/>
      <c r="H2137" s="334"/>
      <c r="I2137" s="168" t="s">
        <v>211</v>
      </c>
      <c r="J2137" s="166" t="s">
        <v>211</v>
      </c>
      <c r="K2137" s="168" t="s">
        <v>211</v>
      </c>
      <c r="L2137" s="166" t="s">
        <v>211</v>
      </c>
      <c r="M2137" s="168" t="s">
        <v>211</v>
      </c>
      <c r="N2137" s="166" t="s">
        <v>211</v>
      </c>
      <c r="O2137" s="168" t="s">
        <v>211</v>
      </c>
    </row>
    <row r="2138" spans="2:15" s="453" customFormat="1" ht="14" x14ac:dyDescent="0.2">
      <c r="B2138" s="302"/>
      <c r="C2138" s="303"/>
      <c r="D2138" s="303"/>
      <c r="E2138" s="303"/>
      <c r="F2138" s="580" t="s">
        <v>495</v>
      </c>
      <c r="G2138" s="580"/>
      <c r="H2138" s="580"/>
      <c r="I2138" s="169"/>
      <c r="J2138" s="167"/>
      <c r="K2138" s="169"/>
      <c r="L2138" s="167"/>
      <c r="M2138" s="169"/>
      <c r="N2138" s="167"/>
      <c r="O2138" s="169"/>
    </row>
    <row r="2139" spans="2:15" s="453" customFormat="1" ht="14" x14ac:dyDescent="0.2">
      <c r="B2139" s="291" t="s">
        <v>1035</v>
      </c>
      <c r="C2139" s="142"/>
      <c r="D2139" s="142"/>
      <c r="E2139" s="142"/>
      <c r="F2139" s="794" t="s">
        <v>1036</v>
      </c>
      <c r="G2139" s="794"/>
      <c r="H2139" s="794"/>
      <c r="I2139" s="169"/>
      <c r="J2139" s="167"/>
      <c r="K2139" s="169"/>
      <c r="L2139" s="167"/>
      <c r="M2139" s="169"/>
      <c r="N2139" s="167"/>
      <c r="O2139" s="169"/>
    </row>
    <row r="2140" spans="2:15" s="453" customFormat="1" ht="14" x14ac:dyDescent="0.2">
      <c r="B2140" s="293"/>
      <c r="D2140" s="604" t="s">
        <v>801</v>
      </c>
      <c r="E2140" s="604"/>
      <c r="F2140" s="604"/>
      <c r="G2140" s="604"/>
      <c r="H2140" s="605"/>
      <c r="I2140" s="169"/>
      <c r="J2140" s="167"/>
      <c r="K2140" s="169"/>
      <c r="L2140" s="167"/>
      <c r="M2140" s="169"/>
      <c r="N2140" s="167"/>
      <c r="O2140" s="169"/>
    </row>
    <row r="2141" spans="2:15" s="453" customFormat="1" ht="14" x14ac:dyDescent="0.2">
      <c r="B2141" s="302"/>
      <c r="C2141" s="303"/>
      <c r="D2141" s="603" t="s">
        <v>1037</v>
      </c>
      <c r="E2141" s="603"/>
      <c r="F2141" s="603"/>
      <c r="G2141" s="603"/>
      <c r="H2141" s="603"/>
      <c r="I2141" s="169"/>
      <c r="J2141" s="167"/>
      <c r="K2141" s="169"/>
      <c r="L2141" s="167"/>
      <c r="M2141" s="169"/>
      <c r="N2141" s="167"/>
      <c r="O2141" s="169"/>
    </row>
    <row r="2142" spans="2:15" s="453" customFormat="1" ht="14" x14ac:dyDescent="0.2">
      <c r="B2142" s="291">
        <v>16</v>
      </c>
      <c r="C2142" s="602" t="s">
        <v>1038</v>
      </c>
      <c r="D2142" s="602"/>
      <c r="E2142" s="602"/>
      <c r="F2142" s="602"/>
      <c r="G2142" s="602"/>
      <c r="H2142" s="333"/>
      <c r="I2142" s="168" t="s">
        <v>211</v>
      </c>
      <c r="J2142" s="166" t="s">
        <v>211</v>
      </c>
      <c r="K2142" s="168" t="s">
        <v>211</v>
      </c>
      <c r="L2142" s="166" t="s">
        <v>211</v>
      </c>
      <c r="M2142" s="168" t="s">
        <v>211</v>
      </c>
      <c r="N2142" s="166" t="s">
        <v>211</v>
      </c>
      <c r="O2142" s="168" t="s">
        <v>211</v>
      </c>
    </row>
    <row r="2143" spans="2:15" s="453" customFormat="1" ht="14" x14ac:dyDescent="0.2">
      <c r="B2143" s="293"/>
      <c r="C2143" s="572"/>
      <c r="D2143" s="572"/>
      <c r="E2143" s="572"/>
      <c r="F2143" s="572"/>
      <c r="G2143" s="572"/>
      <c r="H2143" s="322"/>
      <c r="I2143" s="169"/>
      <c r="J2143" s="167"/>
      <c r="K2143" s="169"/>
      <c r="L2143" s="167"/>
      <c r="M2143" s="169"/>
      <c r="N2143" s="167"/>
      <c r="O2143" s="169"/>
    </row>
    <row r="2144" spans="2:15" s="453" customFormat="1" ht="14" x14ac:dyDescent="0.2">
      <c r="B2144" s="293"/>
      <c r="C2144" s="572" t="s">
        <v>896</v>
      </c>
      <c r="D2144" s="572"/>
      <c r="E2144" s="572"/>
      <c r="F2144" s="572"/>
      <c r="G2144" s="572"/>
      <c r="H2144" s="334"/>
      <c r="I2144" s="168" t="s">
        <v>211</v>
      </c>
      <c r="J2144" s="166" t="s">
        <v>211</v>
      </c>
      <c r="K2144" s="168" t="s">
        <v>211</v>
      </c>
      <c r="L2144" s="166" t="s">
        <v>211</v>
      </c>
      <c r="M2144" s="168" t="s">
        <v>211</v>
      </c>
      <c r="N2144" s="166" t="s">
        <v>211</v>
      </c>
      <c r="O2144" s="168" t="s">
        <v>211</v>
      </c>
    </row>
    <row r="2145" spans="2:16" s="453" customFormat="1" ht="14" x14ac:dyDescent="0.2">
      <c r="B2145" s="293"/>
      <c r="C2145" s="572"/>
      <c r="D2145" s="572"/>
      <c r="E2145" s="572"/>
      <c r="F2145" s="572"/>
      <c r="G2145" s="572"/>
      <c r="H2145" s="322"/>
      <c r="I2145" s="169"/>
      <c r="J2145" s="167"/>
      <c r="K2145" s="169"/>
      <c r="L2145" s="167"/>
      <c r="M2145" s="169"/>
      <c r="N2145" s="167"/>
      <c r="O2145" s="169"/>
    </row>
    <row r="2146" spans="2:16" s="453" customFormat="1" ht="14" x14ac:dyDescent="0.2">
      <c r="B2146" s="293"/>
      <c r="C2146" s="573" t="s">
        <v>897</v>
      </c>
      <c r="D2146" s="573"/>
      <c r="E2146" s="573"/>
      <c r="F2146" s="573"/>
      <c r="G2146" s="573"/>
      <c r="H2146" s="334"/>
      <c r="I2146" s="168" t="s">
        <v>211</v>
      </c>
      <c r="J2146" s="166" t="s">
        <v>211</v>
      </c>
      <c r="K2146" s="168" t="s">
        <v>211</v>
      </c>
      <c r="L2146" s="166" t="s">
        <v>211</v>
      </c>
      <c r="M2146" s="168" t="s">
        <v>211</v>
      </c>
      <c r="N2146" s="166" t="s">
        <v>211</v>
      </c>
      <c r="O2146" s="168" t="s">
        <v>211</v>
      </c>
    </row>
    <row r="2147" spans="2:16" s="453" customFormat="1" ht="14" x14ac:dyDescent="0.2">
      <c r="B2147" s="293"/>
      <c r="C2147" s="572" t="s">
        <v>898</v>
      </c>
      <c r="D2147" s="572"/>
      <c r="E2147" s="572"/>
      <c r="F2147" s="572"/>
      <c r="G2147" s="572"/>
      <c r="H2147" s="334"/>
      <c r="I2147" s="168" t="s">
        <v>211</v>
      </c>
      <c r="J2147" s="166" t="s">
        <v>211</v>
      </c>
      <c r="K2147" s="168" t="s">
        <v>211</v>
      </c>
      <c r="L2147" s="166" t="s">
        <v>211</v>
      </c>
      <c r="M2147" s="168" t="s">
        <v>211</v>
      </c>
      <c r="N2147" s="166" t="s">
        <v>211</v>
      </c>
      <c r="O2147" s="168" t="s">
        <v>211</v>
      </c>
    </row>
    <row r="2148" spans="2:16" s="453" customFormat="1" ht="14" x14ac:dyDescent="0.2">
      <c r="B2148" s="293"/>
      <c r="C2148" s="572"/>
      <c r="D2148" s="572"/>
      <c r="E2148" s="572"/>
      <c r="F2148" s="572"/>
      <c r="G2148" s="572"/>
      <c r="H2148" s="322"/>
      <c r="I2148" s="169"/>
      <c r="J2148" s="167"/>
      <c r="K2148" s="169"/>
      <c r="L2148" s="167"/>
      <c r="M2148" s="169"/>
      <c r="N2148" s="167"/>
      <c r="O2148" s="169"/>
    </row>
    <row r="2149" spans="2:16" s="453" customFormat="1" ht="14" x14ac:dyDescent="0.2">
      <c r="B2149" s="293"/>
      <c r="F2149" s="586" t="s">
        <v>604</v>
      </c>
      <c r="G2149" s="586"/>
      <c r="H2149" s="592"/>
      <c r="I2149" s="169"/>
      <c r="J2149" s="167"/>
      <c r="K2149" s="169"/>
      <c r="L2149" s="167"/>
      <c r="M2149" s="169"/>
      <c r="N2149" s="167"/>
      <c r="O2149" s="169"/>
    </row>
    <row r="2150" spans="2:16" s="453" customFormat="1" ht="14" x14ac:dyDescent="0.2">
      <c r="B2150" s="293"/>
      <c r="F2150" s="795" t="s">
        <v>1039</v>
      </c>
      <c r="G2150" s="795"/>
      <c r="H2150" s="796"/>
      <c r="I2150" s="169"/>
      <c r="J2150" s="167"/>
      <c r="K2150" s="169"/>
      <c r="L2150" s="167"/>
      <c r="M2150" s="169"/>
      <c r="N2150" s="167"/>
      <c r="O2150" s="169"/>
    </row>
    <row r="2151" spans="2:16" s="453" customFormat="1" ht="14" x14ac:dyDescent="0.2">
      <c r="B2151" s="293"/>
      <c r="D2151" s="795" t="s">
        <v>1040</v>
      </c>
      <c r="E2151" s="795"/>
      <c r="F2151" s="795"/>
      <c r="G2151" s="795"/>
      <c r="H2151" s="796"/>
      <c r="I2151" s="169"/>
      <c r="J2151" s="167"/>
      <c r="K2151" s="169"/>
      <c r="L2151" s="167"/>
      <c r="M2151" s="169"/>
      <c r="N2151" s="167"/>
      <c r="O2151" s="169"/>
    </row>
    <row r="2152" spans="2:16" s="453" customFormat="1" ht="14" x14ac:dyDescent="0.2">
      <c r="B2152" s="302"/>
      <c r="C2152" s="303"/>
      <c r="D2152" s="303"/>
      <c r="E2152" s="303"/>
      <c r="F2152" s="603" t="s">
        <v>1041</v>
      </c>
      <c r="G2152" s="603"/>
      <c r="H2152" s="603"/>
      <c r="I2152" s="169"/>
      <c r="J2152" s="167"/>
      <c r="K2152" s="169"/>
      <c r="L2152" s="167"/>
      <c r="M2152" s="169"/>
      <c r="N2152" s="167"/>
      <c r="O2152" s="169"/>
    </row>
    <row r="2153" spans="2:16" s="453" customFormat="1" ht="14" x14ac:dyDescent="0.2">
      <c r="B2153" s="291">
        <v>17</v>
      </c>
      <c r="C2153" s="602" t="s">
        <v>890</v>
      </c>
      <c r="D2153" s="602"/>
      <c r="E2153" s="602"/>
      <c r="F2153" s="602"/>
      <c r="G2153" s="602"/>
      <c r="H2153" s="333"/>
      <c r="I2153" s="168" t="s">
        <v>211</v>
      </c>
      <c r="J2153" s="166" t="s">
        <v>211</v>
      </c>
      <c r="K2153" s="168" t="s">
        <v>211</v>
      </c>
      <c r="L2153" s="166" t="s">
        <v>211</v>
      </c>
      <c r="M2153" s="168" t="s">
        <v>211</v>
      </c>
      <c r="N2153" s="166" t="s">
        <v>211</v>
      </c>
      <c r="O2153" s="168" t="s">
        <v>211</v>
      </c>
    </row>
    <row r="2154" spans="2:16" s="453" customFormat="1" ht="14" x14ac:dyDescent="0.2">
      <c r="B2154" s="293"/>
      <c r="C2154" s="572"/>
      <c r="D2154" s="572"/>
      <c r="E2154" s="572"/>
      <c r="F2154" s="572"/>
      <c r="G2154" s="572"/>
      <c r="H2154" s="322"/>
      <c r="I2154" s="172">
        <f>COUNTIF(I1981:I2153,Data!$A$1)</f>
        <v>0</v>
      </c>
      <c r="J2154" s="203">
        <f>COUNTIF(J1981:J2153,Data!$A$1)</f>
        <v>0</v>
      </c>
      <c r="K2154" s="172">
        <f>COUNTIF(K1981:K2153,Data!$A$1)</f>
        <v>0</v>
      </c>
      <c r="L2154" s="203">
        <f>COUNTIF(L1981:L2153,Data!$A$1)</f>
        <v>0</v>
      </c>
      <c r="M2154" s="172">
        <f>COUNTIF(M1981:M2153,Data!$A$1)</f>
        <v>0</v>
      </c>
      <c r="N2154" s="203">
        <f>COUNTIF(N1981:N2153,Data!$A$1)</f>
        <v>0</v>
      </c>
      <c r="O2154" s="172">
        <f>COUNTIF(O1981:O2153,Data!$A$1)</f>
        <v>0</v>
      </c>
      <c r="P2154" s="107">
        <f>SUM(I2154:K2154,M2154:N2154)</f>
        <v>0</v>
      </c>
    </row>
    <row r="2155" spans="2:16" s="453" customFormat="1" ht="14" x14ac:dyDescent="0.2">
      <c r="B2155" s="295" t="s">
        <v>333</v>
      </c>
      <c r="C2155" s="597" t="s">
        <v>1042</v>
      </c>
      <c r="D2155" s="597"/>
      <c r="E2155" s="597"/>
      <c r="F2155" s="597"/>
      <c r="G2155" s="597"/>
      <c r="H2155" s="322"/>
      <c r="I2155" s="172">
        <f>SUM(I2154*5)</f>
        <v>0</v>
      </c>
      <c r="J2155" s="208"/>
      <c r="K2155" s="172">
        <f>SUM(K2154*4)</f>
        <v>0</v>
      </c>
      <c r="L2155" s="208"/>
      <c r="M2155" s="172">
        <f>SUM(M2154*5)</f>
        <v>0</v>
      </c>
      <c r="N2155" s="208">
        <f>SUM(N2154*5)</f>
        <v>0</v>
      </c>
      <c r="O2155" s="172">
        <f>SUM(I2155:N2155)</f>
        <v>0</v>
      </c>
      <c r="P2155" s="107">
        <f>SUM(P2154*5)</f>
        <v>0</v>
      </c>
    </row>
    <row r="2156" spans="2:16" s="453" customFormat="1" ht="14" x14ac:dyDescent="0.2">
      <c r="B2156" s="295"/>
      <c r="C2156" s="597"/>
      <c r="D2156" s="597"/>
      <c r="E2156" s="597"/>
      <c r="F2156" s="597"/>
      <c r="G2156" s="597"/>
      <c r="H2156" s="322"/>
      <c r="I2156" s="169"/>
      <c r="J2156" s="173"/>
      <c r="K2156" s="169"/>
      <c r="L2156" s="173"/>
      <c r="M2156" s="169"/>
      <c r="N2156" s="208"/>
      <c r="O2156" s="169"/>
    </row>
    <row r="2157" spans="2:16" s="453" customFormat="1" ht="14" x14ac:dyDescent="0.2">
      <c r="B2157" s="293"/>
      <c r="F2157" s="586" t="s">
        <v>1036</v>
      </c>
      <c r="G2157" s="586"/>
      <c r="H2157" s="592"/>
      <c r="I2157" s="169"/>
      <c r="J2157" s="173"/>
      <c r="K2157" s="169"/>
      <c r="L2157" s="173"/>
      <c r="M2157" s="169"/>
      <c r="N2157" s="173"/>
      <c r="O2157" s="169"/>
    </row>
    <row r="2158" spans="2:16" s="453" customFormat="1" ht="14" x14ac:dyDescent="0.2">
      <c r="B2158" s="293"/>
      <c r="F2158" s="604" t="s">
        <v>1043</v>
      </c>
      <c r="G2158" s="604"/>
      <c r="H2158" s="605"/>
      <c r="I2158" s="169"/>
      <c r="J2158" s="167"/>
      <c r="K2158" s="169"/>
      <c r="L2158" s="173"/>
      <c r="M2158" s="169"/>
      <c r="N2158" s="167"/>
      <c r="O2158" s="169"/>
    </row>
    <row r="2159" spans="2:16" s="453" customFormat="1" ht="14" x14ac:dyDescent="0.2">
      <c r="B2159" s="302"/>
      <c r="C2159" s="303"/>
      <c r="D2159" s="303"/>
      <c r="E2159" s="303"/>
      <c r="F2159" s="599" t="s">
        <v>1044</v>
      </c>
      <c r="G2159" s="599"/>
      <c r="H2159" s="599"/>
      <c r="I2159" s="169"/>
      <c r="J2159" s="167"/>
      <c r="K2159" s="169"/>
      <c r="L2159" s="167"/>
      <c r="M2159" s="169"/>
      <c r="N2159" s="167"/>
      <c r="O2159" s="169"/>
    </row>
    <row r="2160" spans="2:16" s="453" customFormat="1" ht="14" x14ac:dyDescent="0.2">
      <c r="B2160" s="899" t="s">
        <v>901</v>
      </c>
      <c r="C2160" s="900"/>
      <c r="D2160" s="900"/>
      <c r="E2160" s="377"/>
      <c r="F2160" s="377"/>
      <c r="G2160" s="378"/>
      <c r="H2160" s="379"/>
      <c r="I2160" s="169"/>
      <c r="J2160" s="167"/>
      <c r="K2160" s="169"/>
      <c r="L2160" s="167"/>
      <c r="M2160" s="169"/>
      <c r="N2160" s="167"/>
      <c r="O2160" s="169"/>
    </row>
    <row r="2161" spans="2:16" s="453" customFormat="1" ht="14" x14ac:dyDescent="0.2">
      <c r="B2161" s="291"/>
      <c r="C2161" s="602" t="s">
        <v>902</v>
      </c>
      <c r="D2161" s="602"/>
      <c r="E2161" s="602"/>
      <c r="F2161" s="602"/>
      <c r="G2161" s="602"/>
      <c r="H2161" s="333"/>
      <c r="I2161" s="168" t="s">
        <v>211</v>
      </c>
      <c r="J2161" s="166" t="s">
        <v>211</v>
      </c>
      <c r="K2161" s="168" t="s">
        <v>211</v>
      </c>
      <c r="L2161" s="166" t="s">
        <v>211</v>
      </c>
      <c r="M2161" s="168" t="s">
        <v>211</v>
      </c>
      <c r="N2161" s="166" t="s">
        <v>211</v>
      </c>
      <c r="O2161" s="168" t="s">
        <v>211</v>
      </c>
    </row>
    <row r="2162" spans="2:16" s="453" customFormat="1" ht="14" x14ac:dyDescent="0.2">
      <c r="B2162" s="293"/>
      <c r="C2162" s="572"/>
      <c r="D2162" s="572"/>
      <c r="E2162" s="572"/>
      <c r="F2162" s="572"/>
      <c r="G2162" s="572"/>
      <c r="H2162" s="322"/>
      <c r="I2162" s="172">
        <f>COUNTIF(I2161,Data!$A$1)</f>
        <v>0</v>
      </c>
      <c r="J2162" s="203">
        <f>COUNTIF(J2161,Data!$A$1)</f>
        <v>0</v>
      </c>
      <c r="K2162" s="172">
        <f>COUNTIF(K2161,Data!$A$1)</f>
        <v>0</v>
      </c>
      <c r="L2162" s="203">
        <f>COUNTIF(L2161,Data!$A$1)</f>
        <v>0</v>
      </c>
      <c r="M2162" s="172">
        <f>COUNTIF(M2161,Data!$A$1)</f>
        <v>0</v>
      </c>
      <c r="N2162" s="203">
        <f>COUNTIF(N2161,Data!$A$1)</f>
        <v>0</v>
      </c>
      <c r="O2162" s="172">
        <f>COUNTIF(O2161,Data!$A$1)</f>
        <v>0</v>
      </c>
      <c r="P2162" s="107">
        <f>SUM(I2162:K2162,M2162:N2162)</f>
        <v>0</v>
      </c>
    </row>
    <row r="2163" spans="2:16" s="453" customFormat="1" ht="14" x14ac:dyDescent="0.2">
      <c r="B2163" s="295"/>
      <c r="C2163" s="365" t="s">
        <v>789</v>
      </c>
      <c r="D2163" s="365"/>
      <c r="E2163" s="365"/>
      <c r="F2163" s="365"/>
      <c r="G2163" s="365"/>
      <c r="H2163" s="322"/>
      <c r="I2163" s="172">
        <f>SUM(I2162*15)</f>
        <v>0</v>
      </c>
      <c r="J2163" s="202"/>
      <c r="K2163" s="172">
        <f>SUM(K2162*10)</f>
        <v>0</v>
      </c>
      <c r="L2163" s="202"/>
      <c r="M2163" s="172">
        <f>SUM(M2162*15)</f>
        <v>0</v>
      </c>
      <c r="N2163" s="202">
        <f>SUM(N2162*15)</f>
        <v>0</v>
      </c>
      <c r="O2163" s="172">
        <f>SUM(I2163:N2163)</f>
        <v>0</v>
      </c>
      <c r="P2163" s="107">
        <f>SUM(P2162*15)</f>
        <v>0</v>
      </c>
    </row>
    <row r="2164" spans="2:16" s="453" customFormat="1" ht="14" x14ac:dyDescent="0.2">
      <c r="B2164" s="295" t="s">
        <v>333</v>
      </c>
      <c r="C2164" s="597" t="s">
        <v>903</v>
      </c>
      <c r="D2164" s="597"/>
      <c r="E2164" s="597"/>
      <c r="F2164" s="597"/>
      <c r="G2164" s="597"/>
      <c r="H2164" s="322"/>
      <c r="I2164" s="169"/>
      <c r="J2164" s="167"/>
      <c r="K2164" s="169"/>
      <c r="L2164" s="202"/>
      <c r="M2164" s="169"/>
      <c r="N2164" s="202"/>
      <c r="O2164" s="169"/>
    </row>
    <row r="2165" spans="2:16" s="453" customFormat="1" ht="14" x14ac:dyDescent="0.2">
      <c r="B2165" s="295"/>
      <c r="C2165" s="597"/>
      <c r="D2165" s="597"/>
      <c r="E2165" s="597"/>
      <c r="F2165" s="597"/>
      <c r="G2165" s="597"/>
      <c r="H2165" s="322"/>
      <c r="I2165" s="169"/>
      <c r="J2165" s="167"/>
      <c r="K2165" s="169"/>
      <c r="L2165" s="167"/>
      <c r="M2165" s="169"/>
      <c r="N2165" s="167"/>
      <c r="O2165" s="169"/>
    </row>
    <row r="2166" spans="2:16" s="453" customFormat="1" ht="14" x14ac:dyDescent="0.2">
      <c r="B2166" s="295"/>
      <c r="C2166" s="597"/>
      <c r="D2166" s="597"/>
      <c r="E2166" s="597"/>
      <c r="F2166" s="597"/>
      <c r="G2166" s="597"/>
      <c r="H2166" s="322"/>
      <c r="I2166" s="169"/>
      <c r="J2166" s="167"/>
      <c r="K2166" s="169"/>
      <c r="L2166" s="167"/>
      <c r="M2166" s="169"/>
      <c r="N2166" s="167"/>
      <c r="O2166" s="169"/>
    </row>
    <row r="2167" spans="2:16" s="453" customFormat="1" ht="14" x14ac:dyDescent="0.2">
      <c r="B2167" s="302"/>
      <c r="C2167" s="303"/>
      <c r="D2167" s="303"/>
      <c r="E2167" s="303"/>
      <c r="F2167" s="580" t="s">
        <v>1045</v>
      </c>
      <c r="G2167" s="580"/>
      <c r="H2167" s="580"/>
      <c r="I2167" s="169"/>
      <c r="J2167" s="167"/>
      <c r="K2167" s="169"/>
      <c r="L2167" s="167"/>
      <c r="M2167" s="169"/>
      <c r="N2167" s="167"/>
      <c r="O2167" s="169"/>
    </row>
    <row r="2168" spans="2:16" s="453" customFormat="1" ht="14" x14ac:dyDescent="0.2">
      <c r="B2168" s="112"/>
      <c r="I2168" s="135"/>
      <c r="J2168" s="105"/>
      <c r="K2168" s="135"/>
      <c r="L2168" s="105"/>
      <c r="M2168" s="135"/>
      <c r="N2168" s="105"/>
      <c r="O2168" s="135"/>
    </row>
    <row r="2169" spans="2:16" s="453" customFormat="1" ht="14" x14ac:dyDescent="0.2">
      <c r="B2169" s="901" t="s">
        <v>1048</v>
      </c>
      <c r="C2169" s="902"/>
      <c r="D2169" s="902"/>
      <c r="E2169" s="902"/>
      <c r="F2169" s="902"/>
      <c r="G2169" s="441"/>
      <c r="H2169" s="380"/>
      <c r="I2169" s="135"/>
      <c r="J2169" s="105"/>
      <c r="K2169" s="135"/>
      <c r="L2169" s="105"/>
      <c r="M2169" s="135"/>
      <c r="N2169" s="105"/>
      <c r="O2169" s="135"/>
    </row>
    <row r="2170" spans="2:16" s="453" customFormat="1" ht="14" x14ac:dyDescent="0.2">
      <c r="B2170" s="291">
        <v>1</v>
      </c>
      <c r="C2170" s="598" t="s">
        <v>961</v>
      </c>
      <c r="D2170" s="598"/>
      <c r="E2170" s="598"/>
      <c r="F2170" s="598"/>
      <c r="G2170" s="598"/>
      <c r="H2170" s="292"/>
      <c r="I2170" s="168" t="s">
        <v>211</v>
      </c>
      <c r="J2170" s="166" t="s">
        <v>211</v>
      </c>
      <c r="K2170" s="168" t="s">
        <v>211</v>
      </c>
      <c r="L2170" s="166" t="s">
        <v>211</v>
      </c>
      <c r="M2170" s="168" t="s">
        <v>211</v>
      </c>
      <c r="N2170" s="166" t="s">
        <v>211</v>
      </c>
      <c r="O2170" s="168" t="s">
        <v>211</v>
      </c>
    </row>
    <row r="2171" spans="2:16" s="453" customFormat="1" ht="14" x14ac:dyDescent="0.2">
      <c r="B2171" s="293"/>
      <c r="F2171" s="586" t="s">
        <v>727</v>
      </c>
      <c r="G2171" s="586"/>
      <c r="H2171" s="587"/>
      <c r="I2171" s="169"/>
      <c r="J2171" s="167"/>
      <c r="K2171" s="169"/>
      <c r="L2171" s="167"/>
      <c r="M2171" s="169"/>
      <c r="N2171" s="167"/>
      <c r="O2171" s="169"/>
    </row>
    <row r="2172" spans="2:16" s="453" customFormat="1" ht="14" x14ac:dyDescent="0.2">
      <c r="B2172" s="293"/>
      <c r="C2172" s="573" t="s">
        <v>919</v>
      </c>
      <c r="D2172" s="573"/>
      <c r="E2172" s="573"/>
      <c r="F2172" s="573"/>
      <c r="G2172" s="573"/>
      <c r="H2172" s="296"/>
      <c r="I2172" s="168" t="s">
        <v>211</v>
      </c>
      <c r="J2172" s="166" t="s">
        <v>211</v>
      </c>
      <c r="K2172" s="168" t="s">
        <v>211</v>
      </c>
      <c r="L2172" s="166" t="s">
        <v>211</v>
      </c>
      <c r="M2172" s="168" t="s">
        <v>211</v>
      </c>
      <c r="N2172" s="166" t="s">
        <v>211</v>
      </c>
      <c r="O2172" s="168" t="s">
        <v>211</v>
      </c>
    </row>
    <row r="2173" spans="2:16" s="453" customFormat="1" ht="14" x14ac:dyDescent="0.2">
      <c r="B2173" s="293"/>
      <c r="C2173" s="573" t="s">
        <v>728</v>
      </c>
      <c r="D2173" s="573"/>
      <c r="E2173" s="573"/>
      <c r="F2173" s="573"/>
      <c r="G2173" s="573"/>
      <c r="H2173" s="296"/>
      <c r="I2173" s="168" t="s">
        <v>211</v>
      </c>
      <c r="J2173" s="166" t="s">
        <v>211</v>
      </c>
      <c r="K2173" s="168" t="s">
        <v>211</v>
      </c>
      <c r="L2173" s="166" t="s">
        <v>211</v>
      </c>
      <c r="M2173" s="168" t="s">
        <v>211</v>
      </c>
      <c r="N2173" s="166" t="s">
        <v>211</v>
      </c>
      <c r="O2173" s="168" t="s">
        <v>211</v>
      </c>
    </row>
    <row r="2174" spans="2:16" s="453" customFormat="1" ht="14" x14ac:dyDescent="0.2">
      <c r="B2174" s="293"/>
      <c r="C2174" s="573" t="s">
        <v>729</v>
      </c>
      <c r="D2174" s="573"/>
      <c r="E2174" s="573"/>
      <c r="F2174" s="573"/>
      <c r="G2174" s="573"/>
      <c r="H2174" s="296"/>
      <c r="I2174" s="168" t="s">
        <v>211</v>
      </c>
      <c r="J2174" s="166" t="s">
        <v>211</v>
      </c>
      <c r="K2174" s="168" t="s">
        <v>211</v>
      </c>
      <c r="L2174" s="166" t="s">
        <v>211</v>
      </c>
      <c r="M2174" s="168" t="s">
        <v>211</v>
      </c>
      <c r="N2174" s="166" t="s">
        <v>211</v>
      </c>
      <c r="O2174" s="168" t="s">
        <v>211</v>
      </c>
    </row>
    <row r="2175" spans="2:16" s="453" customFormat="1" ht="14" x14ac:dyDescent="0.2">
      <c r="B2175" s="293"/>
      <c r="F2175" s="593" t="s">
        <v>920</v>
      </c>
      <c r="G2175" s="593"/>
      <c r="H2175" s="768"/>
      <c r="I2175" s="169"/>
      <c r="J2175" s="167"/>
      <c r="K2175" s="169"/>
      <c r="L2175" s="167"/>
      <c r="M2175" s="169"/>
      <c r="N2175" s="167"/>
      <c r="O2175" s="169"/>
    </row>
    <row r="2176" spans="2:16" s="453" customFormat="1" ht="14" x14ac:dyDescent="0.2">
      <c r="B2176" s="302"/>
      <c r="C2176" s="303"/>
      <c r="D2176" s="303"/>
      <c r="E2176" s="303"/>
      <c r="F2176" s="580" t="s">
        <v>1049</v>
      </c>
      <c r="G2176" s="580"/>
      <c r="H2176" s="585"/>
      <c r="I2176" s="169"/>
      <c r="J2176" s="167"/>
      <c r="K2176" s="169"/>
      <c r="L2176" s="167"/>
      <c r="M2176" s="169"/>
      <c r="N2176" s="167"/>
      <c r="O2176" s="169"/>
    </row>
    <row r="2177" spans="2:15" s="453" customFormat="1" ht="14" x14ac:dyDescent="0.2">
      <c r="B2177" s="291">
        <v>2</v>
      </c>
      <c r="C2177" s="602" t="s">
        <v>890</v>
      </c>
      <c r="D2177" s="602"/>
      <c r="E2177" s="602"/>
      <c r="F2177" s="602"/>
      <c r="G2177" s="602"/>
      <c r="H2177" s="292"/>
      <c r="I2177" s="168" t="s">
        <v>211</v>
      </c>
      <c r="J2177" s="166" t="s">
        <v>211</v>
      </c>
      <c r="K2177" s="168" t="s">
        <v>211</v>
      </c>
      <c r="L2177" s="166" t="s">
        <v>211</v>
      </c>
      <c r="M2177" s="168" t="s">
        <v>211</v>
      </c>
      <c r="N2177" s="166" t="s">
        <v>211</v>
      </c>
      <c r="O2177" s="168" t="s">
        <v>211</v>
      </c>
    </row>
    <row r="2178" spans="2:15" s="453" customFormat="1" ht="14" x14ac:dyDescent="0.2">
      <c r="B2178" s="293"/>
      <c r="C2178" s="572"/>
      <c r="D2178" s="572"/>
      <c r="E2178" s="572"/>
      <c r="F2178" s="572"/>
      <c r="G2178" s="572"/>
      <c r="H2178" s="294"/>
      <c r="I2178" s="169"/>
      <c r="J2178" s="167"/>
      <c r="K2178" s="169"/>
      <c r="L2178" s="167"/>
      <c r="M2178" s="169"/>
      <c r="N2178" s="167"/>
      <c r="O2178" s="169"/>
    </row>
    <row r="2179" spans="2:15" s="453" customFormat="1" ht="14" x14ac:dyDescent="0.2">
      <c r="B2179" s="293"/>
      <c r="C2179" s="573" t="s">
        <v>1050</v>
      </c>
      <c r="D2179" s="573"/>
      <c r="E2179" s="573"/>
      <c r="F2179" s="573"/>
      <c r="G2179" s="573"/>
      <c r="H2179" s="296"/>
      <c r="I2179" s="168" t="s">
        <v>211</v>
      </c>
      <c r="J2179" s="166" t="s">
        <v>211</v>
      </c>
      <c r="K2179" s="168" t="s">
        <v>211</v>
      </c>
      <c r="L2179" s="166" t="s">
        <v>211</v>
      </c>
      <c r="M2179" s="168" t="s">
        <v>211</v>
      </c>
      <c r="N2179" s="166" t="s">
        <v>211</v>
      </c>
      <c r="O2179" s="168" t="s">
        <v>211</v>
      </c>
    </row>
    <row r="2180" spans="2:15" s="453" customFormat="1" ht="14" x14ac:dyDescent="0.2">
      <c r="B2180" s="293"/>
      <c r="F2180" s="835" t="s">
        <v>1051</v>
      </c>
      <c r="G2180" s="835"/>
      <c r="H2180" s="836"/>
      <c r="I2180" s="169"/>
      <c r="J2180" s="167"/>
      <c r="K2180" s="169"/>
      <c r="L2180" s="167"/>
      <c r="M2180" s="169"/>
      <c r="N2180" s="167"/>
      <c r="O2180" s="169"/>
    </row>
    <row r="2181" spans="2:15" s="453" customFormat="1" ht="14" x14ac:dyDescent="0.2">
      <c r="B2181" s="293"/>
      <c r="F2181" s="795" t="s">
        <v>1052</v>
      </c>
      <c r="G2181" s="795"/>
      <c r="H2181" s="800"/>
      <c r="I2181" s="169"/>
      <c r="J2181" s="167"/>
      <c r="K2181" s="169"/>
      <c r="L2181" s="167"/>
      <c r="M2181" s="169"/>
      <c r="N2181" s="167"/>
      <c r="O2181" s="169"/>
    </row>
    <row r="2182" spans="2:15" s="453" customFormat="1" ht="14" x14ac:dyDescent="0.2">
      <c r="B2182" s="293"/>
      <c r="F2182" s="835" t="s">
        <v>1053</v>
      </c>
      <c r="G2182" s="835"/>
      <c r="H2182" s="836"/>
      <c r="I2182" s="169"/>
      <c r="J2182" s="167"/>
      <c r="K2182" s="169"/>
      <c r="L2182" s="167"/>
      <c r="M2182" s="169"/>
      <c r="N2182" s="167"/>
      <c r="O2182" s="169"/>
    </row>
    <row r="2183" spans="2:15" s="453" customFormat="1" ht="14" x14ac:dyDescent="0.2">
      <c r="B2183" s="302"/>
      <c r="C2183" s="580" t="s">
        <v>1057</v>
      </c>
      <c r="D2183" s="580"/>
      <c r="E2183" s="580"/>
      <c r="F2183" s="797" t="s">
        <v>1054</v>
      </c>
      <c r="G2183" s="797"/>
      <c r="H2183" s="798"/>
      <c r="I2183" s="169"/>
      <c r="J2183" s="167"/>
      <c r="K2183" s="169"/>
      <c r="L2183" s="167"/>
      <c r="M2183" s="169"/>
      <c r="N2183" s="167"/>
      <c r="O2183" s="169"/>
    </row>
    <row r="2184" spans="2:15" s="453" customFormat="1" ht="14" x14ac:dyDescent="0.2">
      <c r="B2184" s="291">
        <v>3</v>
      </c>
      <c r="C2184" s="598" t="s">
        <v>634</v>
      </c>
      <c r="D2184" s="598"/>
      <c r="E2184" s="598"/>
      <c r="F2184" s="598"/>
      <c r="G2184" s="598"/>
      <c r="H2184" s="292"/>
      <c r="I2184" s="168" t="s">
        <v>211</v>
      </c>
      <c r="J2184" s="166" t="s">
        <v>211</v>
      </c>
      <c r="K2184" s="168" t="s">
        <v>211</v>
      </c>
      <c r="L2184" s="166" t="s">
        <v>211</v>
      </c>
      <c r="M2184" s="168" t="s">
        <v>211</v>
      </c>
      <c r="N2184" s="166" t="s">
        <v>211</v>
      </c>
      <c r="O2184" s="168" t="s">
        <v>211</v>
      </c>
    </row>
    <row r="2185" spans="2:15" s="453" customFormat="1" ht="14" x14ac:dyDescent="0.2">
      <c r="B2185" s="293"/>
      <c r="C2185" s="573" t="s">
        <v>452</v>
      </c>
      <c r="D2185" s="573"/>
      <c r="E2185" s="573"/>
      <c r="F2185" s="573"/>
      <c r="G2185" s="573"/>
      <c r="H2185" s="296"/>
      <c r="I2185" s="168" t="s">
        <v>211</v>
      </c>
      <c r="J2185" s="166" t="s">
        <v>211</v>
      </c>
      <c r="K2185" s="168" t="s">
        <v>211</v>
      </c>
      <c r="L2185" s="166" t="s">
        <v>211</v>
      </c>
      <c r="M2185" s="168" t="s">
        <v>211</v>
      </c>
      <c r="N2185" s="166" t="s">
        <v>211</v>
      </c>
      <c r="O2185" s="168" t="s">
        <v>211</v>
      </c>
    </row>
    <row r="2186" spans="2:15" s="453" customFormat="1" ht="14" x14ac:dyDescent="0.2">
      <c r="B2186" s="293"/>
      <c r="F2186" s="593" t="s">
        <v>1055</v>
      </c>
      <c r="G2186" s="593"/>
      <c r="H2186" s="768"/>
      <c r="I2186" s="169"/>
      <c r="J2186" s="167"/>
      <c r="K2186" s="169"/>
      <c r="L2186" s="167"/>
      <c r="M2186" s="169"/>
      <c r="N2186" s="167"/>
      <c r="O2186" s="169"/>
    </row>
    <row r="2187" spans="2:15" s="453" customFormat="1" ht="14" x14ac:dyDescent="0.2">
      <c r="B2187" s="293"/>
      <c r="F2187" s="593" t="s">
        <v>1056</v>
      </c>
      <c r="G2187" s="593"/>
      <c r="H2187" s="768"/>
      <c r="I2187" s="169"/>
      <c r="J2187" s="167"/>
      <c r="K2187" s="169"/>
      <c r="L2187" s="167"/>
      <c r="M2187" s="169"/>
      <c r="N2187" s="167"/>
      <c r="O2187" s="169"/>
    </row>
    <row r="2188" spans="2:15" s="453" customFormat="1" ht="14" x14ac:dyDescent="0.2">
      <c r="B2188" s="302"/>
      <c r="C2188" s="303"/>
      <c r="D2188" s="303"/>
      <c r="E2188" s="303"/>
      <c r="F2188" s="580" t="s">
        <v>1057</v>
      </c>
      <c r="G2188" s="580"/>
      <c r="H2188" s="585"/>
      <c r="I2188" s="169"/>
      <c r="J2188" s="167"/>
      <c r="K2188" s="169"/>
      <c r="L2188" s="167"/>
      <c r="M2188" s="169"/>
      <c r="N2188" s="167"/>
      <c r="O2188" s="169"/>
    </row>
    <row r="2189" spans="2:15" s="453" customFormat="1" ht="14" x14ac:dyDescent="0.2">
      <c r="B2189" s="291">
        <v>4</v>
      </c>
      <c r="C2189" s="602" t="s">
        <v>1058</v>
      </c>
      <c r="D2189" s="602"/>
      <c r="E2189" s="602"/>
      <c r="F2189" s="602"/>
      <c r="G2189" s="602"/>
      <c r="H2189" s="292"/>
      <c r="I2189" s="168" t="s">
        <v>211</v>
      </c>
      <c r="J2189" s="166" t="s">
        <v>211</v>
      </c>
      <c r="K2189" s="168" t="s">
        <v>211</v>
      </c>
      <c r="L2189" s="166" t="s">
        <v>211</v>
      </c>
      <c r="M2189" s="168" t="s">
        <v>211</v>
      </c>
      <c r="N2189" s="166" t="s">
        <v>211</v>
      </c>
      <c r="O2189" s="168" t="s">
        <v>211</v>
      </c>
    </row>
    <row r="2190" spans="2:15" s="453" customFormat="1" ht="14" x14ac:dyDescent="0.2">
      <c r="B2190" s="293"/>
      <c r="C2190" s="572"/>
      <c r="D2190" s="572"/>
      <c r="E2190" s="572"/>
      <c r="F2190" s="572"/>
      <c r="G2190" s="572"/>
      <c r="H2190" s="294"/>
      <c r="I2190" s="169"/>
      <c r="J2190" s="167"/>
      <c r="K2190" s="169"/>
      <c r="L2190" s="167"/>
      <c r="M2190" s="169"/>
      <c r="N2190" s="167"/>
      <c r="O2190" s="169"/>
    </row>
    <row r="2191" spans="2:15" s="453" customFormat="1" ht="14" x14ac:dyDescent="0.2">
      <c r="B2191" s="293"/>
      <c r="C2191" s="572"/>
      <c r="D2191" s="572"/>
      <c r="E2191" s="572"/>
      <c r="F2191" s="572"/>
      <c r="G2191" s="572"/>
      <c r="H2191" s="294"/>
      <c r="I2191" s="169"/>
      <c r="J2191" s="167"/>
      <c r="K2191" s="169"/>
      <c r="L2191" s="167"/>
      <c r="M2191" s="169"/>
      <c r="N2191" s="167"/>
      <c r="O2191" s="169"/>
    </row>
    <row r="2192" spans="2:15" s="453" customFormat="1" ht="14" x14ac:dyDescent="0.2">
      <c r="B2192" s="293"/>
      <c r="C2192" s="573" t="s">
        <v>1059</v>
      </c>
      <c r="D2192" s="573"/>
      <c r="E2192" s="573"/>
      <c r="F2192" s="573"/>
      <c r="G2192" s="573"/>
      <c r="H2192" s="296"/>
      <c r="I2192" s="168" t="s">
        <v>211</v>
      </c>
      <c r="J2192" s="166" t="s">
        <v>211</v>
      </c>
      <c r="K2192" s="168" t="s">
        <v>211</v>
      </c>
      <c r="L2192" s="166" t="s">
        <v>211</v>
      </c>
      <c r="M2192" s="168" t="s">
        <v>211</v>
      </c>
      <c r="N2192" s="166" t="s">
        <v>211</v>
      </c>
      <c r="O2192" s="168" t="s">
        <v>211</v>
      </c>
    </row>
    <row r="2193" spans="2:15" s="453" customFormat="1" ht="14" x14ac:dyDescent="0.2">
      <c r="B2193" s="293"/>
      <c r="C2193" s="573" t="s">
        <v>473</v>
      </c>
      <c r="D2193" s="573"/>
      <c r="E2193" s="573"/>
      <c r="F2193" s="573"/>
      <c r="G2193" s="573"/>
      <c r="H2193" s="296"/>
      <c r="I2193" s="168" t="s">
        <v>211</v>
      </c>
      <c r="J2193" s="166" t="s">
        <v>211</v>
      </c>
      <c r="K2193" s="168" t="s">
        <v>211</v>
      </c>
      <c r="L2193" s="166" t="s">
        <v>211</v>
      </c>
      <c r="M2193" s="168" t="s">
        <v>211</v>
      </c>
      <c r="N2193" s="166" t="s">
        <v>211</v>
      </c>
      <c r="O2193" s="168" t="s">
        <v>211</v>
      </c>
    </row>
    <row r="2194" spans="2:15" s="453" customFormat="1" ht="14" x14ac:dyDescent="0.2">
      <c r="B2194" s="293"/>
      <c r="C2194" s="593" t="s">
        <v>1057</v>
      </c>
      <c r="D2194" s="593"/>
      <c r="E2194" s="593"/>
      <c r="F2194" s="833" t="s">
        <v>746</v>
      </c>
      <c r="G2194" s="833"/>
      <c r="H2194" s="834"/>
      <c r="I2194" s="169"/>
      <c r="J2194" s="167"/>
      <c r="K2194" s="169"/>
      <c r="L2194" s="167"/>
      <c r="M2194" s="169"/>
      <c r="N2194" s="167"/>
      <c r="O2194" s="169"/>
    </row>
    <row r="2195" spans="2:15" s="453" customFormat="1" ht="14" x14ac:dyDescent="0.2">
      <c r="B2195" s="302"/>
      <c r="C2195" s="580" t="s">
        <v>1288</v>
      </c>
      <c r="D2195" s="580"/>
      <c r="E2195" s="580"/>
      <c r="F2195" s="797" t="s">
        <v>474</v>
      </c>
      <c r="G2195" s="797"/>
      <c r="H2195" s="798"/>
      <c r="I2195" s="169"/>
      <c r="J2195" s="167"/>
      <c r="K2195" s="169"/>
      <c r="L2195" s="167"/>
      <c r="M2195" s="169"/>
      <c r="N2195" s="167"/>
      <c r="O2195" s="169"/>
    </row>
    <row r="2196" spans="2:15" s="453" customFormat="1" ht="14" x14ac:dyDescent="0.2">
      <c r="B2196" s="291">
        <v>5</v>
      </c>
      <c r="C2196" s="598" t="s">
        <v>1060</v>
      </c>
      <c r="D2196" s="598"/>
      <c r="E2196" s="598"/>
      <c r="F2196" s="598"/>
      <c r="G2196" s="598"/>
      <c r="H2196" s="292"/>
      <c r="I2196" s="168" t="s">
        <v>211</v>
      </c>
      <c r="J2196" s="166" t="s">
        <v>211</v>
      </c>
      <c r="K2196" s="168" t="s">
        <v>211</v>
      </c>
      <c r="L2196" s="166" t="s">
        <v>211</v>
      </c>
      <c r="M2196" s="168" t="s">
        <v>211</v>
      </c>
      <c r="N2196" s="166" t="s">
        <v>211</v>
      </c>
      <c r="O2196" s="168" t="s">
        <v>211</v>
      </c>
    </row>
    <row r="2197" spans="2:15" s="453" customFormat="1" ht="14" x14ac:dyDescent="0.2">
      <c r="B2197" s="293"/>
      <c r="C2197" s="572" t="s">
        <v>1061</v>
      </c>
      <c r="D2197" s="572"/>
      <c r="E2197" s="572"/>
      <c r="F2197" s="572"/>
      <c r="G2197" s="572"/>
      <c r="H2197" s="296"/>
      <c r="I2197" s="168" t="s">
        <v>211</v>
      </c>
      <c r="J2197" s="166" t="s">
        <v>211</v>
      </c>
      <c r="K2197" s="168" t="s">
        <v>211</v>
      </c>
      <c r="L2197" s="166" t="s">
        <v>211</v>
      </c>
      <c r="M2197" s="168" t="s">
        <v>211</v>
      </c>
      <c r="N2197" s="166" t="s">
        <v>211</v>
      </c>
      <c r="O2197" s="168" t="s">
        <v>211</v>
      </c>
    </row>
    <row r="2198" spans="2:15" s="453" customFormat="1" ht="14" x14ac:dyDescent="0.2">
      <c r="B2198" s="293"/>
      <c r="C2198" s="572"/>
      <c r="D2198" s="572"/>
      <c r="E2198" s="572"/>
      <c r="F2198" s="572"/>
      <c r="G2198" s="572"/>
      <c r="H2198" s="294"/>
      <c r="I2198" s="169"/>
      <c r="J2198" s="167"/>
      <c r="K2198" s="169"/>
      <c r="L2198" s="167"/>
      <c r="M2198" s="169"/>
      <c r="N2198" s="167"/>
      <c r="O2198" s="169"/>
    </row>
    <row r="2199" spans="2:15" s="453" customFormat="1" ht="14" x14ac:dyDescent="0.2">
      <c r="B2199" s="293"/>
      <c r="C2199" s="573" t="s">
        <v>1062</v>
      </c>
      <c r="D2199" s="573"/>
      <c r="E2199" s="573"/>
      <c r="F2199" s="573"/>
      <c r="G2199" s="573"/>
      <c r="H2199" s="296"/>
      <c r="I2199" s="168" t="s">
        <v>211</v>
      </c>
      <c r="J2199" s="166" t="s">
        <v>211</v>
      </c>
      <c r="K2199" s="168" t="s">
        <v>211</v>
      </c>
      <c r="L2199" s="166" t="s">
        <v>211</v>
      </c>
      <c r="M2199" s="168" t="s">
        <v>211</v>
      </c>
      <c r="N2199" s="166" t="s">
        <v>211</v>
      </c>
      <c r="O2199" s="168" t="s">
        <v>211</v>
      </c>
    </row>
    <row r="2200" spans="2:15" s="453" customFormat="1" ht="14" x14ac:dyDescent="0.2">
      <c r="B2200" s="293"/>
      <c r="F2200" s="586" t="s">
        <v>1002</v>
      </c>
      <c r="G2200" s="586"/>
      <c r="H2200" s="587"/>
      <c r="I2200" s="169"/>
      <c r="J2200" s="167"/>
      <c r="K2200" s="169"/>
      <c r="L2200" s="167"/>
      <c r="M2200" s="169"/>
      <c r="N2200" s="167"/>
      <c r="O2200" s="169"/>
    </row>
    <row r="2201" spans="2:15" s="453" customFormat="1" ht="14" x14ac:dyDescent="0.2">
      <c r="B2201" s="293"/>
      <c r="F2201" s="795" t="s">
        <v>1063</v>
      </c>
      <c r="G2201" s="795"/>
      <c r="H2201" s="800"/>
      <c r="I2201" s="169"/>
      <c r="J2201" s="167"/>
      <c r="K2201" s="169"/>
      <c r="L2201" s="167"/>
      <c r="M2201" s="169"/>
      <c r="N2201" s="167"/>
      <c r="O2201" s="169"/>
    </row>
    <row r="2202" spans="2:15" s="453" customFormat="1" ht="14" x14ac:dyDescent="0.2">
      <c r="B2202" s="302"/>
      <c r="C2202" s="303"/>
      <c r="D2202" s="303"/>
      <c r="E2202" s="303"/>
      <c r="F2202" s="580" t="s">
        <v>1057</v>
      </c>
      <c r="G2202" s="580"/>
      <c r="H2202" s="585"/>
      <c r="I2202" s="169"/>
      <c r="J2202" s="167"/>
      <c r="K2202" s="169"/>
      <c r="L2202" s="167"/>
      <c r="M2202" s="169"/>
      <c r="N2202" s="167"/>
      <c r="O2202" s="169"/>
    </row>
    <row r="2203" spans="2:15" s="453" customFormat="1" ht="14" x14ac:dyDescent="0.2">
      <c r="B2203" s="291">
        <v>6</v>
      </c>
      <c r="C2203" s="602" t="s">
        <v>1064</v>
      </c>
      <c r="D2203" s="602"/>
      <c r="E2203" s="602"/>
      <c r="F2203" s="602"/>
      <c r="G2203" s="602"/>
      <c r="H2203" s="292"/>
      <c r="I2203" s="168" t="s">
        <v>211</v>
      </c>
      <c r="J2203" s="166" t="s">
        <v>211</v>
      </c>
      <c r="K2203" s="168" t="s">
        <v>211</v>
      </c>
      <c r="L2203" s="166" t="s">
        <v>211</v>
      </c>
      <c r="M2203" s="168" t="s">
        <v>211</v>
      </c>
      <c r="N2203" s="166" t="s">
        <v>211</v>
      </c>
      <c r="O2203" s="168" t="s">
        <v>211</v>
      </c>
    </row>
    <row r="2204" spans="2:15" s="453" customFormat="1" ht="14" x14ac:dyDescent="0.2">
      <c r="B2204" s="293"/>
      <c r="C2204" s="572"/>
      <c r="D2204" s="572"/>
      <c r="E2204" s="572"/>
      <c r="F2204" s="572"/>
      <c r="G2204" s="572"/>
      <c r="H2204" s="294"/>
      <c r="I2204" s="169"/>
      <c r="J2204" s="167"/>
      <c r="K2204" s="169"/>
      <c r="L2204" s="167"/>
      <c r="M2204" s="169"/>
      <c r="N2204" s="167"/>
      <c r="O2204" s="169"/>
    </row>
    <row r="2205" spans="2:15" s="453" customFormat="1" ht="14" x14ac:dyDescent="0.2">
      <c r="B2205" s="293"/>
      <c r="C2205" s="573" t="s">
        <v>1065</v>
      </c>
      <c r="D2205" s="573"/>
      <c r="E2205" s="573"/>
      <c r="F2205" s="573"/>
      <c r="G2205" s="573"/>
      <c r="H2205" s="296"/>
      <c r="I2205" s="168" t="s">
        <v>211</v>
      </c>
      <c r="J2205" s="166" t="s">
        <v>211</v>
      </c>
      <c r="K2205" s="168" t="s">
        <v>211</v>
      </c>
      <c r="L2205" s="166" t="s">
        <v>211</v>
      </c>
      <c r="M2205" s="168" t="s">
        <v>211</v>
      </c>
      <c r="N2205" s="166" t="s">
        <v>211</v>
      </c>
      <c r="O2205" s="168" t="s">
        <v>211</v>
      </c>
    </row>
    <row r="2206" spans="2:15" s="453" customFormat="1" ht="14" x14ac:dyDescent="0.2">
      <c r="B2206" s="293"/>
      <c r="C2206" s="595" t="s">
        <v>1066</v>
      </c>
      <c r="D2206" s="595"/>
      <c r="E2206" s="595"/>
      <c r="F2206" s="595"/>
      <c r="G2206" s="595"/>
      <c r="H2206" s="296"/>
      <c r="I2206" s="168" t="s">
        <v>211</v>
      </c>
      <c r="J2206" s="166" t="s">
        <v>211</v>
      </c>
      <c r="K2206" s="168" t="s">
        <v>211</v>
      </c>
      <c r="L2206" s="166" t="s">
        <v>211</v>
      </c>
      <c r="M2206" s="168" t="s">
        <v>211</v>
      </c>
      <c r="N2206" s="166" t="s">
        <v>211</v>
      </c>
      <c r="O2206" s="168" t="s">
        <v>211</v>
      </c>
    </row>
    <row r="2207" spans="2:15" s="453" customFormat="1" ht="14" x14ac:dyDescent="0.2">
      <c r="B2207" s="293"/>
      <c r="C2207" s="573" t="s">
        <v>1062</v>
      </c>
      <c r="D2207" s="573"/>
      <c r="E2207" s="573"/>
      <c r="F2207" s="573"/>
      <c r="G2207" s="573"/>
      <c r="H2207" s="296"/>
      <c r="I2207" s="168" t="s">
        <v>211</v>
      </c>
      <c r="J2207" s="166" t="s">
        <v>211</v>
      </c>
      <c r="K2207" s="168" t="s">
        <v>211</v>
      </c>
      <c r="L2207" s="166" t="s">
        <v>211</v>
      </c>
      <c r="M2207" s="168" t="s">
        <v>211</v>
      </c>
      <c r="N2207" s="166" t="s">
        <v>211</v>
      </c>
      <c r="O2207" s="168" t="s">
        <v>211</v>
      </c>
    </row>
    <row r="2208" spans="2:15" s="453" customFormat="1" ht="14" x14ac:dyDescent="0.2">
      <c r="B2208" s="293"/>
      <c r="F2208" s="586" t="s">
        <v>1067</v>
      </c>
      <c r="G2208" s="586"/>
      <c r="H2208" s="587"/>
      <c r="I2208" s="169"/>
      <c r="J2208" s="167"/>
      <c r="K2208" s="169"/>
      <c r="L2208" s="167"/>
      <c r="M2208" s="169"/>
      <c r="N2208" s="167"/>
      <c r="O2208" s="169"/>
    </row>
    <row r="2209" spans="2:15" s="453" customFormat="1" ht="14" x14ac:dyDescent="0.2">
      <c r="B2209" s="293"/>
      <c r="F2209" s="586" t="s">
        <v>1002</v>
      </c>
      <c r="G2209" s="586"/>
      <c r="H2209" s="587"/>
      <c r="I2209" s="169"/>
      <c r="J2209" s="167"/>
      <c r="K2209" s="169"/>
      <c r="L2209" s="167"/>
      <c r="M2209" s="169"/>
      <c r="N2209" s="167"/>
      <c r="O2209" s="169"/>
    </row>
    <row r="2210" spans="2:15" s="453" customFormat="1" ht="14" x14ac:dyDescent="0.2">
      <c r="B2210" s="293"/>
      <c r="F2210" s="795" t="s">
        <v>1068</v>
      </c>
      <c r="G2210" s="795"/>
      <c r="H2210" s="800"/>
      <c r="I2210" s="169"/>
      <c r="J2210" s="167"/>
      <c r="K2210" s="169"/>
      <c r="L2210" s="167"/>
      <c r="M2210" s="169"/>
      <c r="N2210" s="167"/>
      <c r="O2210" s="169"/>
    </row>
    <row r="2211" spans="2:15" s="453" customFormat="1" ht="14" x14ac:dyDescent="0.2">
      <c r="B2211" s="302"/>
      <c r="C2211" s="303"/>
      <c r="D2211" s="303"/>
      <c r="E2211" s="303"/>
      <c r="F2211" s="580" t="s">
        <v>1069</v>
      </c>
      <c r="G2211" s="580"/>
      <c r="H2211" s="585"/>
      <c r="I2211" s="169"/>
      <c r="J2211" s="167"/>
      <c r="K2211" s="169"/>
      <c r="L2211" s="167"/>
      <c r="M2211" s="169"/>
      <c r="N2211" s="167"/>
      <c r="O2211" s="169"/>
    </row>
    <row r="2212" spans="2:15" s="453" customFormat="1" ht="14" x14ac:dyDescent="0.2">
      <c r="B2212" s="291">
        <v>7</v>
      </c>
      <c r="C2212" s="602" t="s">
        <v>1070</v>
      </c>
      <c r="D2212" s="602"/>
      <c r="E2212" s="602"/>
      <c r="F2212" s="602"/>
      <c r="G2212" s="602"/>
      <c r="H2212" s="292"/>
      <c r="I2212" s="168" t="s">
        <v>211</v>
      </c>
      <c r="J2212" s="166" t="s">
        <v>211</v>
      </c>
      <c r="K2212" s="168" t="s">
        <v>211</v>
      </c>
      <c r="L2212" s="166" t="s">
        <v>211</v>
      </c>
      <c r="M2212" s="168" t="s">
        <v>211</v>
      </c>
      <c r="N2212" s="166" t="s">
        <v>211</v>
      </c>
      <c r="O2212" s="168" t="s">
        <v>211</v>
      </c>
    </row>
    <row r="2213" spans="2:15" s="453" customFormat="1" ht="14" x14ac:dyDescent="0.2">
      <c r="B2213" s="293"/>
      <c r="C2213" s="572"/>
      <c r="D2213" s="572"/>
      <c r="E2213" s="572"/>
      <c r="F2213" s="572"/>
      <c r="G2213" s="572"/>
      <c r="H2213" s="294"/>
      <c r="I2213" s="169"/>
      <c r="J2213" s="167"/>
      <c r="K2213" s="169"/>
      <c r="L2213" s="167"/>
      <c r="M2213" s="169"/>
      <c r="N2213" s="167"/>
      <c r="O2213" s="169"/>
    </row>
    <row r="2214" spans="2:15" s="453" customFormat="1" ht="14" x14ac:dyDescent="0.2">
      <c r="B2214" s="293"/>
      <c r="C2214" s="572" t="s">
        <v>1071</v>
      </c>
      <c r="D2214" s="572"/>
      <c r="E2214" s="572"/>
      <c r="F2214" s="572"/>
      <c r="G2214" s="572"/>
      <c r="H2214" s="296"/>
      <c r="I2214" s="168" t="s">
        <v>211</v>
      </c>
      <c r="J2214" s="166" t="s">
        <v>211</v>
      </c>
      <c r="K2214" s="168" t="s">
        <v>211</v>
      </c>
      <c r="L2214" s="166" t="s">
        <v>211</v>
      </c>
      <c r="M2214" s="168" t="s">
        <v>211</v>
      </c>
      <c r="N2214" s="166" t="s">
        <v>211</v>
      </c>
      <c r="O2214" s="168" t="s">
        <v>211</v>
      </c>
    </row>
    <row r="2215" spans="2:15" s="453" customFormat="1" ht="14" x14ac:dyDescent="0.2">
      <c r="B2215" s="293"/>
      <c r="C2215" s="572"/>
      <c r="D2215" s="572"/>
      <c r="E2215" s="572"/>
      <c r="F2215" s="572"/>
      <c r="G2215" s="572"/>
      <c r="H2215" s="294"/>
      <c r="I2215" s="169"/>
      <c r="J2215" s="167"/>
      <c r="K2215" s="169"/>
      <c r="L2215" s="167"/>
      <c r="M2215" s="169"/>
      <c r="N2215" s="167"/>
      <c r="O2215" s="169"/>
    </row>
    <row r="2216" spans="2:15" s="453" customFormat="1" ht="14" x14ac:dyDescent="0.2">
      <c r="B2216" s="293"/>
      <c r="C2216" s="573" t="s">
        <v>473</v>
      </c>
      <c r="D2216" s="573"/>
      <c r="E2216" s="573"/>
      <c r="F2216" s="573"/>
      <c r="G2216" s="573"/>
      <c r="H2216" s="296"/>
      <c r="I2216" s="168" t="s">
        <v>211</v>
      </c>
      <c r="J2216" s="166" t="s">
        <v>211</v>
      </c>
      <c r="K2216" s="168" t="s">
        <v>211</v>
      </c>
      <c r="L2216" s="166" t="s">
        <v>211</v>
      </c>
      <c r="M2216" s="168" t="s">
        <v>211</v>
      </c>
      <c r="N2216" s="166" t="s">
        <v>211</v>
      </c>
      <c r="O2216" s="168" t="s">
        <v>211</v>
      </c>
    </row>
    <row r="2217" spans="2:15" s="453" customFormat="1" ht="14" x14ac:dyDescent="0.2">
      <c r="B2217" s="293"/>
      <c r="F2217" s="586" t="s">
        <v>642</v>
      </c>
      <c r="G2217" s="586"/>
      <c r="H2217" s="587"/>
      <c r="I2217" s="169"/>
      <c r="J2217" s="167"/>
      <c r="K2217" s="169"/>
      <c r="L2217" s="167"/>
      <c r="M2217" s="169"/>
      <c r="N2217" s="167"/>
      <c r="O2217" s="169"/>
    </row>
    <row r="2218" spans="2:15" s="453" customFormat="1" ht="14" x14ac:dyDescent="0.2">
      <c r="B2218" s="293"/>
      <c r="F2218" s="795" t="s">
        <v>474</v>
      </c>
      <c r="G2218" s="795"/>
      <c r="H2218" s="800"/>
      <c r="I2218" s="169"/>
      <c r="J2218" s="167"/>
      <c r="K2218" s="169"/>
      <c r="L2218" s="167"/>
      <c r="M2218" s="169"/>
      <c r="N2218" s="167"/>
      <c r="O2218" s="169"/>
    </row>
    <row r="2219" spans="2:15" s="453" customFormat="1" ht="14" x14ac:dyDescent="0.2">
      <c r="B2219" s="302"/>
      <c r="C2219" s="303"/>
      <c r="D2219" s="303"/>
      <c r="E2219" s="303"/>
      <c r="F2219" s="580" t="s">
        <v>1069</v>
      </c>
      <c r="G2219" s="580"/>
      <c r="H2219" s="585"/>
      <c r="I2219" s="169"/>
      <c r="J2219" s="167"/>
      <c r="K2219" s="169"/>
      <c r="L2219" s="167"/>
      <c r="M2219" s="169"/>
      <c r="N2219" s="167"/>
      <c r="O2219" s="169"/>
    </row>
    <row r="2220" spans="2:15" s="453" customFormat="1" ht="14" x14ac:dyDescent="0.2">
      <c r="B2220" s="291">
        <v>8</v>
      </c>
      <c r="C2220" s="614" t="s">
        <v>1072</v>
      </c>
      <c r="D2220" s="614"/>
      <c r="E2220" s="614"/>
      <c r="F2220" s="614"/>
      <c r="G2220" s="614"/>
      <c r="H2220" s="292"/>
      <c r="I2220" s="168" t="s">
        <v>211</v>
      </c>
      <c r="J2220" s="166" t="s">
        <v>211</v>
      </c>
      <c r="K2220" s="168" t="s">
        <v>211</v>
      </c>
      <c r="L2220" s="166" t="s">
        <v>211</v>
      </c>
      <c r="M2220" s="168" t="s">
        <v>211</v>
      </c>
      <c r="N2220" s="166" t="s">
        <v>211</v>
      </c>
      <c r="O2220" s="168" t="s">
        <v>211</v>
      </c>
    </row>
    <row r="2221" spans="2:15" s="453" customFormat="1" ht="14" x14ac:dyDescent="0.2">
      <c r="B2221" s="293"/>
      <c r="C2221" s="572" t="s">
        <v>1073</v>
      </c>
      <c r="D2221" s="572"/>
      <c r="E2221" s="572"/>
      <c r="F2221" s="572"/>
      <c r="G2221" s="572"/>
      <c r="H2221" s="296"/>
      <c r="I2221" s="168" t="s">
        <v>211</v>
      </c>
      <c r="J2221" s="166" t="s">
        <v>211</v>
      </c>
      <c r="K2221" s="168" t="s">
        <v>211</v>
      </c>
      <c r="L2221" s="166" t="s">
        <v>211</v>
      </c>
      <c r="M2221" s="168" t="s">
        <v>211</v>
      </c>
      <c r="N2221" s="166" t="s">
        <v>211</v>
      </c>
      <c r="O2221" s="168" t="s">
        <v>211</v>
      </c>
    </row>
    <row r="2222" spans="2:15" s="453" customFormat="1" ht="14" x14ac:dyDescent="0.2">
      <c r="B2222" s="293"/>
      <c r="C2222" s="572" t="s">
        <v>1074</v>
      </c>
      <c r="D2222" s="572"/>
      <c r="E2222" s="572"/>
      <c r="F2222" s="572"/>
      <c r="G2222" s="572"/>
      <c r="H2222" s="296"/>
      <c r="I2222" s="168" t="s">
        <v>211</v>
      </c>
      <c r="J2222" s="166" t="s">
        <v>211</v>
      </c>
      <c r="K2222" s="168" t="s">
        <v>211</v>
      </c>
      <c r="L2222" s="166" t="s">
        <v>211</v>
      </c>
      <c r="M2222" s="168" t="s">
        <v>211</v>
      </c>
      <c r="N2222" s="166" t="s">
        <v>211</v>
      </c>
      <c r="O2222" s="168" t="s">
        <v>211</v>
      </c>
    </row>
    <row r="2223" spans="2:15" s="453" customFormat="1" ht="14" x14ac:dyDescent="0.2">
      <c r="B2223" s="293"/>
      <c r="C2223" s="573" t="s">
        <v>1065</v>
      </c>
      <c r="D2223" s="573"/>
      <c r="E2223" s="573"/>
      <c r="F2223" s="573"/>
      <c r="G2223" s="573"/>
      <c r="H2223" s="296"/>
      <c r="I2223" s="168" t="s">
        <v>211</v>
      </c>
      <c r="J2223" s="166" t="s">
        <v>211</v>
      </c>
      <c r="K2223" s="168" t="s">
        <v>211</v>
      </c>
      <c r="L2223" s="166" t="s">
        <v>211</v>
      </c>
      <c r="M2223" s="168" t="s">
        <v>211</v>
      </c>
      <c r="N2223" s="166" t="s">
        <v>211</v>
      </c>
      <c r="O2223" s="168" t="s">
        <v>211</v>
      </c>
    </row>
    <row r="2224" spans="2:15" s="453" customFormat="1" ht="14" x14ac:dyDescent="0.2">
      <c r="B2224" s="293"/>
      <c r="C2224" s="573" t="s">
        <v>1075</v>
      </c>
      <c r="D2224" s="573"/>
      <c r="E2224" s="573"/>
      <c r="F2224" s="573"/>
      <c r="G2224" s="573"/>
      <c r="H2224" s="296"/>
      <c r="I2224" s="168" t="s">
        <v>211</v>
      </c>
      <c r="J2224" s="166" t="s">
        <v>211</v>
      </c>
      <c r="K2224" s="168" t="s">
        <v>211</v>
      </c>
      <c r="L2224" s="166" t="s">
        <v>211</v>
      </c>
      <c r="M2224" s="168" t="s">
        <v>211</v>
      </c>
      <c r="N2224" s="166" t="s">
        <v>211</v>
      </c>
      <c r="O2224" s="168" t="s">
        <v>211</v>
      </c>
    </row>
    <row r="2225" spans="2:15" s="453" customFormat="1" ht="14" x14ac:dyDescent="0.2">
      <c r="B2225" s="293"/>
      <c r="F2225" s="586" t="s">
        <v>1002</v>
      </c>
      <c r="G2225" s="586"/>
      <c r="H2225" s="587"/>
      <c r="I2225" s="169"/>
      <c r="J2225" s="167"/>
      <c r="K2225" s="169"/>
      <c r="L2225" s="167"/>
      <c r="M2225" s="169"/>
      <c r="N2225" s="167"/>
      <c r="O2225" s="169"/>
    </row>
    <row r="2226" spans="2:15" s="453" customFormat="1" ht="14" x14ac:dyDescent="0.2">
      <c r="B2226" s="293"/>
      <c r="F2226" s="795" t="s">
        <v>1063</v>
      </c>
      <c r="G2226" s="795"/>
      <c r="H2226" s="800"/>
      <c r="I2226" s="169"/>
      <c r="J2226" s="167"/>
      <c r="K2226" s="169"/>
      <c r="L2226" s="167"/>
      <c r="M2226" s="169"/>
      <c r="N2226" s="167"/>
      <c r="O2226" s="169"/>
    </row>
    <row r="2227" spans="2:15" s="453" customFormat="1" ht="14" x14ac:dyDescent="0.2">
      <c r="B2227" s="302"/>
      <c r="C2227" s="303"/>
      <c r="D2227" s="303"/>
      <c r="E2227" s="303"/>
      <c r="F2227" s="580" t="s">
        <v>1069</v>
      </c>
      <c r="G2227" s="580"/>
      <c r="H2227" s="585"/>
      <c r="I2227" s="169"/>
      <c r="J2227" s="167"/>
      <c r="K2227" s="169"/>
      <c r="L2227" s="167"/>
      <c r="M2227" s="169"/>
      <c r="N2227" s="167"/>
      <c r="O2227" s="169"/>
    </row>
    <row r="2228" spans="2:15" s="453" customFormat="1" ht="14" x14ac:dyDescent="0.2">
      <c r="B2228" s="291">
        <v>9</v>
      </c>
      <c r="C2228" s="602" t="s">
        <v>1076</v>
      </c>
      <c r="D2228" s="602"/>
      <c r="E2228" s="602"/>
      <c r="F2228" s="602"/>
      <c r="G2228" s="602"/>
      <c r="H2228" s="292"/>
      <c r="I2228" s="168" t="s">
        <v>211</v>
      </c>
      <c r="J2228" s="166" t="s">
        <v>211</v>
      </c>
      <c r="K2228" s="168" t="s">
        <v>211</v>
      </c>
      <c r="L2228" s="166" t="s">
        <v>211</v>
      </c>
      <c r="M2228" s="168" t="s">
        <v>211</v>
      </c>
      <c r="N2228" s="166" t="s">
        <v>211</v>
      </c>
      <c r="O2228" s="168" t="s">
        <v>211</v>
      </c>
    </row>
    <row r="2229" spans="2:15" s="453" customFormat="1" ht="14" x14ac:dyDescent="0.2">
      <c r="B2229" s="293"/>
      <c r="C2229" s="572"/>
      <c r="D2229" s="572"/>
      <c r="E2229" s="572"/>
      <c r="F2229" s="572"/>
      <c r="G2229" s="572"/>
      <c r="H2229" s="294"/>
      <c r="I2229" s="169"/>
      <c r="J2229" s="167"/>
      <c r="K2229" s="169"/>
      <c r="L2229" s="167"/>
      <c r="M2229" s="169"/>
      <c r="N2229" s="167"/>
      <c r="O2229" s="169"/>
    </row>
    <row r="2230" spans="2:15" s="453" customFormat="1" ht="14" x14ac:dyDescent="0.2">
      <c r="B2230" s="293"/>
      <c r="C2230" s="572" t="s">
        <v>1094</v>
      </c>
      <c r="D2230" s="572"/>
      <c r="E2230" s="572"/>
      <c r="F2230" s="572"/>
      <c r="G2230" s="572"/>
      <c r="H2230" s="296"/>
      <c r="I2230" s="168" t="s">
        <v>211</v>
      </c>
      <c r="J2230" s="166" t="s">
        <v>211</v>
      </c>
      <c r="K2230" s="168" t="s">
        <v>211</v>
      </c>
      <c r="L2230" s="166" t="s">
        <v>211</v>
      </c>
      <c r="M2230" s="168" t="s">
        <v>211</v>
      </c>
      <c r="N2230" s="166" t="s">
        <v>211</v>
      </c>
      <c r="O2230" s="168" t="s">
        <v>211</v>
      </c>
    </row>
    <row r="2231" spans="2:15" s="453" customFormat="1" ht="14" x14ac:dyDescent="0.2">
      <c r="B2231" s="293"/>
      <c r="C2231" s="572"/>
      <c r="D2231" s="572"/>
      <c r="E2231" s="572"/>
      <c r="F2231" s="572"/>
      <c r="G2231" s="572"/>
      <c r="H2231" s="294"/>
      <c r="I2231" s="169"/>
      <c r="J2231" s="167"/>
      <c r="K2231" s="169"/>
      <c r="L2231" s="167"/>
      <c r="M2231" s="169"/>
      <c r="N2231" s="167"/>
      <c r="O2231" s="169"/>
    </row>
    <row r="2232" spans="2:15" s="453" customFormat="1" ht="14" x14ac:dyDescent="0.2">
      <c r="B2232" s="293"/>
      <c r="C2232" s="572" t="s">
        <v>906</v>
      </c>
      <c r="D2232" s="572"/>
      <c r="E2232" s="572"/>
      <c r="F2232" s="572"/>
      <c r="G2232" s="572"/>
      <c r="H2232" s="296"/>
      <c r="I2232" s="168" t="s">
        <v>211</v>
      </c>
      <c r="J2232" s="166" t="s">
        <v>211</v>
      </c>
      <c r="K2232" s="168" t="s">
        <v>211</v>
      </c>
      <c r="L2232" s="166" t="s">
        <v>211</v>
      </c>
      <c r="M2232" s="168" t="s">
        <v>211</v>
      </c>
      <c r="N2232" s="166" t="s">
        <v>211</v>
      </c>
      <c r="O2232" s="168" t="s">
        <v>211</v>
      </c>
    </row>
    <row r="2233" spans="2:15" s="453" customFormat="1" ht="14" x14ac:dyDescent="0.2">
      <c r="B2233" s="293"/>
      <c r="F2233" s="586" t="s">
        <v>1067</v>
      </c>
      <c r="G2233" s="586"/>
      <c r="H2233" s="587"/>
      <c r="I2233" s="169"/>
      <c r="J2233" s="167"/>
      <c r="K2233" s="169"/>
      <c r="L2233" s="167"/>
      <c r="M2233" s="169"/>
      <c r="N2233" s="167"/>
      <c r="O2233" s="169"/>
    </row>
    <row r="2234" spans="2:15" s="453" customFormat="1" ht="14" x14ac:dyDescent="0.2">
      <c r="B2234" s="293"/>
      <c r="F2234" s="593" t="s">
        <v>1069</v>
      </c>
      <c r="G2234" s="593"/>
      <c r="H2234" s="768"/>
      <c r="I2234" s="169"/>
      <c r="J2234" s="167"/>
      <c r="K2234" s="169"/>
      <c r="L2234" s="167"/>
      <c r="M2234" s="169"/>
      <c r="N2234" s="167"/>
      <c r="O2234" s="169"/>
    </row>
    <row r="2235" spans="2:15" s="453" customFormat="1" ht="14" x14ac:dyDescent="0.2">
      <c r="B2235" s="302"/>
      <c r="C2235" s="303"/>
      <c r="D2235" s="303"/>
      <c r="E2235" s="303"/>
      <c r="F2235" s="580" t="s">
        <v>1077</v>
      </c>
      <c r="G2235" s="580"/>
      <c r="H2235" s="585"/>
      <c r="I2235" s="169"/>
      <c r="J2235" s="167"/>
      <c r="K2235" s="169"/>
      <c r="L2235" s="167"/>
      <c r="M2235" s="169"/>
      <c r="N2235" s="167"/>
      <c r="O2235" s="169"/>
    </row>
    <row r="2236" spans="2:15" s="453" customFormat="1" ht="14" x14ac:dyDescent="0.2">
      <c r="B2236" s="291">
        <v>10</v>
      </c>
      <c r="C2236" s="602" t="s">
        <v>1078</v>
      </c>
      <c r="D2236" s="602"/>
      <c r="E2236" s="602"/>
      <c r="F2236" s="602"/>
      <c r="G2236" s="602"/>
      <c r="H2236" s="292"/>
      <c r="I2236" s="168" t="s">
        <v>211</v>
      </c>
      <c r="J2236" s="166" t="s">
        <v>211</v>
      </c>
      <c r="K2236" s="168" t="s">
        <v>211</v>
      </c>
      <c r="L2236" s="166" t="s">
        <v>211</v>
      </c>
      <c r="M2236" s="168" t="s">
        <v>211</v>
      </c>
      <c r="N2236" s="166" t="s">
        <v>211</v>
      </c>
      <c r="O2236" s="168" t="s">
        <v>211</v>
      </c>
    </row>
    <row r="2237" spans="2:15" s="453" customFormat="1" ht="14" x14ac:dyDescent="0.2">
      <c r="B2237" s="293"/>
      <c r="C2237" s="572"/>
      <c r="D2237" s="572"/>
      <c r="E2237" s="572"/>
      <c r="F2237" s="572"/>
      <c r="G2237" s="572"/>
      <c r="H2237" s="294"/>
      <c r="I2237" s="169"/>
      <c r="J2237" s="167"/>
      <c r="K2237" s="169"/>
      <c r="L2237" s="167"/>
      <c r="M2237" s="169"/>
      <c r="N2237" s="167"/>
      <c r="O2237" s="169"/>
    </row>
    <row r="2238" spans="2:15" s="453" customFormat="1" ht="14" x14ac:dyDescent="0.2">
      <c r="B2238" s="293"/>
      <c r="C2238" s="572"/>
      <c r="D2238" s="572"/>
      <c r="E2238" s="572"/>
      <c r="F2238" s="572"/>
      <c r="G2238" s="572"/>
      <c r="H2238" s="294"/>
      <c r="I2238" s="169"/>
      <c r="J2238" s="167"/>
      <c r="K2238" s="169"/>
      <c r="L2238" s="167"/>
      <c r="M2238" s="169"/>
      <c r="N2238" s="167"/>
      <c r="O2238" s="169"/>
    </row>
    <row r="2239" spans="2:15" s="453" customFormat="1" ht="14" x14ac:dyDescent="0.2">
      <c r="B2239" s="293"/>
      <c r="C2239" s="573" t="s">
        <v>473</v>
      </c>
      <c r="D2239" s="573"/>
      <c r="E2239" s="573"/>
      <c r="F2239" s="573"/>
      <c r="G2239" s="573"/>
      <c r="H2239" s="296"/>
      <c r="I2239" s="168" t="s">
        <v>211</v>
      </c>
      <c r="J2239" s="166" t="s">
        <v>211</v>
      </c>
      <c r="K2239" s="168" t="s">
        <v>211</v>
      </c>
      <c r="L2239" s="166" t="s">
        <v>211</v>
      </c>
      <c r="M2239" s="168" t="s">
        <v>211</v>
      </c>
      <c r="N2239" s="166" t="s">
        <v>211</v>
      </c>
      <c r="O2239" s="168" t="s">
        <v>211</v>
      </c>
    </row>
    <row r="2240" spans="2:15" s="453" customFormat="1" ht="14" x14ac:dyDescent="0.2">
      <c r="B2240" s="293"/>
      <c r="F2240" s="586" t="s">
        <v>1079</v>
      </c>
      <c r="G2240" s="586"/>
      <c r="H2240" s="587"/>
      <c r="I2240" s="169"/>
      <c r="J2240" s="167"/>
      <c r="K2240" s="169"/>
      <c r="L2240" s="167"/>
      <c r="M2240" s="169"/>
      <c r="N2240" s="167"/>
      <c r="O2240" s="169"/>
    </row>
    <row r="2241" spans="2:15" s="453" customFormat="1" ht="14" x14ac:dyDescent="0.2">
      <c r="B2241" s="293"/>
      <c r="F2241" s="795" t="s">
        <v>474</v>
      </c>
      <c r="G2241" s="795"/>
      <c r="H2241" s="800"/>
      <c r="I2241" s="169"/>
      <c r="J2241" s="167"/>
      <c r="K2241" s="169"/>
      <c r="L2241" s="167"/>
      <c r="M2241" s="169"/>
      <c r="N2241" s="167"/>
      <c r="O2241" s="169"/>
    </row>
    <row r="2242" spans="2:15" s="453" customFormat="1" ht="14" x14ac:dyDescent="0.2">
      <c r="B2242" s="302"/>
      <c r="C2242" s="303"/>
      <c r="D2242" s="303"/>
      <c r="E2242" s="303"/>
      <c r="F2242" s="580" t="s">
        <v>1069</v>
      </c>
      <c r="G2242" s="580"/>
      <c r="H2242" s="585"/>
      <c r="I2242" s="169"/>
      <c r="J2242" s="167"/>
      <c r="K2242" s="169"/>
      <c r="L2242" s="167"/>
      <c r="M2242" s="169"/>
      <c r="N2242" s="167"/>
      <c r="O2242" s="169"/>
    </row>
    <row r="2243" spans="2:15" s="453" customFormat="1" ht="14" x14ac:dyDescent="0.2">
      <c r="B2243" s="291">
        <v>11</v>
      </c>
      <c r="C2243" s="598" t="s">
        <v>1084</v>
      </c>
      <c r="D2243" s="598"/>
      <c r="E2243" s="598"/>
      <c r="F2243" s="598"/>
      <c r="G2243" s="598"/>
      <c r="H2243" s="292"/>
      <c r="I2243" s="168" t="s">
        <v>211</v>
      </c>
      <c r="J2243" s="166" t="s">
        <v>211</v>
      </c>
      <c r="K2243" s="168" t="s">
        <v>211</v>
      </c>
      <c r="L2243" s="166" t="s">
        <v>211</v>
      </c>
      <c r="M2243" s="168" t="s">
        <v>211</v>
      </c>
      <c r="N2243" s="166" t="s">
        <v>211</v>
      </c>
      <c r="O2243" s="168" t="s">
        <v>211</v>
      </c>
    </row>
    <row r="2244" spans="2:15" s="453" customFormat="1" ht="14" x14ac:dyDescent="0.2">
      <c r="B2244" s="293"/>
      <c r="C2244" s="573" t="s">
        <v>1080</v>
      </c>
      <c r="D2244" s="573"/>
      <c r="E2244" s="573"/>
      <c r="F2244" s="573"/>
      <c r="G2244" s="573"/>
      <c r="H2244" s="296"/>
      <c r="I2244" s="168" t="s">
        <v>211</v>
      </c>
      <c r="J2244" s="166" t="s">
        <v>211</v>
      </c>
      <c r="K2244" s="168" t="s">
        <v>211</v>
      </c>
      <c r="L2244" s="166" t="s">
        <v>211</v>
      </c>
      <c r="M2244" s="168" t="s">
        <v>211</v>
      </c>
      <c r="N2244" s="166" t="s">
        <v>211</v>
      </c>
      <c r="O2244" s="168" t="s">
        <v>211</v>
      </c>
    </row>
    <row r="2245" spans="2:15" s="453" customFormat="1" ht="14" x14ac:dyDescent="0.2">
      <c r="B2245" s="293"/>
      <c r="C2245" s="573" t="s">
        <v>1065</v>
      </c>
      <c r="D2245" s="573"/>
      <c r="E2245" s="573"/>
      <c r="F2245" s="573"/>
      <c r="G2245" s="573"/>
      <c r="H2245" s="296"/>
      <c r="I2245" s="168" t="s">
        <v>211</v>
      </c>
      <c r="J2245" s="166" t="s">
        <v>211</v>
      </c>
      <c r="K2245" s="168" t="s">
        <v>211</v>
      </c>
      <c r="L2245" s="166" t="s">
        <v>211</v>
      </c>
      <c r="M2245" s="168" t="s">
        <v>211</v>
      </c>
      <c r="N2245" s="166" t="s">
        <v>211</v>
      </c>
      <c r="O2245" s="168" t="s">
        <v>211</v>
      </c>
    </row>
    <row r="2246" spans="2:15" s="453" customFormat="1" ht="14" x14ac:dyDescent="0.2">
      <c r="B2246" s="293"/>
      <c r="C2246" s="573" t="s">
        <v>1081</v>
      </c>
      <c r="D2246" s="573"/>
      <c r="E2246" s="573"/>
      <c r="F2246" s="573"/>
      <c r="G2246" s="573"/>
      <c r="H2246" s="296"/>
      <c r="I2246" s="168" t="s">
        <v>211</v>
      </c>
      <c r="J2246" s="166" t="s">
        <v>211</v>
      </c>
      <c r="K2246" s="168" t="s">
        <v>211</v>
      </c>
      <c r="L2246" s="166" t="s">
        <v>211</v>
      </c>
      <c r="M2246" s="168" t="s">
        <v>211</v>
      </c>
      <c r="N2246" s="166" t="s">
        <v>211</v>
      </c>
      <c r="O2246" s="168" t="s">
        <v>211</v>
      </c>
    </row>
    <row r="2247" spans="2:15" s="453" customFormat="1" ht="14" x14ac:dyDescent="0.2">
      <c r="B2247" s="293"/>
      <c r="F2247" s="586" t="s">
        <v>1002</v>
      </c>
      <c r="G2247" s="586"/>
      <c r="H2247" s="587"/>
      <c r="I2247" s="169"/>
      <c r="J2247" s="167"/>
      <c r="K2247" s="169"/>
      <c r="L2247" s="167"/>
      <c r="M2247" s="169"/>
      <c r="N2247" s="167"/>
      <c r="O2247" s="169"/>
    </row>
    <row r="2248" spans="2:15" s="453" customFormat="1" ht="14" x14ac:dyDescent="0.2">
      <c r="B2248" s="293"/>
      <c r="F2248" s="795" t="s">
        <v>1082</v>
      </c>
      <c r="G2248" s="795"/>
      <c r="H2248" s="800"/>
      <c r="I2248" s="169"/>
      <c r="J2248" s="167"/>
      <c r="K2248" s="169"/>
      <c r="L2248" s="167"/>
      <c r="M2248" s="169"/>
      <c r="N2248" s="167"/>
      <c r="O2248" s="169"/>
    </row>
    <row r="2249" spans="2:15" s="453" customFormat="1" ht="14" x14ac:dyDescent="0.2">
      <c r="B2249" s="302"/>
      <c r="C2249" s="303"/>
      <c r="D2249" s="303"/>
      <c r="E2249" s="303"/>
      <c r="F2249" s="580" t="s">
        <v>1069</v>
      </c>
      <c r="G2249" s="580"/>
      <c r="H2249" s="585"/>
      <c r="I2249" s="169"/>
      <c r="J2249" s="167"/>
      <c r="K2249" s="169"/>
      <c r="L2249" s="167"/>
      <c r="M2249" s="169"/>
      <c r="N2249" s="167"/>
      <c r="O2249" s="169"/>
    </row>
    <row r="2250" spans="2:15" s="453" customFormat="1" ht="14" x14ac:dyDescent="0.2">
      <c r="B2250" s="291">
        <v>12</v>
      </c>
      <c r="C2250" s="598" t="s">
        <v>634</v>
      </c>
      <c r="D2250" s="598"/>
      <c r="E2250" s="598"/>
      <c r="F2250" s="598"/>
      <c r="G2250" s="598"/>
      <c r="H2250" s="292"/>
      <c r="I2250" s="168" t="s">
        <v>211</v>
      </c>
      <c r="J2250" s="166" t="s">
        <v>211</v>
      </c>
      <c r="K2250" s="168" t="s">
        <v>211</v>
      </c>
      <c r="L2250" s="166" t="s">
        <v>211</v>
      </c>
      <c r="M2250" s="168" t="s">
        <v>211</v>
      </c>
      <c r="N2250" s="166" t="s">
        <v>211</v>
      </c>
      <c r="O2250" s="168" t="s">
        <v>211</v>
      </c>
    </row>
    <row r="2251" spans="2:15" s="453" customFormat="1" ht="14" x14ac:dyDescent="0.2">
      <c r="B2251" s="293"/>
      <c r="C2251" s="573" t="s">
        <v>1083</v>
      </c>
      <c r="D2251" s="573"/>
      <c r="E2251" s="573"/>
      <c r="F2251" s="573"/>
      <c r="G2251" s="573"/>
      <c r="H2251" s="296"/>
      <c r="I2251" s="168" t="s">
        <v>211</v>
      </c>
      <c r="J2251" s="166" t="s">
        <v>211</v>
      </c>
      <c r="K2251" s="168" t="s">
        <v>211</v>
      </c>
      <c r="L2251" s="166" t="s">
        <v>211</v>
      </c>
      <c r="M2251" s="168" t="s">
        <v>211</v>
      </c>
      <c r="N2251" s="166" t="s">
        <v>211</v>
      </c>
      <c r="O2251" s="168" t="s">
        <v>211</v>
      </c>
    </row>
    <row r="2252" spans="2:15" s="453" customFormat="1" ht="14" x14ac:dyDescent="0.2">
      <c r="B2252" s="293"/>
      <c r="C2252" s="572" t="s">
        <v>1085</v>
      </c>
      <c r="D2252" s="572"/>
      <c r="E2252" s="572"/>
      <c r="F2252" s="572"/>
      <c r="G2252" s="572"/>
      <c r="H2252" s="296"/>
      <c r="I2252" s="168" t="s">
        <v>211</v>
      </c>
      <c r="J2252" s="166" t="s">
        <v>211</v>
      </c>
      <c r="K2252" s="168" t="s">
        <v>211</v>
      </c>
      <c r="L2252" s="166" t="s">
        <v>211</v>
      </c>
      <c r="M2252" s="168" t="s">
        <v>211</v>
      </c>
      <c r="N2252" s="166" t="s">
        <v>211</v>
      </c>
      <c r="O2252" s="168" t="s">
        <v>211</v>
      </c>
    </row>
    <row r="2253" spans="2:15" s="453" customFormat="1" ht="14" x14ac:dyDescent="0.2">
      <c r="B2253" s="293"/>
      <c r="C2253" s="572"/>
      <c r="D2253" s="572"/>
      <c r="E2253" s="572"/>
      <c r="F2253" s="572"/>
      <c r="G2253" s="572"/>
      <c r="H2253" s="294"/>
      <c r="I2253" s="169"/>
      <c r="J2253" s="167"/>
      <c r="K2253" s="169"/>
      <c r="L2253" s="167"/>
      <c r="M2253" s="169"/>
      <c r="N2253" s="167"/>
      <c r="O2253" s="169"/>
    </row>
    <row r="2254" spans="2:15" s="453" customFormat="1" ht="14" x14ac:dyDescent="0.2">
      <c r="B2254" s="293"/>
      <c r="C2254" s="573" t="s">
        <v>473</v>
      </c>
      <c r="D2254" s="573"/>
      <c r="E2254" s="573"/>
      <c r="F2254" s="573"/>
      <c r="G2254" s="573"/>
      <c r="H2254" s="296"/>
      <c r="I2254" s="168" t="s">
        <v>211</v>
      </c>
      <c r="J2254" s="166" t="s">
        <v>211</v>
      </c>
      <c r="K2254" s="168" t="s">
        <v>211</v>
      </c>
      <c r="L2254" s="166" t="s">
        <v>211</v>
      </c>
      <c r="M2254" s="168" t="s">
        <v>211</v>
      </c>
      <c r="N2254" s="166" t="s">
        <v>211</v>
      </c>
      <c r="O2254" s="168" t="s">
        <v>211</v>
      </c>
    </row>
    <row r="2255" spans="2:15" s="453" customFormat="1" ht="14" x14ac:dyDescent="0.2">
      <c r="B2255" s="293"/>
      <c r="F2255" s="586" t="s">
        <v>733</v>
      </c>
      <c r="G2255" s="586"/>
      <c r="H2255" s="587"/>
      <c r="I2255" s="169"/>
      <c r="J2255" s="167"/>
      <c r="K2255" s="169"/>
      <c r="L2255" s="167"/>
      <c r="M2255" s="169"/>
      <c r="N2255" s="167"/>
      <c r="O2255" s="169"/>
    </row>
    <row r="2256" spans="2:15" s="453" customFormat="1" ht="14" x14ac:dyDescent="0.2">
      <c r="B2256" s="293"/>
      <c r="F2256" s="795" t="s">
        <v>474</v>
      </c>
      <c r="G2256" s="795"/>
      <c r="H2256" s="800"/>
      <c r="I2256" s="169"/>
      <c r="J2256" s="167"/>
      <c r="K2256" s="169"/>
      <c r="L2256" s="167"/>
      <c r="M2256" s="169"/>
      <c r="N2256" s="167"/>
      <c r="O2256" s="169"/>
    </row>
    <row r="2257" spans="2:15" s="453" customFormat="1" ht="14" x14ac:dyDescent="0.2">
      <c r="B2257" s="302"/>
      <c r="C2257" s="303"/>
      <c r="D2257" s="303"/>
      <c r="E2257" s="303"/>
      <c r="F2257" s="580" t="s">
        <v>1086</v>
      </c>
      <c r="G2257" s="580"/>
      <c r="H2257" s="585"/>
      <c r="I2257" s="169"/>
      <c r="J2257" s="167"/>
      <c r="K2257" s="169"/>
      <c r="L2257" s="167"/>
      <c r="M2257" s="169"/>
      <c r="N2257" s="167"/>
      <c r="O2257" s="169"/>
    </row>
    <row r="2258" spans="2:15" s="453" customFormat="1" ht="14" x14ac:dyDescent="0.2">
      <c r="B2258" s="291">
        <v>13</v>
      </c>
      <c r="C2258" s="602" t="s">
        <v>1087</v>
      </c>
      <c r="D2258" s="602"/>
      <c r="E2258" s="602"/>
      <c r="F2258" s="602"/>
      <c r="G2258" s="602"/>
      <c r="H2258" s="292"/>
      <c r="I2258" s="168" t="s">
        <v>211</v>
      </c>
      <c r="J2258" s="166" t="s">
        <v>211</v>
      </c>
      <c r="K2258" s="168" t="s">
        <v>211</v>
      </c>
      <c r="L2258" s="166" t="s">
        <v>211</v>
      </c>
      <c r="M2258" s="168" t="s">
        <v>211</v>
      </c>
      <c r="N2258" s="166" t="s">
        <v>211</v>
      </c>
      <c r="O2258" s="168" t="s">
        <v>211</v>
      </c>
    </row>
    <row r="2259" spans="2:15" s="453" customFormat="1" ht="14" x14ac:dyDescent="0.2">
      <c r="B2259" s="293"/>
      <c r="C2259" s="572"/>
      <c r="D2259" s="572"/>
      <c r="E2259" s="572"/>
      <c r="F2259" s="572"/>
      <c r="G2259" s="572"/>
      <c r="H2259" s="294"/>
      <c r="I2259" s="169"/>
      <c r="J2259" s="167"/>
      <c r="K2259" s="169"/>
      <c r="L2259" s="167"/>
      <c r="M2259" s="169"/>
      <c r="N2259" s="167"/>
      <c r="O2259" s="169"/>
    </row>
    <row r="2260" spans="2:15" s="453" customFormat="1" ht="14" x14ac:dyDescent="0.2">
      <c r="B2260" s="293"/>
      <c r="C2260" s="572" t="s">
        <v>1088</v>
      </c>
      <c r="D2260" s="572"/>
      <c r="E2260" s="572"/>
      <c r="F2260" s="572"/>
      <c r="G2260" s="572"/>
      <c r="H2260" s="296"/>
      <c r="I2260" s="168" t="s">
        <v>211</v>
      </c>
      <c r="J2260" s="166" t="s">
        <v>211</v>
      </c>
      <c r="K2260" s="168" t="s">
        <v>211</v>
      </c>
      <c r="L2260" s="166" t="s">
        <v>211</v>
      </c>
      <c r="M2260" s="168" t="s">
        <v>211</v>
      </c>
      <c r="N2260" s="166" t="s">
        <v>211</v>
      </c>
      <c r="O2260" s="168" t="s">
        <v>211</v>
      </c>
    </row>
    <row r="2261" spans="2:15" s="453" customFormat="1" ht="14" x14ac:dyDescent="0.2">
      <c r="B2261" s="293"/>
      <c r="C2261" s="572"/>
      <c r="D2261" s="572"/>
      <c r="E2261" s="572"/>
      <c r="F2261" s="572"/>
      <c r="G2261" s="572"/>
      <c r="H2261" s="294"/>
      <c r="I2261" s="169"/>
      <c r="J2261" s="167"/>
      <c r="K2261" s="169"/>
      <c r="L2261" s="167"/>
      <c r="M2261" s="169"/>
      <c r="N2261" s="167"/>
      <c r="O2261" s="169"/>
    </row>
    <row r="2262" spans="2:15" s="453" customFormat="1" ht="14" x14ac:dyDescent="0.2">
      <c r="B2262" s="293"/>
      <c r="C2262" s="573" t="s">
        <v>1065</v>
      </c>
      <c r="D2262" s="573"/>
      <c r="E2262" s="573"/>
      <c r="F2262" s="573"/>
      <c r="G2262" s="573"/>
      <c r="H2262" s="296"/>
      <c r="I2262" s="168" t="s">
        <v>211</v>
      </c>
      <c r="J2262" s="166" t="s">
        <v>211</v>
      </c>
      <c r="K2262" s="168" t="s">
        <v>211</v>
      </c>
      <c r="L2262" s="166" t="s">
        <v>211</v>
      </c>
      <c r="M2262" s="168" t="s">
        <v>211</v>
      </c>
      <c r="N2262" s="166" t="s">
        <v>211</v>
      </c>
      <c r="O2262" s="168" t="s">
        <v>211</v>
      </c>
    </row>
    <row r="2263" spans="2:15" s="453" customFormat="1" ht="14" x14ac:dyDescent="0.2">
      <c r="B2263" s="293"/>
      <c r="C2263" s="573" t="s">
        <v>1089</v>
      </c>
      <c r="D2263" s="573"/>
      <c r="E2263" s="573"/>
      <c r="F2263" s="573"/>
      <c r="G2263" s="573"/>
      <c r="H2263" s="296"/>
      <c r="I2263" s="168" t="s">
        <v>211</v>
      </c>
      <c r="J2263" s="166" t="s">
        <v>211</v>
      </c>
      <c r="K2263" s="168" t="s">
        <v>211</v>
      </c>
      <c r="L2263" s="166" t="s">
        <v>211</v>
      </c>
      <c r="M2263" s="168" t="s">
        <v>211</v>
      </c>
      <c r="N2263" s="166" t="s">
        <v>211</v>
      </c>
      <c r="O2263" s="168" t="s">
        <v>211</v>
      </c>
    </row>
    <row r="2264" spans="2:15" s="453" customFormat="1" ht="14" x14ac:dyDescent="0.2">
      <c r="B2264" s="293"/>
      <c r="F2264" s="586" t="s">
        <v>1090</v>
      </c>
      <c r="G2264" s="586"/>
      <c r="H2264" s="587"/>
      <c r="I2264" s="169"/>
      <c r="J2264" s="167"/>
      <c r="K2264" s="169"/>
      <c r="L2264" s="167"/>
      <c r="M2264" s="169"/>
      <c r="N2264" s="167"/>
      <c r="O2264" s="169"/>
    </row>
    <row r="2265" spans="2:15" s="453" customFormat="1" ht="14" x14ac:dyDescent="0.2">
      <c r="B2265" s="293"/>
      <c r="F2265" s="795" t="s">
        <v>1091</v>
      </c>
      <c r="G2265" s="795"/>
      <c r="H2265" s="800"/>
      <c r="I2265" s="169"/>
      <c r="J2265" s="167"/>
      <c r="K2265" s="169"/>
      <c r="L2265" s="167"/>
      <c r="M2265" s="169"/>
      <c r="N2265" s="167"/>
      <c r="O2265" s="169"/>
    </row>
    <row r="2266" spans="2:15" s="453" customFormat="1" ht="14" x14ac:dyDescent="0.2">
      <c r="B2266" s="302"/>
      <c r="C2266" s="303"/>
      <c r="D2266" s="303"/>
      <c r="E2266" s="303"/>
      <c r="F2266" s="580" t="s">
        <v>1086</v>
      </c>
      <c r="G2266" s="580"/>
      <c r="H2266" s="585"/>
      <c r="I2266" s="169"/>
      <c r="J2266" s="167"/>
      <c r="K2266" s="169"/>
      <c r="L2266" s="167"/>
      <c r="M2266" s="169"/>
      <c r="N2266" s="167"/>
      <c r="O2266" s="169"/>
    </row>
    <row r="2267" spans="2:15" s="453" customFormat="1" ht="14" x14ac:dyDescent="0.2">
      <c r="B2267" s="291">
        <v>14</v>
      </c>
      <c r="C2267" s="614" t="s">
        <v>1092</v>
      </c>
      <c r="D2267" s="614"/>
      <c r="E2267" s="614"/>
      <c r="F2267" s="614"/>
      <c r="G2267" s="614"/>
      <c r="H2267" s="292"/>
      <c r="I2267" s="168" t="s">
        <v>211</v>
      </c>
      <c r="J2267" s="166" t="s">
        <v>211</v>
      </c>
      <c r="K2267" s="168" t="s">
        <v>211</v>
      </c>
      <c r="L2267" s="166" t="s">
        <v>211</v>
      </c>
      <c r="M2267" s="168" t="s">
        <v>211</v>
      </c>
      <c r="N2267" s="166" t="s">
        <v>211</v>
      </c>
      <c r="O2267" s="168" t="s">
        <v>211</v>
      </c>
    </row>
    <row r="2268" spans="2:15" s="453" customFormat="1" ht="14" x14ac:dyDescent="0.2">
      <c r="B2268" s="293"/>
      <c r="C2268" s="573" t="s">
        <v>1065</v>
      </c>
      <c r="D2268" s="573"/>
      <c r="E2268" s="573"/>
      <c r="F2268" s="573"/>
      <c r="G2268" s="573"/>
      <c r="H2268" s="296"/>
      <c r="I2268" s="168" t="s">
        <v>211</v>
      </c>
      <c r="J2268" s="166" t="s">
        <v>211</v>
      </c>
      <c r="K2268" s="168" t="s">
        <v>211</v>
      </c>
      <c r="L2268" s="166" t="s">
        <v>211</v>
      </c>
      <c r="M2268" s="168" t="s">
        <v>211</v>
      </c>
      <c r="N2268" s="166" t="s">
        <v>211</v>
      </c>
      <c r="O2268" s="168" t="s">
        <v>211</v>
      </c>
    </row>
    <row r="2269" spans="2:15" s="453" customFormat="1" ht="14" x14ac:dyDescent="0.2">
      <c r="B2269" s="293"/>
      <c r="C2269" s="573" t="s">
        <v>1089</v>
      </c>
      <c r="D2269" s="573"/>
      <c r="E2269" s="573"/>
      <c r="F2269" s="573"/>
      <c r="G2269" s="573"/>
      <c r="H2269" s="296"/>
      <c r="I2269" s="168" t="s">
        <v>211</v>
      </c>
      <c r="J2269" s="166" t="s">
        <v>211</v>
      </c>
      <c r="K2269" s="168" t="s">
        <v>211</v>
      </c>
      <c r="L2269" s="166" t="s">
        <v>211</v>
      </c>
      <c r="M2269" s="168" t="s">
        <v>211</v>
      </c>
      <c r="N2269" s="166" t="s">
        <v>211</v>
      </c>
      <c r="O2269" s="168" t="s">
        <v>211</v>
      </c>
    </row>
    <row r="2270" spans="2:15" s="453" customFormat="1" ht="14" x14ac:dyDescent="0.2">
      <c r="B2270" s="293"/>
      <c r="F2270" s="586" t="s">
        <v>1090</v>
      </c>
      <c r="G2270" s="586"/>
      <c r="H2270" s="587"/>
      <c r="I2270" s="169"/>
      <c r="J2270" s="167"/>
      <c r="K2270" s="169"/>
      <c r="L2270" s="167"/>
      <c r="M2270" s="169"/>
      <c r="N2270" s="167"/>
      <c r="O2270" s="169"/>
    </row>
    <row r="2271" spans="2:15" s="453" customFormat="1" ht="14" x14ac:dyDescent="0.2">
      <c r="B2271" s="293"/>
      <c r="F2271" s="795" t="s">
        <v>1082</v>
      </c>
      <c r="G2271" s="795"/>
      <c r="H2271" s="800"/>
      <c r="I2271" s="169"/>
      <c r="J2271" s="167"/>
      <c r="K2271" s="169"/>
      <c r="L2271" s="167"/>
      <c r="M2271" s="169"/>
      <c r="N2271" s="167"/>
      <c r="O2271" s="169"/>
    </row>
    <row r="2272" spans="2:15" s="453" customFormat="1" ht="14" x14ac:dyDescent="0.2">
      <c r="B2272" s="302"/>
      <c r="C2272" s="303"/>
      <c r="D2272" s="303"/>
      <c r="E2272" s="303"/>
      <c r="F2272" s="580" t="s">
        <v>1086</v>
      </c>
      <c r="G2272" s="580"/>
      <c r="H2272" s="585"/>
      <c r="I2272" s="169"/>
      <c r="J2272" s="167"/>
      <c r="K2272" s="169"/>
      <c r="L2272" s="167"/>
      <c r="M2272" s="169"/>
      <c r="N2272" s="167"/>
      <c r="O2272" s="169"/>
    </row>
    <row r="2273" spans="2:15" s="453" customFormat="1" ht="14" x14ac:dyDescent="0.2">
      <c r="B2273" s="291">
        <v>15</v>
      </c>
      <c r="C2273" s="602" t="s">
        <v>1093</v>
      </c>
      <c r="D2273" s="602"/>
      <c r="E2273" s="602"/>
      <c r="F2273" s="602"/>
      <c r="G2273" s="602"/>
      <c r="H2273" s="292"/>
      <c r="I2273" s="168" t="s">
        <v>211</v>
      </c>
      <c r="J2273" s="166" t="s">
        <v>211</v>
      </c>
      <c r="K2273" s="168" t="s">
        <v>211</v>
      </c>
      <c r="L2273" s="166" t="s">
        <v>211</v>
      </c>
      <c r="M2273" s="168" t="s">
        <v>211</v>
      </c>
      <c r="N2273" s="166" t="s">
        <v>211</v>
      </c>
      <c r="O2273" s="168" t="s">
        <v>211</v>
      </c>
    </row>
    <row r="2274" spans="2:15" s="453" customFormat="1" ht="14" x14ac:dyDescent="0.2">
      <c r="B2274" s="293"/>
      <c r="C2274" s="572"/>
      <c r="D2274" s="572"/>
      <c r="E2274" s="572"/>
      <c r="F2274" s="572"/>
      <c r="G2274" s="572"/>
      <c r="H2274" s="294"/>
      <c r="I2274" s="169"/>
      <c r="J2274" s="167"/>
      <c r="K2274" s="169"/>
      <c r="L2274" s="167"/>
      <c r="M2274" s="169"/>
      <c r="N2274" s="167"/>
      <c r="O2274" s="169"/>
    </row>
    <row r="2275" spans="2:15" s="453" customFormat="1" ht="14" x14ac:dyDescent="0.2">
      <c r="B2275" s="293"/>
      <c r="C2275" s="572" t="s">
        <v>1094</v>
      </c>
      <c r="D2275" s="572"/>
      <c r="E2275" s="572"/>
      <c r="F2275" s="572"/>
      <c r="G2275" s="572"/>
      <c r="H2275" s="296"/>
      <c r="I2275" s="168" t="s">
        <v>211</v>
      </c>
      <c r="J2275" s="166" t="s">
        <v>211</v>
      </c>
      <c r="K2275" s="168" t="s">
        <v>211</v>
      </c>
      <c r="L2275" s="166" t="s">
        <v>211</v>
      </c>
      <c r="M2275" s="168" t="s">
        <v>211</v>
      </c>
      <c r="N2275" s="166" t="s">
        <v>211</v>
      </c>
      <c r="O2275" s="168" t="s">
        <v>211</v>
      </c>
    </row>
    <row r="2276" spans="2:15" s="453" customFormat="1" ht="14" x14ac:dyDescent="0.2">
      <c r="B2276" s="293"/>
      <c r="C2276" s="572"/>
      <c r="D2276" s="572"/>
      <c r="E2276" s="572"/>
      <c r="F2276" s="572"/>
      <c r="G2276" s="572"/>
      <c r="H2276" s="294"/>
      <c r="I2276" s="169"/>
      <c r="J2276" s="167"/>
      <c r="K2276" s="169"/>
      <c r="L2276" s="167"/>
      <c r="M2276" s="169"/>
      <c r="N2276" s="167"/>
      <c r="O2276" s="169"/>
    </row>
    <row r="2277" spans="2:15" s="453" customFormat="1" ht="14" x14ac:dyDescent="0.2">
      <c r="B2277" s="293"/>
      <c r="C2277" s="572" t="s">
        <v>906</v>
      </c>
      <c r="D2277" s="572"/>
      <c r="E2277" s="572"/>
      <c r="F2277" s="572"/>
      <c r="G2277" s="572"/>
      <c r="H2277" s="296"/>
      <c r="I2277" s="168" t="s">
        <v>211</v>
      </c>
      <c r="J2277" s="166" t="s">
        <v>211</v>
      </c>
      <c r="K2277" s="168" t="s">
        <v>211</v>
      </c>
      <c r="L2277" s="166" t="s">
        <v>211</v>
      </c>
      <c r="M2277" s="168" t="s">
        <v>211</v>
      </c>
      <c r="N2277" s="166" t="s">
        <v>211</v>
      </c>
      <c r="O2277" s="168" t="s">
        <v>211</v>
      </c>
    </row>
    <row r="2278" spans="2:15" s="453" customFormat="1" ht="14" x14ac:dyDescent="0.2">
      <c r="B2278" s="293"/>
      <c r="C2278" s="290"/>
      <c r="D2278" s="290"/>
      <c r="E2278" s="290"/>
      <c r="F2278" s="290"/>
      <c r="G2278" s="290"/>
      <c r="H2278" s="294"/>
      <c r="I2278" s="169"/>
      <c r="J2278" s="167"/>
      <c r="K2278" s="169"/>
      <c r="L2278" s="167"/>
      <c r="M2278" s="169"/>
      <c r="N2278" s="167"/>
      <c r="O2278" s="169"/>
    </row>
    <row r="2279" spans="2:15" s="453" customFormat="1" ht="14" x14ac:dyDescent="0.2">
      <c r="B2279" s="293"/>
      <c r="F2279" s="586" t="s">
        <v>1067</v>
      </c>
      <c r="G2279" s="586"/>
      <c r="H2279" s="587"/>
      <c r="I2279" s="169"/>
      <c r="J2279" s="167"/>
      <c r="K2279" s="169"/>
      <c r="L2279" s="167"/>
      <c r="M2279" s="169"/>
      <c r="N2279" s="167"/>
      <c r="O2279" s="169"/>
    </row>
    <row r="2280" spans="2:15" s="453" customFormat="1" ht="14" x14ac:dyDescent="0.2">
      <c r="B2280" s="293"/>
      <c r="F2280" s="593" t="s">
        <v>1086</v>
      </c>
      <c r="G2280" s="593"/>
      <c r="H2280" s="768"/>
      <c r="I2280" s="169"/>
      <c r="J2280" s="167"/>
      <c r="K2280" s="169"/>
      <c r="L2280" s="167"/>
      <c r="M2280" s="169"/>
      <c r="N2280" s="167"/>
      <c r="O2280" s="169"/>
    </row>
    <row r="2281" spans="2:15" s="453" customFormat="1" ht="14" x14ac:dyDescent="0.2">
      <c r="B2281" s="302"/>
      <c r="C2281" s="303"/>
      <c r="D2281" s="303"/>
      <c r="E2281" s="303"/>
      <c r="F2281" s="580" t="s">
        <v>1077</v>
      </c>
      <c r="G2281" s="580"/>
      <c r="H2281" s="585"/>
      <c r="I2281" s="169"/>
      <c r="J2281" s="167"/>
      <c r="K2281" s="169"/>
      <c r="L2281" s="167"/>
      <c r="M2281" s="169"/>
      <c r="N2281" s="167"/>
      <c r="O2281" s="169"/>
    </row>
    <row r="2282" spans="2:15" s="453" customFormat="1" ht="14" x14ac:dyDescent="0.2">
      <c r="B2282" s="291">
        <v>16</v>
      </c>
      <c r="C2282" s="602" t="s">
        <v>894</v>
      </c>
      <c r="D2282" s="602"/>
      <c r="E2282" s="602"/>
      <c r="F2282" s="602"/>
      <c r="G2282" s="602"/>
      <c r="H2282" s="292"/>
      <c r="I2282" s="168" t="s">
        <v>211</v>
      </c>
      <c r="J2282" s="166" t="s">
        <v>211</v>
      </c>
      <c r="K2282" s="168" t="s">
        <v>211</v>
      </c>
      <c r="L2282" s="166" t="s">
        <v>211</v>
      </c>
      <c r="M2282" s="168" t="s">
        <v>211</v>
      </c>
      <c r="N2282" s="166" t="s">
        <v>211</v>
      </c>
      <c r="O2282" s="168" t="s">
        <v>211</v>
      </c>
    </row>
    <row r="2283" spans="2:15" s="453" customFormat="1" ht="14" x14ac:dyDescent="0.2">
      <c r="B2283" s="293"/>
      <c r="C2283" s="572"/>
      <c r="D2283" s="572"/>
      <c r="E2283" s="572"/>
      <c r="F2283" s="572"/>
      <c r="G2283" s="572"/>
      <c r="H2283" s="294"/>
      <c r="I2283" s="169"/>
      <c r="J2283" s="167"/>
      <c r="K2283" s="169"/>
      <c r="L2283" s="167"/>
      <c r="M2283" s="169"/>
      <c r="N2283" s="167"/>
      <c r="O2283" s="169"/>
    </row>
    <row r="2284" spans="2:15" s="453" customFormat="1" ht="14" x14ac:dyDescent="0.2">
      <c r="B2284" s="293"/>
      <c r="F2284" s="593" t="s">
        <v>495</v>
      </c>
      <c r="G2284" s="593"/>
      <c r="H2284" s="768"/>
      <c r="I2284" s="169"/>
      <c r="J2284" s="167"/>
      <c r="K2284" s="169"/>
      <c r="L2284" s="167"/>
      <c r="M2284" s="169"/>
      <c r="N2284" s="167"/>
      <c r="O2284" s="169"/>
    </row>
    <row r="2285" spans="2:15" s="453" customFormat="1" ht="14" x14ac:dyDescent="0.2">
      <c r="B2285" s="293"/>
      <c r="C2285" s="572" t="s">
        <v>1095</v>
      </c>
      <c r="D2285" s="572"/>
      <c r="E2285" s="572"/>
      <c r="F2285" s="572"/>
      <c r="G2285" s="572"/>
      <c r="H2285" s="296"/>
      <c r="I2285" s="168" t="s">
        <v>211</v>
      </c>
      <c r="J2285" s="166" t="s">
        <v>211</v>
      </c>
      <c r="K2285" s="168" t="s">
        <v>211</v>
      </c>
      <c r="L2285" s="166" t="s">
        <v>211</v>
      </c>
      <c r="M2285" s="168" t="s">
        <v>211</v>
      </c>
      <c r="N2285" s="166" t="s">
        <v>211</v>
      </c>
      <c r="O2285" s="168" t="s">
        <v>211</v>
      </c>
    </row>
    <row r="2286" spans="2:15" s="453" customFormat="1" ht="14" x14ac:dyDescent="0.2">
      <c r="B2286" s="302"/>
      <c r="C2286" s="303"/>
      <c r="D2286" s="303"/>
      <c r="E2286" s="303"/>
      <c r="F2286" s="580" t="s">
        <v>495</v>
      </c>
      <c r="G2286" s="580"/>
      <c r="H2286" s="585"/>
      <c r="I2286" s="169"/>
      <c r="J2286" s="167"/>
      <c r="K2286" s="169"/>
      <c r="L2286" s="167"/>
      <c r="M2286" s="169"/>
      <c r="N2286" s="167"/>
      <c r="O2286" s="169"/>
    </row>
    <row r="2287" spans="2:15" s="453" customFormat="1" ht="14" x14ac:dyDescent="0.2">
      <c r="B2287" s="291">
        <v>17</v>
      </c>
      <c r="C2287" s="598" t="s">
        <v>912</v>
      </c>
      <c r="D2287" s="598"/>
      <c r="E2287" s="598"/>
      <c r="F2287" s="598"/>
      <c r="G2287" s="598"/>
      <c r="H2287" s="292"/>
      <c r="I2287" s="168" t="s">
        <v>211</v>
      </c>
      <c r="J2287" s="166" t="s">
        <v>211</v>
      </c>
      <c r="K2287" s="168" t="s">
        <v>211</v>
      </c>
      <c r="L2287" s="166" t="s">
        <v>211</v>
      </c>
      <c r="M2287" s="168" t="s">
        <v>211</v>
      </c>
      <c r="N2287" s="166" t="s">
        <v>211</v>
      </c>
      <c r="O2287" s="168" t="s">
        <v>211</v>
      </c>
    </row>
    <row r="2288" spans="2:15" s="453" customFormat="1" ht="14" x14ac:dyDescent="0.2">
      <c r="B2288" s="293"/>
      <c r="C2288" s="573" t="s">
        <v>913</v>
      </c>
      <c r="D2288" s="573"/>
      <c r="E2288" s="573"/>
      <c r="F2288" s="573"/>
      <c r="G2288" s="573"/>
      <c r="H2288" s="296"/>
      <c r="I2288" s="168" t="s">
        <v>211</v>
      </c>
      <c r="J2288" s="166" t="s">
        <v>211</v>
      </c>
      <c r="K2288" s="168" t="s">
        <v>211</v>
      </c>
      <c r="L2288" s="166" t="s">
        <v>211</v>
      </c>
      <c r="M2288" s="168" t="s">
        <v>211</v>
      </c>
      <c r="N2288" s="166" t="s">
        <v>211</v>
      </c>
      <c r="O2288" s="168" t="s">
        <v>211</v>
      </c>
    </row>
    <row r="2289" spans="2:16" s="453" customFormat="1" ht="14" x14ac:dyDescent="0.2">
      <c r="B2289" s="293"/>
      <c r="C2289" s="573" t="s">
        <v>914</v>
      </c>
      <c r="D2289" s="573"/>
      <c r="E2289" s="573"/>
      <c r="F2289" s="573"/>
      <c r="G2289" s="573"/>
      <c r="H2289" s="296"/>
      <c r="I2289" s="168" t="s">
        <v>211</v>
      </c>
      <c r="J2289" s="166" t="s">
        <v>211</v>
      </c>
      <c r="K2289" s="168" t="s">
        <v>211</v>
      </c>
      <c r="L2289" s="166" t="s">
        <v>211</v>
      </c>
      <c r="M2289" s="168" t="s">
        <v>211</v>
      </c>
      <c r="N2289" s="166" t="s">
        <v>211</v>
      </c>
      <c r="O2289" s="168" t="s">
        <v>211</v>
      </c>
    </row>
    <row r="2290" spans="2:16" s="453" customFormat="1" ht="14" x14ac:dyDescent="0.2">
      <c r="B2290" s="302"/>
      <c r="C2290" s="627" t="s">
        <v>915</v>
      </c>
      <c r="D2290" s="627"/>
      <c r="E2290" s="627"/>
      <c r="F2290" s="627"/>
      <c r="G2290" s="627"/>
      <c r="H2290" s="341"/>
      <c r="I2290" s="168" t="s">
        <v>211</v>
      </c>
      <c r="J2290" s="166" t="s">
        <v>211</v>
      </c>
      <c r="K2290" s="168" t="s">
        <v>211</v>
      </c>
      <c r="L2290" s="166" t="s">
        <v>211</v>
      </c>
      <c r="M2290" s="168" t="s">
        <v>211</v>
      </c>
      <c r="N2290" s="166" t="s">
        <v>211</v>
      </c>
      <c r="O2290" s="168" t="s">
        <v>211</v>
      </c>
    </row>
    <row r="2291" spans="2:16" s="453" customFormat="1" ht="14" x14ac:dyDescent="0.2">
      <c r="B2291" s="291">
        <v>18</v>
      </c>
      <c r="C2291" s="602" t="s">
        <v>1096</v>
      </c>
      <c r="D2291" s="602"/>
      <c r="E2291" s="602"/>
      <c r="F2291" s="602"/>
      <c r="G2291" s="602"/>
      <c r="H2291" s="292"/>
      <c r="I2291" s="168" t="s">
        <v>211</v>
      </c>
      <c r="J2291" s="166" t="s">
        <v>211</v>
      </c>
      <c r="K2291" s="168" t="s">
        <v>211</v>
      </c>
      <c r="L2291" s="166" t="s">
        <v>211</v>
      </c>
      <c r="M2291" s="168" t="s">
        <v>211</v>
      </c>
      <c r="N2291" s="166" t="s">
        <v>211</v>
      </c>
      <c r="O2291" s="168" t="s">
        <v>211</v>
      </c>
    </row>
    <row r="2292" spans="2:16" s="453" customFormat="1" ht="14" x14ac:dyDescent="0.2">
      <c r="B2292" s="293"/>
      <c r="C2292" s="572"/>
      <c r="D2292" s="572"/>
      <c r="E2292" s="572"/>
      <c r="F2292" s="572"/>
      <c r="G2292" s="572"/>
      <c r="H2292" s="294"/>
      <c r="I2292" s="169"/>
      <c r="J2292" s="167"/>
      <c r="K2292" s="169"/>
      <c r="L2292" s="167"/>
      <c r="M2292" s="169"/>
      <c r="N2292" s="167"/>
      <c r="O2292" s="169"/>
    </row>
    <row r="2293" spans="2:16" s="453" customFormat="1" ht="14" x14ac:dyDescent="0.2">
      <c r="B2293" s="293"/>
      <c r="C2293" s="573" t="s">
        <v>650</v>
      </c>
      <c r="D2293" s="573"/>
      <c r="E2293" s="573"/>
      <c r="F2293" s="573"/>
      <c r="G2293" s="573"/>
      <c r="H2293" s="296"/>
      <c r="I2293" s="168" t="s">
        <v>211</v>
      </c>
      <c r="J2293" s="166" t="s">
        <v>211</v>
      </c>
      <c r="K2293" s="168" t="s">
        <v>211</v>
      </c>
      <c r="L2293" s="166" t="s">
        <v>211</v>
      </c>
      <c r="M2293" s="168" t="s">
        <v>211</v>
      </c>
      <c r="N2293" s="166" t="s">
        <v>211</v>
      </c>
      <c r="O2293" s="168" t="s">
        <v>211</v>
      </c>
    </row>
    <row r="2294" spans="2:16" s="453" customFormat="1" ht="14" x14ac:dyDescent="0.2">
      <c r="B2294" s="293"/>
      <c r="C2294" s="573" t="s">
        <v>651</v>
      </c>
      <c r="D2294" s="573"/>
      <c r="E2294" s="573"/>
      <c r="F2294" s="573"/>
      <c r="G2294" s="573"/>
      <c r="H2294" s="296"/>
      <c r="I2294" s="168" t="s">
        <v>211</v>
      </c>
      <c r="J2294" s="166" t="s">
        <v>211</v>
      </c>
      <c r="K2294" s="168" t="s">
        <v>211</v>
      </c>
      <c r="L2294" s="166" t="s">
        <v>211</v>
      </c>
      <c r="M2294" s="168" t="s">
        <v>211</v>
      </c>
      <c r="N2294" s="166" t="s">
        <v>211</v>
      </c>
      <c r="O2294" s="168" t="s">
        <v>211</v>
      </c>
    </row>
    <row r="2295" spans="2:16" s="453" customFormat="1" ht="14" x14ac:dyDescent="0.2">
      <c r="B2295" s="293"/>
      <c r="C2295" s="785" t="s">
        <v>1097</v>
      </c>
      <c r="D2295" s="785"/>
      <c r="E2295" s="785"/>
      <c r="F2295" s="785"/>
      <c r="G2295" s="785"/>
      <c r="H2295" s="296"/>
      <c r="I2295" s="168" t="s">
        <v>211</v>
      </c>
      <c r="J2295" s="166" t="s">
        <v>211</v>
      </c>
      <c r="K2295" s="168" t="s">
        <v>211</v>
      </c>
      <c r="L2295" s="166" t="s">
        <v>211</v>
      </c>
      <c r="M2295" s="168" t="s">
        <v>211</v>
      </c>
      <c r="N2295" s="166" t="s">
        <v>211</v>
      </c>
      <c r="O2295" s="168" t="s">
        <v>211</v>
      </c>
    </row>
    <row r="2296" spans="2:16" s="453" customFormat="1" ht="14" x14ac:dyDescent="0.2">
      <c r="B2296" s="293"/>
      <c r="C2296" s="785"/>
      <c r="D2296" s="785"/>
      <c r="E2296" s="785"/>
      <c r="F2296" s="785"/>
      <c r="G2296" s="785"/>
      <c r="H2296" s="294"/>
      <c r="I2296" s="169"/>
      <c r="J2296" s="167"/>
      <c r="K2296" s="169"/>
      <c r="L2296" s="167"/>
      <c r="M2296" s="169"/>
      <c r="N2296" s="167"/>
      <c r="O2296" s="169"/>
    </row>
    <row r="2297" spans="2:16" s="453" customFormat="1" ht="14" x14ac:dyDescent="0.2">
      <c r="B2297" s="293"/>
      <c r="C2297" s="785"/>
      <c r="D2297" s="785"/>
      <c r="E2297" s="785"/>
      <c r="F2297" s="785"/>
      <c r="G2297" s="785"/>
      <c r="H2297" s="294"/>
      <c r="I2297" s="169"/>
      <c r="J2297" s="167"/>
      <c r="K2297" s="169"/>
      <c r="L2297" s="167"/>
      <c r="M2297" s="169"/>
      <c r="N2297" s="167"/>
      <c r="O2297" s="169"/>
    </row>
    <row r="2298" spans="2:16" s="453" customFormat="1" ht="14" x14ac:dyDescent="0.2">
      <c r="B2298" s="293"/>
      <c r="C2298" s="573" t="s">
        <v>1098</v>
      </c>
      <c r="D2298" s="573"/>
      <c r="E2298" s="573"/>
      <c r="F2298" s="573"/>
      <c r="G2298" s="573"/>
      <c r="H2298" s="296"/>
      <c r="I2298" s="168" t="s">
        <v>211</v>
      </c>
      <c r="J2298" s="166" t="s">
        <v>211</v>
      </c>
      <c r="K2298" s="168" t="s">
        <v>211</v>
      </c>
      <c r="L2298" s="166" t="s">
        <v>211</v>
      </c>
      <c r="M2298" s="168" t="s">
        <v>211</v>
      </c>
      <c r="N2298" s="166" t="s">
        <v>211</v>
      </c>
      <c r="O2298" s="168" t="s">
        <v>211</v>
      </c>
    </row>
    <row r="2299" spans="2:16" s="453" customFormat="1" ht="14" x14ac:dyDescent="0.2">
      <c r="B2299" s="302"/>
      <c r="C2299" s="303"/>
      <c r="D2299" s="303"/>
      <c r="E2299" s="303"/>
      <c r="F2299" s="580" t="s">
        <v>1099</v>
      </c>
      <c r="G2299" s="580"/>
      <c r="H2299" s="585"/>
      <c r="I2299" s="169"/>
      <c r="J2299" s="167"/>
      <c r="K2299" s="169"/>
      <c r="L2299" s="167"/>
      <c r="M2299" s="169"/>
      <c r="N2299" s="167"/>
      <c r="O2299" s="169"/>
    </row>
    <row r="2300" spans="2:16" s="453" customFormat="1" ht="14" x14ac:dyDescent="0.2">
      <c r="B2300" s="112"/>
      <c r="I2300" s="135"/>
      <c r="J2300" s="105"/>
      <c r="K2300" s="135"/>
      <c r="L2300" s="105"/>
      <c r="M2300" s="135"/>
      <c r="N2300" s="105"/>
      <c r="O2300" s="135"/>
    </row>
    <row r="2301" spans="2:16" s="453" customFormat="1" ht="14" x14ac:dyDescent="0.2">
      <c r="B2301" s="903" t="s">
        <v>1100</v>
      </c>
      <c r="C2301" s="903"/>
      <c r="D2301" s="903"/>
      <c r="E2301" s="381"/>
      <c r="F2301" s="381"/>
      <c r="G2301" s="381"/>
      <c r="H2301" s="381"/>
      <c r="I2301" s="135"/>
      <c r="J2301" s="105"/>
      <c r="K2301" s="135"/>
      <c r="L2301" s="105"/>
      <c r="M2301" s="135"/>
      <c r="N2301" s="105"/>
      <c r="O2301" s="135"/>
    </row>
    <row r="2302" spans="2:16" s="453" customFormat="1" ht="14" x14ac:dyDescent="0.2">
      <c r="B2302" s="291">
        <v>1</v>
      </c>
      <c r="C2302" s="598" t="s">
        <v>1101</v>
      </c>
      <c r="D2302" s="598"/>
      <c r="E2302" s="598"/>
      <c r="F2302" s="598"/>
      <c r="G2302" s="598"/>
      <c r="H2302" s="292"/>
      <c r="I2302" s="168" t="s">
        <v>211</v>
      </c>
      <c r="J2302" s="166" t="s">
        <v>211</v>
      </c>
      <c r="K2302" s="168" t="s">
        <v>211</v>
      </c>
      <c r="L2302" s="166" t="s">
        <v>211</v>
      </c>
      <c r="M2302" s="168" t="s">
        <v>211</v>
      </c>
      <c r="N2302" s="166" t="s">
        <v>211</v>
      </c>
      <c r="O2302" s="168" t="s">
        <v>211</v>
      </c>
      <c r="P2302" s="255"/>
    </row>
    <row r="2303" spans="2:16" s="453" customFormat="1" ht="14" x14ac:dyDescent="0.2">
      <c r="B2303" s="293"/>
      <c r="C2303" s="573" t="s">
        <v>1102</v>
      </c>
      <c r="D2303" s="573"/>
      <c r="E2303" s="573"/>
      <c r="F2303" s="573"/>
      <c r="G2303" s="573"/>
      <c r="H2303" s="296"/>
      <c r="I2303" s="168" t="s">
        <v>211</v>
      </c>
      <c r="J2303" s="166" t="s">
        <v>211</v>
      </c>
      <c r="K2303" s="168" t="s">
        <v>211</v>
      </c>
      <c r="L2303" s="166" t="s">
        <v>211</v>
      </c>
      <c r="M2303" s="168" t="s">
        <v>211</v>
      </c>
      <c r="N2303" s="166" t="s">
        <v>211</v>
      </c>
      <c r="O2303" s="168" t="s">
        <v>211</v>
      </c>
    </row>
    <row r="2304" spans="2:16" s="453" customFormat="1" ht="14" x14ac:dyDescent="0.2">
      <c r="B2304" s="293"/>
      <c r="C2304" s="573" t="s">
        <v>1103</v>
      </c>
      <c r="D2304" s="573"/>
      <c r="E2304" s="573"/>
      <c r="F2304" s="573"/>
      <c r="G2304" s="573"/>
      <c r="H2304" s="296"/>
      <c r="I2304" s="168" t="s">
        <v>211</v>
      </c>
      <c r="J2304" s="166" t="s">
        <v>211</v>
      </c>
      <c r="K2304" s="168" t="s">
        <v>211</v>
      </c>
      <c r="L2304" s="166" t="s">
        <v>211</v>
      </c>
      <c r="M2304" s="168" t="s">
        <v>211</v>
      </c>
      <c r="N2304" s="166" t="s">
        <v>211</v>
      </c>
      <c r="O2304" s="168" t="s">
        <v>211</v>
      </c>
    </row>
    <row r="2305" spans="2:15" s="453" customFormat="1" ht="14" x14ac:dyDescent="0.2">
      <c r="B2305" s="293"/>
      <c r="C2305" s="572" t="s">
        <v>1104</v>
      </c>
      <c r="D2305" s="572"/>
      <c r="E2305" s="572"/>
      <c r="F2305" s="572"/>
      <c r="G2305" s="572"/>
      <c r="H2305" s="296"/>
      <c r="I2305" s="168" t="s">
        <v>211</v>
      </c>
      <c r="J2305" s="166" t="s">
        <v>211</v>
      </c>
      <c r="K2305" s="168" t="s">
        <v>211</v>
      </c>
      <c r="L2305" s="166" t="s">
        <v>211</v>
      </c>
      <c r="M2305" s="168" t="s">
        <v>211</v>
      </c>
      <c r="N2305" s="166" t="s">
        <v>211</v>
      </c>
      <c r="O2305" s="168" t="s">
        <v>211</v>
      </c>
    </row>
    <row r="2306" spans="2:15" s="453" customFormat="1" ht="14" x14ac:dyDescent="0.2">
      <c r="B2306" s="293"/>
      <c r="C2306" s="572"/>
      <c r="D2306" s="572"/>
      <c r="E2306" s="572"/>
      <c r="F2306" s="572"/>
      <c r="G2306" s="572"/>
      <c r="H2306" s="294"/>
      <c r="I2306" s="169"/>
      <c r="J2306" s="167"/>
      <c r="K2306" s="169"/>
      <c r="L2306" s="167"/>
      <c r="M2306" s="169"/>
      <c r="N2306" s="167"/>
      <c r="O2306" s="169"/>
    </row>
    <row r="2307" spans="2:15" s="453" customFormat="1" ht="14" x14ac:dyDescent="0.2">
      <c r="B2307" s="293"/>
      <c r="C2307" s="573" t="s">
        <v>1105</v>
      </c>
      <c r="D2307" s="573"/>
      <c r="E2307" s="573"/>
      <c r="F2307" s="573"/>
      <c r="G2307" s="573"/>
      <c r="H2307" s="296"/>
      <c r="I2307" s="168" t="s">
        <v>211</v>
      </c>
      <c r="J2307" s="166" t="s">
        <v>211</v>
      </c>
      <c r="K2307" s="168" t="s">
        <v>211</v>
      </c>
      <c r="L2307" s="166" t="s">
        <v>211</v>
      </c>
      <c r="M2307" s="168" t="s">
        <v>211</v>
      </c>
      <c r="N2307" s="166" t="s">
        <v>211</v>
      </c>
      <c r="O2307" s="168" t="s">
        <v>211</v>
      </c>
    </row>
    <row r="2308" spans="2:15" s="453" customFormat="1" ht="14" x14ac:dyDescent="0.2">
      <c r="B2308" s="293"/>
      <c r="F2308" s="586" t="s">
        <v>756</v>
      </c>
      <c r="G2308" s="586"/>
      <c r="H2308" s="587"/>
      <c r="I2308" s="169"/>
      <c r="J2308" s="167"/>
      <c r="K2308" s="169"/>
      <c r="L2308" s="167"/>
      <c r="M2308" s="169"/>
      <c r="N2308" s="167"/>
      <c r="O2308" s="169"/>
    </row>
    <row r="2309" spans="2:15" s="453" customFormat="1" ht="14" x14ac:dyDescent="0.2">
      <c r="B2309" s="302"/>
      <c r="C2309" s="303"/>
      <c r="D2309" s="303"/>
      <c r="E2309" s="303"/>
      <c r="F2309" s="797" t="s">
        <v>1106</v>
      </c>
      <c r="G2309" s="797"/>
      <c r="H2309" s="798"/>
      <c r="I2309" s="169"/>
      <c r="J2309" s="167"/>
      <c r="K2309" s="169"/>
      <c r="L2309" s="167"/>
      <c r="M2309" s="169"/>
      <c r="N2309" s="167"/>
      <c r="O2309" s="169"/>
    </row>
    <row r="2310" spans="2:15" s="453" customFormat="1" ht="14" x14ac:dyDescent="0.2">
      <c r="B2310" s="291">
        <v>2</v>
      </c>
      <c r="C2310" s="598" t="s">
        <v>1107</v>
      </c>
      <c r="D2310" s="598"/>
      <c r="E2310" s="598"/>
      <c r="F2310" s="598"/>
      <c r="G2310" s="598"/>
      <c r="H2310" s="292"/>
      <c r="I2310" s="168" t="s">
        <v>211</v>
      </c>
      <c r="J2310" s="166" t="s">
        <v>211</v>
      </c>
      <c r="K2310" s="168" t="s">
        <v>211</v>
      </c>
      <c r="L2310" s="166" t="s">
        <v>211</v>
      </c>
      <c r="M2310" s="168" t="s">
        <v>211</v>
      </c>
      <c r="N2310" s="166" t="s">
        <v>211</v>
      </c>
      <c r="O2310" s="168" t="s">
        <v>211</v>
      </c>
    </row>
    <row r="2311" spans="2:15" s="453" customFormat="1" ht="14" x14ac:dyDescent="0.2">
      <c r="B2311" s="293"/>
      <c r="C2311" s="572" t="s">
        <v>1108</v>
      </c>
      <c r="D2311" s="572"/>
      <c r="E2311" s="572"/>
      <c r="F2311" s="572"/>
      <c r="G2311" s="572"/>
      <c r="H2311" s="296"/>
      <c r="I2311" s="168" t="s">
        <v>211</v>
      </c>
      <c r="J2311" s="166" t="s">
        <v>211</v>
      </c>
      <c r="K2311" s="168" t="s">
        <v>211</v>
      </c>
      <c r="L2311" s="166" t="s">
        <v>211</v>
      </c>
      <c r="M2311" s="168" t="s">
        <v>211</v>
      </c>
      <c r="N2311" s="166" t="s">
        <v>211</v>
      </c>
      <c r="O2311" s="168" t="s">
        <v>211</v>
      </c>
    </row>
    <row r="2312" spans="2:15" s="453" customFormat="1" ht="14" x14ac:dyDescent="0.2">
      <c r="B2312" s="293"/>
      <c r="C2312" s="572"/>
      <c r="D2312" s="572"/>
      <c r="E2312" s="572"/>
      <c r="F2312" s="572"/>
      <c r="G2312" s="572"/>
      <c r="H2312" s="294"/>
      <c r="I2312" s="169"/>
      <c r="J2312" s="167"/>
      <c r="K2312" s="169"/>
      <c r="L2312" s="167"/>
      <c r="M2312" s="169"/>
      <c r="N2312" s="167"/>
      <c r="O2312" s="169"/>
    </row>
    <row r="2313" spans="2:15" s="453" customFormat="1" ht="14" x14ac:dyDescent="0.2">
      <c r="B2313" s="302"/>
      <c r="C2313" s="303"/>
      <c r="D2313" s="303"/>
      <c r="E2313" s="303"/>
      <c r="F2313" s="580" t="s">
        <v>1109</v>
      </c>
      <c r="G2313" s="580"/>
      <c r="H2313" s="585"/>
      <c r="I2313" s="169"/>
      <c r="J2313" s="167"/>
      <c r="K2313" s="169"/>
      <c r="L2313" s="167"/>
      <c r="M2313" s="169"/>
      <c r="N2313" s="167"/>
      <c r="O2313" s="169"/>
    </row>
    <row r="2314" spans="2:15" s="453" customFormat="1" ht="14" x14ac:dyDescent="0.2">
      <c r="B2314" s="291">
        <v>3</v>
      </c>
      <c r="C2314" s="602" t="s">
        <v>1110</v>
      </c>
      <c r="D2314" s="602"/>
      <c r="E2314" s="602"/>
      <c r="F2314" s="602"/>
      <c r="G2314" s="602"/>
      <c r="H2314" s="292"/>
      <c r="I2314" s="168" t="s">
        <v>211</v>
      </c>
      <c r="J2314" s="166" t="s">
        <v>211</v>
      </c>
      <c r="K2314" s="168" t="s">
        <v>211</v>
      </c>
      <c r="L2314" s="166" t="s">
        <v>211</v>
      </c>
      <c r="M2314" s="168" t="s">
        <v>211</v>
      </c>
      <c r="N2314" s="166" t="s">
        <v>211</v>
      </c>
      <c r="O2314" s="168" t="s">
        <v>211</v>
      </c>
    </row>
    <row r="2315" spans="2:15" s="453" customFormat="1" ht="14" x14ac:dyDescent="0.2">
      <c r="B2315" s="293"/>
      <c r="C2315" s="572"/>
      <c r="D2315" s="572"/>
      <c r="E2315" s="572"/>
      <c r="F2315" s="572"/>
      <c r="G2315" s="572"/>
      <c r="H2315" s="294"/>
      <c r="I2315" s="169"/>
      <c r="J2315" s="167"/>
      <c r="K2315" s="169"/>
      <c r="L2315" s="167"/>
      <c r="M2315" s="169"/>
      <c r="N2315" s="167"/>
      <c r="O2315" s="169"/>
    </row>
    <row r="2316" spans="2:15" s="453" customFormat="1" ht="14" x14ac:dyDescent="0.2">
      <c r="B2316" s="293"/>
      <c r="C2316" s="572" t="s">
        <v>1111</v>
      </c>
      <c r="D2316" s="572"/>
      <c r="E2316" s="572"/>
      <c r="F2316" s="572"/>
      <c r="G2316" s="572"/>
      <c r="H2316" s="296"/>
      <c r="I2316" s="168" t="s">
        <v>211</v>
      </c>
      <c r="J2316" s="166" t="s">
        <v>211</v>
      </c>
      <c r="K2316" s="168" t="s">
        <v>211</v>
      </c>
      <c r="L2316" s="166" t="s">
        <v>211</v>
      </c>
      <c r="M2316" s="168" t="s">
        <v>211</v>
      </c>
      <c r="N2316" s="166" t="s">
        <v>211</v>
      </c>
      <c r="O2316" s="168" t="s">
        <v>211</v>
      </c>
    </row>
    <row r="2317" spans="2:15" s="453" customFormat="1" ht="14" x14ac:dyDescent="0.2">
      <c r="B2317" s="293"/>
      <c r="C2317" s="572"/>
      <c r="D2317" s="572"/>
      <c r="E2317" s="572"/>
      <c r="F2317" s="572"/>
      <c r="G2317" s="572"/>
      <c r="H2317" s="294"/>
      <c r="I2317" s="169"/>
      <c r="J2317" s="167"/>
      <c r="K2317" s="169"/>
      <c r="L2317" s="167"/>
      <c r="M2317" s="169"/>
      <c r="N2317" s="167"/>
      <c r="O2317" s="169"/>
    </row>
    <row r="2318" spans="2:15" s="453" customFormat="1" ht="14" x14ac:dyDescent="0.2">
      <c r="B2318" s="293"/>
      <c r="C2318" s="572" t="s">
        <v>1112</v>
      </c>
      <c r="D2318" s="572"/>
      <c r="E2318" s="572"/>
      <c r="F2318" s="572"/>
      <c r="G2318" s="572"/>
      <c r="H2318" s="296"/>
      <c r="I2318" s="168" t="s">
        <v>211</v>
      </c>
      <c r="J2318" s="166" t="s">
        <v>211</v>
      </c>
      <c r="K2318" s="168" t="s">
        <v>211</v>
      </c>
      <c r="L2318" s="166" t="s">
        <v>211</v>
      </c>
      <c r="M2318" s="168" t="s">
        <v>211</v>
      </c>
      <c r="N2318" s="166" t="s">
        <v>211</v>
      </c>
      <c r="O2318" s="168" t="s">
        <v>211</v>
      </c>
    </row>
    <row r="2319" spans="2:15" s="453" customFormat="1" ht="14" x14ac:dyDescent="0.2">
      <c r="B2319" s="293"/>
      <c r="C2319" s="572"/>
      <c r="D2319" s="572"/>
      <c r="E2319" s="572"/>
      <c r="F2319" s="572"/>
      <c r="G2319" s="572"/>
      <c r="H2319" s="294"/>
      <c r="I2319" s="169"/>
      <c r="J2319" s="167"/>
      <c r="K2319" s="169"/>
      <c r="L2319" s="167"/>
      <c r="M2319" s="169"/>
      <c r="N2319" s="167"/>
      <c r="O2319" s="169"/>
    </row>
    <row r="2320" spans="2:15" s="453" customFormat="1" ht="14" x14ac:dyDescent="0.2">
      <c r="B2320" s="293"/>
      <c r="C2320" s="573" t="s">
        <v>1113</v>
      </c>
      <c r="D2320" s="573"/>
      <c r="E2320" s="573"/>
      <c r="F2320" s="573"/>
      <c r="G2320" s="573"/>
      <c r="H2320" s="296"/>
      <c r="I2320" s="168" t="s">
        <v>211</v>
      </c>
      <c r="J2320" s="166" t="s">
        <v>211</v>
      </c>
      <c r="K2320" s="168" t="s">
        <v>211</v>
      </c>
      <c r="L2320" s="166" t="s">
        <v>211</v>
      </c>
      <c r="M2320" s="168" t="s">
        <v>211</v>
      </c>
      <c r="N2320" s="166" t="s">
        <v>211</v>
      </c>
      <c r="O2320" s="168" t="s">
        <v>211</v>
      </c>
    </row>
    <row r="2321" spans="2:15" s="453" customFormat="1" ht="14" x14ac:dyDescent="0.2">
      <c r="B2321" s="302"/>
      <c r="C2321" s="303"/>
      <c r="D2321" s="303"/>
      <c r="E2321" s="303"/>
      <c r="F2321" s="580" t="s">
        <v>1114</v>
      </c>
      <c r="G2321" s="580"/>
      <c r="H2321" s="585"/>
      <c r="I2321" s="169"/>
      <c r="J2321" s="167"/>
      <c r="K2321" s="169"/>
      <c r="L2321" s="167"/>
      <c r="M2321" s="169"/>
      <c r="N2321" s="167"/>
      <c r="O2321" s="169"/>
    </row>
    <row r="2322" spans="2:15" s="453" customFormat="1" ht="14" x14ac:dyDescent="0.2">
      <c r="B2322" s="291" t="s">
        <v>17</v>
      </c>
      <c r="C2322" s="598" t="s">
        <v>1115</v>
      </c>
      <c r="D2322" s="598"/>
      <c r="E2322" s="598"/>
      <c r="F2322" s="598"/>
      <c r="G2322" s="598"/>
      <c r="H2322" s="292"/>
      <c r="I2322" s="168" t="s">
        <v>211</v>
      </c>
      <c r="J2322" s="166" t="s">
        <v>211</v>
      </c>
      <c r="K2322" s="168" t="s">
        <v>211</v>
      </c>
      <c r="L2322" s="166" t="s">
        <v>211</v>
      </c>
      <c r="M2322" s="168" t="s">
        <v>211</v>
      </c>
      <c r="N2322" s="166" t="s">
        <v>211</v>
      </c>
      <c r="O2322" s="168" t="s">
        <v>211</v>
      </c>
    </row>
    <row r="2323" spans="2:15" s="453" customFormat="1" ht="14" x14ac:dyDescent="0.2">
      <c r="B2323" s="293"/>
      <c r="F2323" s="586" t="s">
        <v>635</v>
      </c>
      <c r="G2323" s="586"/>
      <c r="H2323" s="587"/>
      <c r="I2323" s="169"/>
      <c r="J2323" s="167"/>
      <c r="K2323" s="169"/>
      <c r="L2323" s="167"/>
      <c r="M2323" s="169"/>
      <c r="N2323" s="167"/>
      <c r="O2323" s="169"/>
    </row>
    <row r="2324" spans="2:15" s="453" customFormat="1" ht="14" x14ac:dyDescent="0.2">
      <c r="B2324" s="302"/>
      <c r="C2324" s="303"/>
      <c r="D2324" s="303"/>
      <c r="E2324" s="303"/>
      <c r="F2324" s="797" t="s">
        <v>1116</v>
      </c>
      <c r="G2324" s="797"/>
      <c r="H2324" s="798"/>
      <c r="I2324" s="169"/>
      <c r="J2324" s="167"/>
      <c r="K2324" s="169"/>
      <c r="L2324" s="167"/>
      <c r="M2324" s="169"/>
      <c r="N2324" s="167"/>
      <c r="O2324" s="169"/>
    </row>
    <row r="2325" spans="2:15" s="453" customFormat="1" ht="14" x14ac:dyDescent="0.2">
      <c r="B2325" s="291">
        <v>4</v>
      </c>
      <c r="C2325" s="602" t="s">
        <v>1117</v>
      </c>
      <c r="D2325" s="602"/>
      <c r="E2325" s="602"/>
      <c r="F2325" s="602"/>
      <c r="G2325" s="602"/>
      <c r="H2325" s="292"/>
      <c r="I2325" s="168" t="s">
        <v>211</v>
      </c>
      <c r="J2325" s="166" t="s">
        <v>211</v>
      </c>
      <c r="K2325" s="168" t="s">
        <v>211</v>
      </c>
      <c r="L2325" s="166" t="s">
        <v>211</v>
      </c>
      <c r="M2325" s="168" t="s">
        <v>211</v>
      </c>
      <c r="N2325" s="166" t="s">
        <v>211</v>
      </c>
      <c r="O2325" s="168" t="s">
        <v>211</v>
      </c>
    </row>
    <row r="2326" spans="2:15" s="453" customFormat="1" ht="14" x14ac:dyDescent="0.2">
      <c r="B2326" s="293"/>
      <c r="C2326" s="572"/>
      <c r="D2326" s="572"/>
      <c r="E2326" s="572"/>
      <c r="F2326" s="572"/>
      <c r="G2326" s="572"/>
      <c r="H2326" s="294"/>
      <c r="I2326" s="169"/>
      <c r="J2326" s="167"/>
      <c r="K2326" s="169"/>
      <c r="L2326" s="167"/>
      <c r="M2326" s="169"/>
      <c r="N2326" s="167"/>
      <c r="O2326" s="169"/>
    </row>
    <row r="2327" spans="2:15" s="453" customFormat="1" ht="14" x14ac:dyDescent="0.2">
      <c r="B2327" s="293"/>
      <c r="C2327" s="573" t="s">
        <v>1118</v>
      </c>
      <c r="D2327" s="573"/>
      <c r="E2327" s="573"/>
      <c r="F2327" s="573"/>
      <c r="G2327" s="573"/>
      <c r="H2327" s="296"/>
      <c r="I2327" s="168" t="s">
        <v>211</v>
      </c>
      <c r="J2327" s="166" t="s">
        <v>211</v>
      </c>
      <c r="K2327" s="168" t="s">
        <v>211</v>
      </c>
      <c r="L2327" s="166" t="s">
        <v>211</v>
      </c>
      <c r="M2327" s="168" t="s">
        <v>211</v>
      </c>
      <c r="N2327" s="166" t="s">
        <v>211</v>
      </c>
      <c r="O2327" s="168" t="s">
        <v>211</v>
      </c>
    </row>
    <row r="2328" spans="2:15" s="453" customFormat="1" ht="14" x14ac:dyDescent="0.2">
      <c r="B2328" s="293"/>
      <c r="C2328" s="573" t="s">
        <v>1119</v>
      </c>
      <c r="D2328" s="573"/>
      <c r="E2328" s="573"/>
      <c r="F2328" s="573"/>
      <c r="G2328" s="573"/>
      <c r="H2328" s="296"/>
      <c r="I2328" s="168" t="s">
        <v>211</v>
      </c>
      <c r="J2328" s="166" t="s">
        <v>211</v>
      </c>
      <c r="K2328" s="168" t="s">
        <v>211</v>
      </c>
      <c r="L2328" s="166" t="s">
        <v>211</v>
      </c>
      <c r="M2328" s="168" t="s">
        <v>211</v>
      </c>
      <c r="N2328" s="166" t="s">
        <v>211</v>
      </c>
      <c r="O2328" s="168" t="s">
        <v>211</v>
      </c>
    </row>
    <row r="2329" spans="2:15" s="453" customFormat="1" ht="14" x14ac:dyDescent="0.2">
      <c r="B2329" s="293"/>
      <c r="F2329" s="795" t="s">
        <v>1116</v>
      </c>
      <c r="G2329" s="795"/>
      <c r="H2329" s="800"/>
      <c r="I2329" s="169"/>
      <c r="J2329" s="167"/>
      <c r="K2329" s="169"/>
      <c r="L2329" s="167"/>
      <c r="M2329" s="169"/>
      <c r="N2329" s="167"/>
      <c r="O2329" s="169"/>
    </row>
    <row r="2330" spans="2:15" s="453" customFormat="1" ht="14" x14ac:dyDescent="0.2">
      <c r="B2330" s="293"/>
      <c r="F2330" s="586" t="s">
        <v>1120</v>
      </c>
      <c r="G2330" s="586"/>
      <c r="H2330" s="587"/>
      <c r="I2330" s="169"/>
      <c r="J2330" s="167"/>
      <c r="K2330" s="169"/>
      <c r="L2330" s="167"/>
      <c r="M2330" s="169"/>
      <c r="N2330" s="167"/>
      <c r="O2330" s="169"/>
    </row>
    <row r="2331" spans="2:15" s="453" customFormat="1" ht="14" x14ac:dyDescent="0.2">
      <c r="B2331" s="302"/>
      <c r="C2331" s="303"/>
      <c r="D2331" s="613" t="s">
        <v>1121</v>
      </c>
      <c r="E2331" s="613"/>
      <c r="F2331" s="613"/>
      <c r="G2331" s="613"/>
      <c r="H2331" s="775"/>
      <c r="I2331" s="169"/>
      <c r="J2331" s="167"/>
      <c r="K2331" s="169"/>
      <c r="L2331" s="167"/>
      <c r="M2331" s="169"/>
      <c r="N2331" s="167"/>
      <c r="O2331" s="169"/>
    </row>
    <row r="2332" spans="2:15" s="453" customFormat="1" ht="14" x14ac:dyDescent="0.2">
      <c r="B2332" s="291">
        <v>5</v>
      </c>
      <c r="C2332" s="602" t="s">
        <v>1122</v>
      </c>
      <c r="D2332" s="602"/>
      <c r="E2332" s="602"/>
      <c r="F2332" s="602"/>
      <c r="G2332" s="602"/>
      <c r="H2332" s="292"/>
      <c r="I2332" s="168" t="s">
        <v>211</v>
      </c>
      <c r="J2332" s="166" t="s">
        <v>211</v>
      </c>
      <c r="K2332" s="168" t="s">
        <v>211</v>
      </c>
      <c r="L2332" s="166" t="s">
        <v>211</v>
      </c>
      <c r="M2332" s="168" t="s">
        <v>211</v>
      </c>
      <c r="N2332" s="166" t="s">
        <v>211</v>
      </c>
      <c r="O2332" s="168" t="s">
        <v>211</v>
      </c>
    </row>
    <row r="2333" spans="2:15" s="453" customFormat="1" ht="14" x14ac:dyDescent="0.2">
      <c r="B2333" s="293"/>
      <c r="C2333" s="572"/>
      <c r="D2333" s="572"/>
      <c r="E2333" s="572"/>
      <c r="F2333" s="572"/>
      <c r="G2333" s="572"/>
      <c r="H2333" s="294"/>
      <c r="I2333" s="169"/>
      <c r="J2333" s="167"/>
      <c r="K2333" s="169"/>
      <c r="L2333" s="167"/>
      <c r="M2333" s="169"/>
      <c r="N2333" s="167"/>
      <c r="O2333" s="169"/>
    </row>
    <row r="2334" spans="2:15" s="453" customFormat="1" ht="14" x14ac:dyDescent="0.2">
      <c r="B2334" s="293"/>
      <c r="C2334" s="572" t="s">
        <v>1123</v>
      </c>
      <c r="D2334" s="572"/>
      <c r="E2334" s="572"/>
      <c r="F2334" s="572"/>
      <c r="G2334" s="572"/>
      <c r="H2334" s="296"/>
      <c r="I2334" s="168" t="s">
        <v>211</v>
      </c>
      <c r="J2334" s="166" t="s">
        <v>211</v>
      </c>
      <c r="K2334" s="168" t="s">
        <v>211</v>
      </c>
      <c r="L2334" s="166" t="s">
        <v>211</v>
      </c>
      <c r="M2334" s="168" t="s">
        <v>211</v>
      </c>
      <c r="N2334" s="166" t="s">
        <v>211</v>
      </c>
      <c r="O2334" s="168" t="s">
        <v>211</v>
      </c>
    </row>
    <row r="2335" spans="2:15" s="453" customFormat="1" ht="14" x14ac:dyDescent="0.2">
      <c r="B2335" s="293"/>
      <c r="C2335" s="572"/>
      <c r="D2335" s="572"/>
      <c r="E2335" s="572"/>
      <c r="F2335" s="572"/>
      <c r="G2335" s="572"/>
      <c r="H2335" s="294"/>
      <c r="I2335" s="169"/>
      <c r="J2335" s="167"/>
      <c r="K2335" s="169"/>
      <c r="L2335" s="167"/>
      <c r="M2335" s="169"/>
      <c r="N2335" s="167"/>
      <c r="O2335" s="169"/>
    </row>
    <row r="2336" spans="2:15" s="453" customFormat="1" ht="14" x14ac:dyDescent="0.2">
      <c r="B2336" s="293"/>
      <c r="C2336" s="573" t="s">
        <v>760</v>
      </c>
      <c r="D2336" s="573"/>
      <c r="E2336" s="573"/>
      <c r="F2336" s="573"/>
      <c r="G2336" s="573"/>
      <c r="H2336" s="296"/>
      <c r="I2336" s="168" t="s">
        <v>211</v>
      </c>
      <c r="J2336" s="166" t="s">
        <v>211</v>
      </c>
      <c r="K2336" s="168" t="s">
        <v>211</v>
      </c>
      <c r="L2336" s="166" t="s">
        <v>211</v>
      </c>
      <c r="M2336" s="168" t="s">
        <v>211</v>
      </c>
      <c r="N2336" s="166" t="s">
        <v>211</v>
      </c>
      <c r="O2336" s="168" t="s">
        <v>211</v>
      </c>
    </row>
    <row r="2337" spans="2:15" s="453" customFormat="1" ht="14" x14ac:dyDescent="0.2">
      <c r="B2337" s="293"/>
      <c r="F2337" s="586" t="s">
        <v>640</v>
      </c>
      <c r="G2337" s="586"/>
      <c r="H2337" s="587"/>
      <c r="I2337" s="169"/>
      <c r="J2337" s="167"/>
      <c r="K2337" s="169"/>
      <c r="L2337" s="167"/>
      <c r="M2337" s="169"/>
      <c r="N2337" s="167"/>
      <c r="O2337" s="169"/>
    </row>
    <row r="2338" spans="2:15" s="453" customFormat="1" ht="14" x14ac:dyDescent="0.2">
      <c r="B2338" s="302"/>
      <c r="C2338" s="303"/>
      <c r="D2338" s="303"/>
      <c r="E2338" s="303"/>
      <c r="F2338" s="797" t="s">
        <v>474</v>
      </c>
      <c r="G2338" s="797"/>
      <c r="H2338" s="798"/>
      <c r="I2338" s="169"/>
      <c r="J2338" s="167"/>
      <c r="K2338" s="169"/>
      <c r="L2338" s="167"/>
      <c r="M2338" s="169"/>
      <c r="N2338" s="167"/>
      <c r="O2338" s="169"/>
    </row>
    <row r="2339" spans="2:15" s="453" customFormat="1" ht="14" x14ac:dyDescent="0.2">
      <c r="B2339" s="291">
        <v>6</v>
      </c>
      <c r="C2339" s="602" t="s">
        <v>1124</v>
      </c>
      <c r="D2339" s="602"/>
      <c r="E2339" s="602"/>
      <c r="F2339" s="602"/>
      <c r="G2339" s="602"/>
      <c r="H2339" s="292"/>
      <c r="I2339" s="168" t="s">
        <v>211</v>
      </c>
      <c r="J2339" s="166" t="s">
        <v>211</v>
      </c>
      <c r="K2339" s="168" t="s">
        <v>211</v>
      </c>
      <c r="L2339" s="166" t="s">
        <v>211</v>
      </c>
      <c r="M2339" s="168" t="s">
        <v>211</v>
      </c>
      <c r="N2339" s="166" t="s">
        <v>211</v>
      </c>
      <c r="O2339" s="168" t="s">
        <v>211</v>
      </c>
    </row>
    <row r="2340" spans="2:15" s="453" customFormat="1" ht="14" x14ac:dyDescent="0.2">
      <c r="B2340" s="293"/>
      <c r="C2340" s="572"/>
      <c r="D2340" s="572"/>
      <c r="E2340" s="572"/>
      <c r="F2340" s="572"/>
      <c r="G2340" s="572"/>
      <c r="H2340" s="294"/>
      <c r="I2340" s="169"/>
      <c r="J2340" s="167"/>
      <c r="K2340" s="169"/>
      <c r="L2340" s="167"/>
      <c r="M2340" s="169"/>
      <c r="N2340" s="167"/>
      <c r="O2340" s="169"/>
    </row>
    <row r="2341" spans="2:15" s="453" customFormat="1" ht="14" x14ac:dyDescent="0.2">
      <c r="B2341" s="293"/>
      <c r="C2341" s="573" t="s">
        <v>1125</v>
      </c>
      <c r="D2341" s="573"/>
      <c r="E2341" s="573"/>
      <c r="F2341" s="573"/>
      <c r="G2341" s="573"/>
      <c r="H2341" s="296"/>
      <c r="I2341" s="168" t="s">
        <v>211</v>
      </c>
      <c r="J2341" s="166" t="s">
        <v>211</v>
      </c>
      <c r="K2341" s="168" t="s">
        <v>211</v>
      </c>
      <c r="L2341" s="166" t="s">
        <v>211</v>
      </c>
      <c r="M2341" s="168" t="s">
        <v>211</v>
      </c>
      <c r="N2341" s="166" t="s">
        <v>211</v>
      </c>
      <c r="O2341" s="168" t="s">
        <v>211</v>
      </c>
    </row>
    <row r="2342" spans="2:15" s="453" customFormat="1" ht="14" x14ac:dyDescent="0.2">
      <c r="B2342" s="293"/>
      <c r="C2342" s="573" t="s">
        <v>1126</v>
      </c>
      <c r="D2342" s="573"/>
      <c r="E2342" s="573"/>
      <c r="F2342" s="573"/>
      <c r="G2342" s="573"/>
      <c r="H2342" s="296"/>
      <c r="I2342" s="168" t="s">
        <v>211</v>
      </c>
      <c r="J2342" s="166" t="s">
        <v>211</v>
      </c>
      <c r="K2342" s="168" t="s">
        <v>211</v>
      </c>
      <c r="L2342" s="166" t="s">
        <v>211</v>
      </c>
      <c r="M2342" s="168" t="s">
        <v>211</v>
      </c>
      <c r="N2342" s="166" t="s">
        <v>211</v>
      </c>
      <c r="O2342" s="168" t="s">
        <v>211</v>
      </c>
    </row>
    <row r="2343" spans="2:15" s="453" customFormat="1" ht="14" x14ac:dyDescent="0.2">
      <c r="B2343" s="293"/>
      <c r="F2343" s="586" t="s">
        <v>756</v>
      </c>
      <c r="G2343" s="586"/>
      <c r="H2343" s="587"/>
      <c r="I2343" s="169"/>
      <c r="J2343" s="167"/>
      <c r="K2343" s="169"/>
      <c r="L2343" s="167"/>
      <c r="M2343" s="169"/>
      <c r="N2343" s="167"/>
      <c r="O2343" s="169"/>
    </row>
    <row r="2344" spans="2:15" s="453" customFormat="1" ht="14" x14ac:dyDescent="0.2">
      <c r="B2344" s="293"/>
      <c r="C2344" s="573" t="s">
        <v>1127</v>
      </c>
      <c r="D2344" s="573"/>
      <c r="E2344" s="573"/>
      <c r="F2344" s="573"/>
      <c r="G2344" s="573"/>
      <c r="H2344" s="294"/>
      <c r="I2344" s="169"/>
      <c r="J2344" s="167"/>
      <c r="K2344" s="169"/>
      <c r="L2344" s="167"/>
      <c r="M2344" s="169"/>
      <c r="N2344" s="167"/>
      <c r="O2344" s="169"/>
    </row>
    <row r="2345" spans="2:15" s="453" customFormat="1" ht="14" x14ac:dyDescent="0.2">
      <c r="B2345" s="293"/>
      <c r="F2345" s="593" t="s">
        <v>1128</v>
      </c>
      <c r="G2345" s="593"/>
      <c r="H2345" s="768"/>
      <c r="I2345" s="169"/>
      <c r="J2345" s="167"/>
      <c r="K2345" s="169"/>
      <c r="L2345" s="167"/>
      <c r="M2345" s="169"/>
      <c r="N2345" s="167"/>
      <c r="O2345" s="169"/>
    </row>
    <row r="2346" spans="2:15" s="453" customFormat="1" ht="14" x14ac:dyDescent="0.2">
      <c r="B2346" s="302"/>
      <c r="C2346" s="303"/>
      <c r="D2346" s="303"/>
      <c r="E2346" s="580" t="s">
        <v>1129</v>
      </c>
      <c r="F2346" s="580"/>
      <c r="G2346" s="580"/>
      <c r="H2346" s="585"/>
      <c r="I2346" s="169"/>
      <c r="J2346" s="167"/>
      <c r="K2346" s="169"/>
      <c r="L2346" s="167"/>
      <c r="M2346" s="169"/>
      <c r="N2346" s="167"/>
      <c r="O2346" s="169"/>
    </row>
    <row r="2347" spans="2:15" s="453" customFormat="1" ht="14" x14ac:dyDescent="0.2">
      <c r="B2347" s="291">
        <v>7</v>
      </c>
      <c r="C2347" s="602" t="s">
        <v>1130</v>
      </c>
      <c r="D2347" s="602"/>
      <c r="E2347" s="602"/>
      <c r="F2347" s="602"/>
      <c r="G2347" s="602"/>
      <c r="H2347" s="292"/>
      <c r="I2347" s="168" t="s">
        <v>211</v>
      </c>
      <c r="J2347" s="166" t="s">
        <v>211</v>
      </c>
      <c r="K2347" s="168" t="s">
        <v>211</v>
      </c>
      <c r="L2347" s="166" t="s">
        <v>211</v>
      </c>
      <c r="M2347" s="168" t="s">
        <v>211</v>
      </c>
      <c r="N2347" s="166" t="s">
        <v>211</v>
      </c>
      <c r="O2347" s="168" t="s">
        <v>211</v>
      </c>
    </row>
    <row r="2348" spans="2:15" s="453" customFormat="1" ht="14" x14ac:dyDescent="0.2">
      <c r="B2348" s="293"/>
      <c r="C2348" s="572"/>
      <c r="D2348" s="572"/>
      <c r="E2348" s="572"/>
      <c r="F2348" s="572"/>
      <c r="G2348" s="572"/>
      <c r="H2348" s="294"/>
      <c r="I2348" s="169"/>
      <c r="J2348" s="167"/>
      <c r="K2348" s="169"/>
      <c r="L2348" s="167"/>
      <c r="M2348" s="169"/>
      <c r="N2348" s="167"/>
      <c r="O2348" s="169"/>
    </row>
    <row r="2349" spans="2:15" s="453" customFormat="1" ht="14" x14ac:dyDescent="0.2">
      <c r="B2349" s="293"/>
      <c r="C2349" s="573" t="s">
        <v>1131</v>
      </c>
      <c r="D2349" s="573"/>
      <c r="E2349" s="573"/>
      <c r="F2349" s="573"/>
      <c r="G2349" s="573"/>
      <c r="H2349" s="296"/>
      <c r="I2349" s="168" t="s">
        <v>211</v>
      </c>
      <c r="J2349" s="166" t="s">
        <v>211</v>
      </c>
      <c r="K2349" s="168" t="s">
        <v>211</v>
      </c>
      <c r="L2349" s="166" t="s">
        <v>211</v>
      </c>
      <c r="M2349" s="168" t="s">
        <v>211</v>
      </c>
      <c r="N2349" s="166" t="s">
        <v>211</v>
      </c>
      <c r="O2349" s="168" t="s">
        <v>211</v>
      </c>
    </row>
    <row r="2350" spans="2:15" s="453" customFormat="1" ht="14" x14ac:dyDescent="0.2">
      <c r="B2350" s="293"/>
      <c r="F2350" s="586" t="s">
        <v>642</v>
      </c>
      <c r="G2350" s="586"/>
      <c r="H2350" s="587"/>
      <c r="I2350" s="169"/>
      <c r="J2350" s="167"/>
      <c r="K2350" s="169"/>
      <c r="L2350" s="167"/>
      <c r="M2350" s="169"/>
      <c r="N2350" s="167"/>
      <c r="O2350" s="169"/>
    </row>
    <row r="2351" spans="2:15" s="453" customFormat="1" ht="14" x14ac:dyDescent="0.2">
      <c r="B2351" s="293"/>
      <c r="C2351" s="573" t="s">
        <v>1132</v>
      </c>
      <c r="D2351" s="573"/>
      <c r="E2351" s="573"/>
      <c r="F2351" s="573"/>
      <c r="G2351" s="573"/>
      <c r="H2351" s="296"/>
      <c r="I2351" s="168" t="s">
        <v>211</v>
      </c>
      <c r="J2351" s="166" t="s">
        <v>211</v>
      </c>
      <c r="K2351" s="168" t="s">
        <v>211</v>
      </c>
      <c r="L2351" s="166" t="s">
        <v>211</v>
      </c>
      <c r="M2351" s="168" t="s">
        <v>211</v>
      </c>
      <c r="N2351" s="166" t="s">
        <v>211</v>
      </c>
      <c r="O2351" s="168" t="s">
        <v>211</v>
      </c>
    </row>
    <row r="2352" spans="2:15" s="453" customFormat="1" ht="14" x14ac:dyDescent="0.2">
      <c r="B2352" s="293"/>
      <c r="F2352" s="593" t="s">
        <v>1133</v>
      </c>
      <c r="G2352" s="593"/>
      <c r="H2352" s="768"/>
      <c r="I2352" s="169"/>
      <c r="J2352" s="167"/>
      <c r="K2352" s="169"/>
      <c r="L2352" s="167"/>
      <c r="M2352" s="169"/>
      <c r="N2352" s="167"/>
      <c r="O2352" s="169"/>
    </row>
    <row r="2353" spans="2:15" s="453" customFormat="1" ht="14" x14ac:dyDescent="0.2">
      <c r="B2353" s="293"/>
      <c r="F2353" s="593" t="s">
        <v>1134</v>
      </c>
      <c r="G2353" s="593"/>
      <c r="H2353" s="768"/>
      <c r="I2353" s="169"/>
      <c r="J2353" s="167"/>
      <c r="K2353" s="169"/>
      <c r="L2353" s="167"/>
      <c r="M2353" s="169"/>
      <c r="N2353" s="167"/>
      <c r="O2353" s="169"/>
    </row>
    <row r="2354" spans="2:15" s="453" customFormat="1" ht="14" x14ac:dyDescent="0.2">
      <c r="B2354" s="302"/>
      <c r="C2354" s="303"/>
      <c r="D2354" s="303"/>
      <c r="E2354" s="303"/>
      <c r="F2354" s="580" t="s">
        <v>1135</v>
      </c>
      <c r="G2354" s="580"/>
      <c r="H2354" s="585"/>
      <c r="I2354" s="169"/>
      <c r="J2354" s="167"/>
      <c r="K2354" s="169"/>
      <c r="L2354" s="167"/>
      <c r="M2354" s="169"/>
      <c r="N2354" s="167"/>
      <c r="O2354" s="169"/>
    </row>
    <row r="2355" spans="2:15" s="453" customFormat="1" ht="14" x14ac:dyDescent="0.2">
      <c r="B2355" s="291">
        <v>8</v>
      </c>
      <c r="C2355" s="598" t="s">
        <v>1136</v>
      </c>
      <c r="D2355" s="598"/>
      <c r="E2355" s="598"/>
      <c r="F2355" s="598"/>
      <c r="G2355" s="598"/>
      <c r="H2355" s="292"/>
      <c r="I2355" s="168" t="s">
        <v>211</v>
      </c>
      <c r="J2355" s="166" t="s">
        <v>211</v>
      </c>
      <c r="K2355" s="168" t="s">
        <v>211</v>
      </c>
      <c r="L2355" s="166" t="s">
        <v>211</v>
      </c>
      <c r="M2355" s="168" t="s">
        <v>211</v>
      </c>
      <c r="N2355" s="166" t="s">
        <v>211</v>
      </c>
      <c r="O2355" s="168" t="s">
        <v>211</v>
      </c>
    </row>
    <row r="2356" spans="2:15" s="453" customFormat="1" ht="14" x14ac:dyDescent="0.2">
      <c r="B2356" s="293"/>
      <c r="C2356" s="572" t="s">
        <v>1137</v>
      </c>
      <c r="D2356" s="572"/>
      <c r="E2356" s="572"/>
      <c r="F2356" s="572"/>
      <c r="G2356" s="572"/>
      <c r="H2356" s="296"/>
      <c r="I2356" s="168" t="s">
        <v>211</v>
      </c>
      <c r="J2356" s="166" t="s">
        <v>211</v>
      </c>
      <c r="K2356" s="168" t="s">
        <v>211</v>
      </c>
      <c r="L2356" s="166" t="s">
        <v>211</v>
      </c>
      <c r="M2356" s="168" t="s">
        <v>211</v>
      </c>
      <c r="N2356" s="166" t="s">
        <v>211</v>
      </c>
      <c r="O2356" s="168" t="s">
        <v>211</v>
      </c>
    </row>
    <row r="2357" spans="2:15" s="453" customFormat="1" ht="14" x14ac:dyDescent="0.2">
      <c r="B2357" s="293"/>
      <c r="C2357" s="572"/>
      <c r="D2357" s="572"/>
      <c r="E2357" s="572"/>
      <c r="F2357" s="572"/>
      <c r="G2357" s="572"/>
      <c r="H2357" s="294"/>
      <c r="I2357" s="169"/>
      <c r="J2357" s="167"/>
      <c r="K2357" s="169"/>
      <c r="L2357" s="167"/>
      <c r="M2357" s="169"/>
      <c r="N2357" s="167"/>
      <c r="O2357" s="169"/>
    </row>
    <row r="2358" spans="2:15" s="453" customFormat="1" ht="14" x14ac:dyDescent="0.2">
      <c r="B2358" s="293"/>
      <c r="C2358" s="573" t="s">
        <v>1138</v>
      </c>
      <c r="D2358" s="573"/>
      <c r="E2358" s="573"/>
      <c r="F2358" s="573"/>
      <c r="G2358" s="573"/>
      <c r="H2358" s="296"/>
      <c r="I2358" s="168" t="s">
        <v>211</v>
      </c>
      <c r="J2358" s="166" t="s">
        <v>211</v>
      </c>
      <c r="K2358" s="168" t="s">
        <v>211</v>
      </c>
      <c r="L2358" s="166" t="s">
        <v>211</v>
      </c>
      <c r="M2358" s="168" t="s">
        <v>211</v>
      </c>
      <c r="N2358" s="166" t="s">
        <v>211</v>
      </c>
      <c r="O2358" s="168" t="s">
        <v>211</v>
      </c>
    </row>
    <row r="2359" spans="2:15" s="453" customFormat="1" ht="14" x14ac:dyDescent="0.2">
      <c r="B2359" s="293"/>
      <c r="C2359" s="572" t="s">
        <v>1139</v>
      </c>
      <c r="D2359" s="572"/>
      <c r="E2359" s="572"/>
      <c r="F2359" s="572"/>
      <c r="G2359" s="572"/>
      <c r="H2359" s="296"/>
      <c r="I2359" s="168" t="s">
        <v>211</v>
      </c>
      <c r="J2359" s="166" t="s">
        <v>211</v>
      </c>
      <c r="K2359" s="168" t="s">
        <v>211</v>
      </c>
      <c r="L2359" s="166" t="s">
        <v>211</v>
      </c>
      <c r="M2359" s="168" t="s">
        <v>211</v>
      </c>
      <c r="N2359" s="166" t="s">
        <v>211</v>
      </c>
      <c r="O2359" s="168" t="s">
        <v>211</v>
      </c>
    </row>
    <row r="2360" spans="2:15" s="453" customFormat="1" ht="14" x14ac:dyDescent="0.2">
      <c r="B2360" s="293"/>
      <c r="C2360" s="572"/>
      <c r="D2360" s="572"/>
      <c r="E2360" s="572"/>
      <c r="F2360" s="572"/>
      <c r="G2360" s="572"/>
      <c r="H2360" s="294"/>
      <c r="I2360" s="169"/>
      <c r="J2360" s="167"/>
      <c r="K2360" s="169"/>
      <c r="L2360" s="167"/>
      <c r="M2360" s="169"/>
      <c r="N2360" s="167"/>
      <c r="O2360" s="169"/>
    </row>
    <row r="2361" spans="2:15" s="453" customFormat="1" ht="14" x14ac:dyDescent="0.2">
      <c r="B2361" s="293"/>
      <c r="C2361" s="785" t="s">
        <v>1140</v>
      </c>
      <c r="D2361" s="785"/>
      <c r="E2361" s="785"/>
      <c r="F2361" s="785"/>
      <c r="G2361" s="785"/>
      <c r="H2361" s="296"/>
      <c r="I2361" s="168" t="s">
        <v>211</v>
      </c>
      <c r="J2361" s="166" t="s">
        <v>211</v>
      </c>
      <c r="K2361" s="168" t="s">
        <v>211</v>
      </c>
      <c r="L2361" s="166" t="s">
        <v>211</v>
      </c>
      <c r="M2361" s="168" t="s">
        <v>211</v>
      </c>
      <c r="N2361" s="166" t="s">
        <v>211</v>
      </c>
      <c r="O2361" s="168" t="s">
        <v>211</v>
      </c>
    </row>
    <row r="2362" spans="2:15" s="453" customFormat="1" ht="14" x14ac:dyDescent="0.2">
      <c r="B2362" s="293"/>
      <c r="C2362" s="573" t="s">
        <v>1141</v>
      </c>
      <c r="D2362" s="573"/>
      <c r="E2362" s="573"/>
      <c r="F2362" s="573"/>
      <c r="G2362" s="573"/>
      <c r="H2362" s="296"/>
      <c r="I2362" s="168" t="s">
        <v>211</v>
      </c>
      <c r="J2362" s="166" t="s">
        <v>211</v>
      </c>
      <c r="K2362" s="168" t="s">
        <v>211</v>
      </c>
      <c r="L2362" s="166" t="s">
        <v>211</v>
      </c>
      <c r="M2362" s="168" t="s">
        <v>211</v>
      </c>
      <c r="N2362" s="166" t="s">
        <v>211</v>
      </c>
      <c r="O2362" s="168" t="s">
        <v>211</v>
      </c>
    </row>
    <row r="2363" spans="2:15" s="453" customFormat="1" ht="14" x14ac:dyDescent="0.2">
      <c r="B2363" s="293"/>
      <c r="F2363" s="593" t="s">
        <v>1142</v>
      </c>
      <c r="G2363" s="593"/>
      <c r="H2363" s="768"/>
      <c r="I2363" s="169"/>
      <c r="J2363" s="167"/>
      <c r="K2363" s="169"/>
      <c r="L2363" s="167"/>
      <c r="M2363" s="169"/>
      <c r="N2363" s="167"/>
      <c r="O2363" s="169"/>
    </row>
    <row r="2364" spans="2:15" s="453" customFormat="1" ht="14" x14ac:dyDescent="0.2">
      <c r="B2364" s="302"/>
      <c r="C2364" s="303"/>
      <c r="D2364" s="303"/>
      <c r="E2364" s="303"/>
      <c r="F2364" s="580" t="s">
        <v>1143</v>
      </c>
      <c r="G2364" s="580"/>
      <c r="H2364" s="585"/>
      <c r="I2364" s="169"/>
      <c r="J2364" s="167"/>
      <c r="K2364" s="169"/>
      <c r="L2364" s="167"/>
      <c r="M2364" s="169"/>
      <c r="N2364" s="167"/>
      <c r="O2364" s="169"/>
    </row>
    <row r="2365" spans="2:15" s="453" customFormat="1" ht="14" x14ac:dyDescent="0.2">
      <c r="B2365" s="291">
        <v>9</v>
      </c>
      <c r="C2365" s="602" t="s">
        <v>634</v>
      </c>
      <c r="D2365" s="602"/>
      <c r="E2365" s="602"/>
      <c r="F2365" s="602"/>
      <c r="G2365" s="602"/>
      <c r="H2365" s="292"/>
      <c r="I2365" s="168" t="s">
        <v>211</v>
      </c>
      <c r="J2365" s="166" t="s">
        <v>211</v>
      </c>
      <c r="K2365" s="168" t="s">
        <v>211</v>
      </c>
      <c r="L2365" s="166" t="s">
        <v>211</v>
      </c>
      <c r="M2365" s="168" t="s">
        <v>211</v>
      </c>
      <c r="N2365" s="166" t="s">
        <v>211</v>
      </c>
      <c r="O2365" s="168" t="s">
        <v>211</v>
      </c>
    </row>
    <row r="2366" spans="2:15" s="453" customFormat="1" ht="14" x14ac:dyDescent="0.2">
      <c r="B2366" s="293"/>
      <c r="C2366" s="572" t="s">
        <v>1144</v>
      </c>
      <c r="D2366" s="572"/>
      <c r="E2366" s="572"/>
      <c r="F2366" s="572"/>
      <c r="G2366" s="572"/>
      <c r="H2366" s="296"/>
      <c r="I2366" s="168" t="s">
        <v>211</v>
      </c>
      <c r="J2366" s="166" t="s">
        <v>211</v>
      </c>
      <c r="K2366" s="168" t="s">
        <v>211</v>
      </c>
      <c r="L2366" s="166" t="s">
        <v>211</v>
      </c>
      <c r="M2366" s="168" t="s">
        <v>211</v>
      </c>
      <c r="N2366" s="166" t="s">
        <v>211</v>
      </c>
      <c r="O2366" s="168" t="s">
        <v>211</v>
      </c>
    </row>
    <row r="2367" spans="2:15" s="453" customFormat="1" ht="14" x14ac:dyDescent="0.2">
      <c r="B2367" s="293"/>
      <c r="C2367" s="572"/>
      <c r="D2367" s="572"/>
      <c r="E2367" s="572"/>
      <c r="F2367" s="572"/>
      <c r="G2367" s="572"/>
      <c r="H2367" s="294"/>
      <c r="I2367" s="169"/>
      <c r="J2367" s="167"/>
      <c r="K2367" s="169"/>
      <c r="L2367" s="167"/>
      <c r="M2367" s="169"/>
      <c r="N2367" s="167"/>
      <c r="O2367" s="169"/>
    </row>
    <row r="2368" spans="2:15" s="453" customFormat="1" ht="14" x14ac:dyDescent="0.2">
      <c r="B2368" s="293"/>
      <c r="C2368" s="572" t="s">
        <v>1145</v>
      </c>
      <c r="D2368" s="572"/>
      <c r="E2368" s="572"/>
      <c r="F2368" s="572"/>
      <c r="G2368" s="572"/>
      <c r="H2368" s="296"/>
      <c r="I2368" s="168" t="s">
        <v>211</v>
      </c>
      <c r="J2368" s="166" t="s">
        <v>211</v>
      </c>
      <c r="K2368" s="168" t="s">
        <v>211</v>
      </c>
      <c r="L2368" s="166" t="s">
        <v>211</v>
      </c>
      <c r="M2368" s="168" t="s">
        <v>211</v>
      </c>
      <c r="N2368" s="166" t="s">
        <v>211</v>
      </c>
      <c r="O2368" s="168" t="s">
        <v>211</v>
      </c>
    </row>
    <row r="2369" spans="2:15" s="453" customFormat="1" ht="14" x14ac:dyDescent="0.2">
      <c r="B2369" s="293"/>
      <c r="C2369" s="572"/>
      <c r="D2369" s="572"/>
      <c r="E2369" s="572"/>
      <c r="F2369" s="572"/>
      <c r="G2369" s="572"/>
      <c r="H2369" s="294"/>
      <c r="I2369" s="169"/>
      <c r="J2369" s="167"/>
      <c r="K2369" s="169"/>
      <c r="L2369" s="167"/>
      <c r="M2369" s="169"/>
      <c r="N2369" s="167"/>
      <c r="O2369" s="169"/>
    </row>
    <row r="2370" spans="2:15" s="453" customFormat="1" ht="14" x14ac:dyDescent="0.2">
      <c r="B2370" s="293"/>
      <c r="C2370" s="572"/>
      <c r="D2370" s="572"/>
      <c r="E2370" s="572"/>
      <c r="F2370" s="572"/>
      <c r="G2370" s="572"/>
      <c r="H2370" s="294"/>
      <c r="I2370" s="169"/>
      <c r="J2370" s="167"/>
      <c r="K2370" s="169"/>
      <c r="L2370" s="167"/>
      <c r="M2370" s="169"/>
      <c r="N2370" s="167"/>
      <c r="O2370" s="169"/>
    </row>
    <row r="2371" spans="2:15" s="453" customFormat="1" ht="14" x14ac:dyDescent="0.2">
      <c r="B2371" s="293"/>
      <c r="C2371" s="572"/>
      <c r="D2371" s="572"/>
      <c r="E2371" s="572"/>
      <c r="F2371" s="572"/>
      <c r="G2371" s="572"/>
      <c r="H2371" s="294"/>
      <c r="I2371" s="169"/>
      <c r="J2371" s="167"/>
      <c r="K2371" s="169"/>
      <c r="L2371" s="167"/>
      <c r="M2371" s="169"/>
      <c r="N2371" s="167"/>
      <c r="O2371" s="169"/>
    </row>
    <row r="2372" spans="2:15" s="453" customFormat="1" ht="14" x14ac:dyDescent="0.2">
      <c r="B2372" s="293"/>
      <c r="C2372" s="573" t="s">
        <v>1146</v>
      </c>
      <c r="D2372" s="573"/>
      <c r="E2372" s="573"/>
      <c r="F2372" s="573"/>
      <c r="G2372" s="573"/>
      <c r="H2372" s="296"/>
      <c r="I2372" s="168" t="s">
        <v>211</v>
      </c>
      <c r="J2372" s="166" t="s">
        <v>211</v>
      </c>
      <c r="K2372" s="168" t="s">
        <v>211</v>
      </c>
      <c r="L2372" s="166" t="s">
        <v>211</v>
      </c>
      <c r="M2372" s="168" t="s">
        <v>211</v>
      </c>
      <c r="N2372" s="166" t="s">
        <v>211</v>
      </c>
      <c r="O2372" s="168" t="s">
        <v>211</v>
      </c>
    </row>
    <row r="2373" spans="2:15" s="453" customFormat="1" ht="14" x14ac:dyDescent="0.2">
      <c r="B2373" s="302"/>
      <c r="C2373" s="303"/>
      <c r="D2373" s="303"/>
      <c r="E2373" s="303"/>
      <c r="F2373" s="580" t="s">
        <v>1147</v>
      </c>
      <c r="G2373" s="580"/>
      <c r="H2373" s="585"/>
      <c r="I2373" s="169"/>
      <c r="J2373" s="167"/>
      <c r="K2373" s="169"/>
      <c r="L2373" s="167"/>
      <c r="M2373" s="169"/>
      <c r="N2373" s="167"/>
      <c r="O2373" s="169"/>
    </row>
    <row r="2374" spans="2:15" s="453" customFormat="1" ht="14" x14ac:dyDescent="0.2">
      <c r="B2374" s="291">
        <v>10</v>
      </c>
      <c r="C2374" s="602" t="s">
        <v>1148</v>
      </c>
      <c r="D2374" s="602"/>
      <c r="E2374" s="602"/>
      <c r="F2374" s="602"/>
      <c r="G2374" s="602"/>
      <c r="H2374" s="292"/>
      <c r="I2374" s="168" t="s">
        <v>211</v>
      </c>
      <c r="J2374" s="166" t="s">
        <v>211</v>
      </c>
      <c r="K2374" s="168" t="s">
        <v>211</v>
      </c>
      <c r="L2374" s="166" t="s">
        <v>211</v>
      </c>
      <c r="M2374" s="168" t="s">
        <v>211</v>
      </c>
      <c r="N2374" s="166" t="s">
        <v>211</v>
      </c>
      <c r="O2374" s="168" t="s">
        <v>211</v>
      </c>
    </row>
    <row r="2375" spans="2:15" s="453" customFormat="1" ht="14" x14ac:dyDescent="0.2">
      <c r="B2375" s="293"/>
      <c r="C2375" s="572"/>
      <c r="D2375" s="572"/>
      <c r="E2375" s="572"/>
      <c r="F2375" s="572"/>
      <c r="G2375" s="572"/>
      <c r="H2375" s="294"/>
      <c r="I2375" s="169"/>
      <c r="J2375" s="167"/>
      <c r="K2375" s="169"/>
      <c r="L2375" s="167"/>
      <c r="M2375" s="169"/>
      <c r="N2375" s="167"/>
      <c r="O2375" s="169"/>
    </row>
    <row r="2376" spans="2:15" s="453" customFormat="1" ht="14" x14ac:dyDescent="0.2">
      <c r="B2376" s="293"/>
      <c r="C2376" s="573" t="s">
        <v>1149</v>
      </c>
      <c r="D2376" s="573"/>
      <c r="E2376" s="573"/>
      <c r="F2376" s="573"/>
      <c r="G2376" s="573"/>
      <c r="H2376" s="296"/>
      <c r="I2376" s="168" t="s">
        <v>211</v>
      </c>
      <c r="J2376" s="166" t="s">
        <v>211</v>
      </c>
      <c r="K2376" s="168" t="s">
        <v>211</v>
      </c>
      <c r="L2376" s="166" t="s">
        <v>211</v>
      </c>
      <c r="M2376" s="168" t="s">
        <v>211</v>
      </c>
      <c r="N2376" s="166" t="s">
        <v>211</v>
      </c>
      <c r="O2376" s="168" t="s">
        <v>211</v>
      </c>
    </row>
    <row r="2377" spans="2:15" s="453" customFormat="1" ht="14" x14ac:dyDescent="0.2">
      <c r="B2377" s="293"/>
      <c r="C2377" s="573" t="s">
        <v>627</v>
      </c>
      <c r="D2377" s="573"/>
      <c r="E2377" s="573"/>
      <c r="F2377" s="573"/>
      <c r="G2377" s="573"/>
      <c r="H2377" s="296"/>
      <c r="I2377" s="168" t="s">
        <v>211</v>
      </c>
      <c r="J2377" s="166" t="s">
        <v>211</v>
      </c>
      <c r="K2377" s="168" t="s">
        <v>211</v>
      </c>
      <c r="L2377" s="166" t="s">
        <v>211</v>
      </c>
      <c r="M2377" s="168" t="s">
        <v>211</v>
      </c>
      <c r="N2377" s="166" t="s">
        <v>211</v>
      </c>
      <c r="O2377" s="168" t="s">
        <v>211</v>
      </c>
    </row>
    <row r="2378" spans="2:15" s="453" customFormat="1" ht="14" x14ac:dyDescent="0.2">
      <c r="B2378" s="293"/>
      <c r="F2378" s="586" t="s">
        <v>1079</v>
      </c>
      <c r="G2378" s="586"/>
      <c r="H2378" s="587"/>
      <c r="I2378" s="169"/>
      <c r="J2378" s="167"/>
      <c r="K2378" s="169"/>
      <c r="L2378" s="167"/>
      <c r="M2378" s="169"/>
      <c r="N2378" s="167"/>
      <c r="O2378" s="169"/>
    </row>
    <row r="2379" spans="2:15" s="453" customFormat="1" ht="14" x14ac:dyDescent="0.2">
      <c r="B2379" s="293"/>
      <c r="F2379" s="795" t="s">
        <v>1150</v>
      </c>
      <c r="G2379" s="795"/>
      <c r="H2379" s="800"/>
      <c r="I2379" s="169"/>
      <c r="J2379" s="167"/>
      <c r="K2379" s="169"/>
      <c r="L2379" s="167"/>
      <c r="M2379" s="169"/>
      <c r="N2379" s="167"/>
      <c r="O2379" s="169"/>
    </row>
    <row r="2380" spans="2:15" s="453" customFormat="1" ht="14" x14ac:dyDescent="0.2">
      <c r="B2380" s="302"/>
      <c r="C2380" s="303"/>
      <c r="D2380" s="303"/>
      <c r="E2380" s="797" t="s">
        <v>1151</v>
      </c>
      <c r="F2380" s="797"/>
      <c r="G2380" s="797"/>
      <c r="H2380" s="798"/>
      <c r="I2380" s="169"/>
      <c r="J2380" s="167"/>
      <c r="K2380" s="169"/>
      <c r="L2380" s="167"/>
      <c r="M2380" s="169"/>
      <c r="N2380" s="167"/>
      <c r="O2380" s="169"/>
    </row>
    <row r="2381" spans="2:15" s="453" customFormat="1" ht="14" x14ac:dyDescent="0.2">
      <c r="B2381" s="291">
        <v>11</v>
      </c>
      <c r="C2381" s="602" t="s">
        <v>1152</v>
      </c>
      <c r="D2381" s="602"/>
      <c r="E2381" s="602"/>
      <c r="F2381" s="602"/>
      <c r="G2381" s="602"/>
      <c r="H2381" s="292"/>
      <c r="I2381" s="168" t="s">
        <v>211</v>
      </c>
      <c r="J2381" s="166" t="s">
        <v>211</v>
      </c>
      <c r="K2381" s="168" t="s">
        <v>211</v>
      </c>
      <c r="L2381" s="166" t="s">
        <v>211</v>
      </c>
      <c r="M2381" s="168" t="s">
        <v>211</v>
      </c>
      <c r="N2381" s="166" t="s">
        <v>211</v>
      </c>
      <c r="O2381" s="168" t="s">
        <v>211</v>
      </c>
    </row>
    <row r="2382" spans="2:15" s="453" customFormat="1" ht="14" x14ac:dyDescent="0.2">
      <c r="B2382" s="293"/>
      <c r="C2382" s="572"/>
      <c r="D2382" s="572"/>
      <c r="E2382" s="572"/>
      <c r="F2382" s="572"/>
      <c r="G2382" s="572"/>
      <c r="H2382" s="294"/>
      <c r="I2382" s="169"/>
      <c r="J2382" s="167"/>
      <c r="K2382" s="169"/>
      <c r="L2382" s="167"/>
      <c r="M2382" s="169"/>
      <c r="N2382" s="167"/>
      <c r="O2382" s="169"/>
    </row>
    <row r="2383" spans="2:15" s="453" customFormat="1" ht="14" x14ac:dyDescent="0.2">
      <c r="B2383" s="293"/>
      <c r="C2383" s="573" t="s">
        <v>1153</v>
      </c>
      <c r="D2383" s="573"/>
      <c r="E2383" s="573"/>
      <c r="F2383" s="573"/>
      <c r="G2383" s="573"/>
      <c r="H2383" s="296"/>
      <c r="I2383" s="168" t="s">
        <v>211</v>
      </c>
      <c r="J2383" s="166" t="s">
        <v>211</v>
      </c>
      <c r="K2383" s="168" t="s">
        <v>211</v>
      </c>
      <c r="L2383" s="166" t="s">
        <v>211</v>
      </c>
      <c r="M2383" s="168" t="s">
        <v>211</v>
      </c>
      <c r="N2383" s="166" t="s">
        <v>211</v>
      </c>
      <c r="O2383" s="168" t="s">
        <v>211</v>
      </c>
    </row>
    <row r="2384" spans="2:15" s="453" customFormat="1" ht="14" x14ac:dyDescent="0.2">
      <c r="B2384" s="293"/>
      <c r="F2384" s="586" t="s">
        <v>733</v>
      </c>
      <c r="G2384" s="586"/>
      <c r="H2384" s="587"/>
      <c r="I2384" s="169"/>
      <c r="J2384" s="167"/>
      <c r="K2384" s="169"/>
      <c r="L2384" s="167"/>
      <c r="M2384" s="169"/>
      <c r="N2384" s="167"/>
      <c r="O2384" s="169"/>
    </row>
    <row r="2385" spans="2:15" s="453" customFormat="1" ht="14" x14ac:dyDescent="0.2">
      <c r="B2385" s="293"/>
      <c r="E2385" s="795" t="s">
        <v>1154</v>
      </c>
      <c r="F2385" s="795"/>
      <c r="G2385" s="795"/>
      <c r="H2385" s="800"/>
      <c r="I2385" s="169"/>
      <c r="J2385" s="167"/>
      <c r="K2385" s="169"/>
      <c r="L2385" s="167"/>
      <c r="M2385" s="169"/>
      <c r="N2385" s="167"/>
      <c r="O2385" s="169"/>
    </row>
    <row r="2386" spans="2:15" s="453" customFormat="1" ht="14" x14ac:dyDescent="0.2">
      <c r="B2386" s="293"/>
      <c r="F2386" s="795" t="s">
        <v>1155</v>
      </c>
      <c r="G2386" s="795"/>
      <c r="H2386" s="800"/>
      <c r="I2386" s="169"/>
      <c r="J2386" s="167"/>
      <c r="K2386" s="169"/>
      <c r="L2386" s="167"/>
      <c r="M2386" s="169"/>
      <c r="N2386" s="167"/>
      <c r="O2386" s="169"/>
    </row>
    <row r="2387" spans="2:15" s="453" customFormat="1" ht="14" x14ac:dyDescent="0.2">
      <c r="B2387" s="302"/>
      <c r="C2387" s="303"/>
      <c r="D2387" s="303"/>
      <c r="E2387" s="797" t="s">
        <v>1156</v>
      </c>
      <c r="F2387" s="797"/>
      <c r="G2387" s="797"/>
      <c r="H2387" s="798"/>
      <c r="I2387" s="169"/>
      <c r="J2387" s="167"/>
      <c r="K2387" s="169"/>
      <c r="L2387" s="167"/>
      <c r="M2387" s="169"/>
      <c r="N2387" s="167"/>
      <c r="O2387" s="169"/>
    </row>
    <row r="2388" spans="2:15" s="453" customFormat="1" ht="14" x14ac:dyDescent="0.2">
      <c r="B2388" s="291">
        <v>12</v>
      </c>
      <c r="C2388" s="602" t="s">
        <v>1157</v>
      </c>
      <c r="D2388" s="602"/>
      <c r="E2388" s="602"/>
      <c r="F2388" s="602"/>
      <c r="G2388" s="602"/>
      <c r="H2388" s="292"/>
      <c r="I2388" s="168" t="s">
        <v>211</v>
      </c>
      <c r="J2388" s="166" t="s">
        <v>211</v>
      </c>
      <c r="K2388" s="168" t="s">
        <v>211</v>
      </c>
      <c r="L2388" s="166" t="s">
        <v>211</v>
      </c>
      <c r="M2388" s="168" t="s">
        <v>211</v>
      </c>
      <c r="N2388" s="166" t="s">
        <v>211</v>
      </c>
      <c r="O2388" s="168" t="s">
        <v>211</v>
      </c>
    </row>
    <row r="2389" spans="2:15" s="453" customFormat="1" ht="14" x14ac:dyDescent="0.2">
      <c r="B2389" s="293"/>
      <c r="C2389" s="573" t="s">
        <v>1158</v>
      </c>
      <c r="D2389" s="573"/>
      <c r="E2389" s="573"/>
      <c r="F2389" s="573"/>
      <c r="G2389" s="573"/>
      <c r="H2389" s="296"/>
      <c r="I2389" s="168" t="s">
        <v>211</v>
      </c>
      <c r="J2389" s="166" t="s">
        <v>211</v>
      </c>
      <c r="K2389" s="168" t="s">
        <v>211</v>
      </c>
      <c r="L2389" s="166" t="s">
        <v>211</v>
      </c>
      <c r="M2389" s="168" t="s">
        <v>211</v>
      </c>
      <c r="N2389" s="166" t="s">
        <v>211</v>
      </c>
      <c r="O2389" s="168" t="s">
        <v>211</v>
      </c>
    </row>
    <row r="2390" spans="2:15" s="453" customFormat="1" ht="14" x14ac:dyDescent="0.2">
      <c r="B2390" s="293"/>
      <c r="C2390" s="572" t="s">
        <v>1159</v>
      </c>
      <c r="D2390" s="572"/>
      <c r="E2390" s="572"/>
      <c r="F2390" s="572"/>
      <c r="G2390" s="572"/>
      <c r="H2390" s="296"/>
      <c r="I2390" s="168" t="s">
        <v>211</v>
      </c>
      <c r="J2390" s="166" t="s">
        <v>211</v>
      </c>
      <c r="K2390" s="168" t="s">
        <v>211</v>
      </c>
      <c r="L2390" s="166" t="s">
        <v>211</v>
      </c>
      <c r="M2390" s="168" t="s">
        <v>211</v>
      </c>
      <c r="N2390" s="166" t="s">
        <v>211</v>
      </c>
      <c r="O2390" s="168" t="s">
        <v>211</v>
      </c>
    </row>
    <row r="2391" spans="2:15" s="453" customFormat="1" ht="14" x14ac:dyDescent="0.2">
      <c r="B2391" s="293"/>
      <c r="C2391" s="572"/>
      <c r="D2391" s="572"/>
      <c r="E2391" s="572"/>
      <c r="F2391" s="572"/>
      <c r="G2391" s="572"/>
      <c r="H2391" s="294"/>
      <c r="I2391" s="169"/>
      <c r="J2391" s="167"/>
      <c r="K2391" s="169"/>
      <c r="L2391" s="167"/>
      <c r="M2391" s="169"/>
      <c r="N2391" s="167"/>
      <c r="O2391" s="169"/>
    </row>
    <row r="2392" spans="2:15" s="453" customFormat="1" ht="14" x14ac:dyDescent="0.2">
      <c r="B2392" s="293"/>
      <c r="C2392" s="573" t="s">
        <v>1160</v>
      </c>
      <c r="D2392" s="573"/>
      <c r="E2392" s="573"/>
      <c r="F2392" s="573"/>
      <c r="G2392" s="573"/>
      <c r="H2392" s="296"/>
      <c r="I2392" s="168" t="s">
        <v>211</v>
      </c>
      <c r="J2392" s="166" t="s">
        <v>211</v>
      </c>
      <c r="K2392" s="168" t="s">
        <v>211</v>
      </c>
      <c r="L2392" s="166" t="s">
        <v>211</v>
      </c>
      <c r="M2392" s="168" t="s">
        <v>211</v>
      </c>
      <c r="N2392" s="166" t="s">
        <v>211</v>
      </c>
      <c r="O2392" s="168" t="s">
        <v>211</v>
      </c>
    </row>
    <row r="2393" spans="2:15" s="453" customFormat="1" ht="14" x14ac:dyDescent="0.2">
      <c r="B2393" s="293"/>
      <c r="F2393" s="593" t="s">
        <v>1161</v>
      </c>
      <c r="G2393" s="593"/>
      <c r="H2393" s="768"/>
      <c r="I2393" s="169"/>
      <c r="J2393" s="167"/>
      <c r="K2393" s="169"/>
      <c r="L2393" s="167"/>
      <c r="M2393" s="169"/>
      <c r="N2393" s="167"/>
      <c r="O2393" s="169"/>
    </row>
    <row r="2394" spans="2:15" s="453" customFormat="1" ht="14" x14ac:dyDescent="0.2">
      <c r="B2394" s="293"/>
      <c r="F2394" s="593" t="s">
        <v>1162</v>
      </c>
      <c r="G2394" s="593"/>
      <c r="H2394" s="768"/>
      <c r="I2394" s="169"/>
      <c r="J2394" s="167"/>
      <c r="K2394" s="169"/>
      <c r="L2394" s="167"/>
      <c r="M2394" s="169"/>
      <c r="N2394" s="167"/>
      <c r="O2394" s="169"/>
    </row>
    <row r="2395" spans="2:15" s="453" customFormat="1" ht="14" x14ac:dyDescent="0.2">
      <c r="B2395" s="302"/>
      <c r="C2395" s="303"/>
      <c r="D2395" s="303"/>
      <c r="E2395" s="303"/>
      <c r="F2395" s="580" t="s">
        <v>1163</v>
      </c>
      <c r="G2395" s="580"/>
      <c r="H2395" s="585"/>
      <c r="I2395" s="169"/>
      <c r="J2395" s="167"/>
      <c r="K2395" s="169"/>
      <c r="L2395" s="167"/>
      <c r="M2395" s="169"/>
      <c r="N2395" s="167"/>
      <c r="O2395" s="169"/>
    </row>
    <row r="2396" spans="2:15" s="453" customFormat="1" ht="14" x14ac:dyDescent="0.2">
      <c r="B2396" s="291">
        <v>13</v>
      </c>
      <c r="C2396" s="602" t="s">
        <v>1164</v>
      </c>
      <c r="D2396" s="602"/>
      <c r="E2396" s="602"/>
      <c r="F2396" s="602"/>
      <c r="G2396" s="602"/>
      <c r="H2396" s="292"/>
      <c r="I2396" s="168" t="s">
        <v>211</v>
      </c>
      <c r="J2396" s="166" t="s">
        <v>211</v>
      </c>
      <c r="K2396" s="168" t="s">
        <v>211</v>
      </c>
      <c r="L2396" s="166" t="s">
        <v>211</v>
      </c>
      <c r="M2396" s="168" t="s">
        <v>211</v>
      </c>
      <c r="N2396" s="166" t="s">
        <v>211</v>
      </c>
      <c r="O2396" s="168" t="s">
        <v>211</v>
      </c>
    </row>
    <row r="2397" spans="2:15" s="453" customFormat="1" ht="14" x14ac:dyDescent="0.2">
      <c r="B2397" s="293"/>
      <c r="C2397" s="572"/>
      <c r="D2397" s="572"/>
      <c r="E2397" s="572"/>
      <c r="F2397" s="572"/>
      <c r="G2397" s="572"/>
      <c r="H2397" s="294"/>
      <c r="I2397" s="169"/>
      <c r="J2397" s="167"/>
      <c r="K2397" s="169"/>
      <c r="L2397" s="167"/>
      <c r="M2397" s="169"/>
      <c r="N2397" s="167"/>
      <c r="O2397" s="169"/>
    </row>
    <row r="2398" spans="2:15" s="453" customFormat="1" ht="14" x14ac:dyDescent="0.2">
      <c r="B2398" s="293"/>
      <c r="C2398" s="573" t="s">
        <v>1165</v>
      </c>
      <c r="D2398" s="573"/>
      <c r="E2398" s="573"/>
      <c r="F2398" s="573"/>
      <c r="G2398" s="573"/>
      <c r="H2398" s="296"/>
      <c r="I2398" s="168" t="s">
        <v>211</v>
      </c>
      <c r="J2398" s="166" t="s">
        <v>211</v>
      </c>
      <c r="K2398" s="168" t="s">
        <v>211</v>
      </c>
      <c r="L2398" s="166" t="s">
        <v>211</v>
      </c>
      <c r="M2398" s="168" t="s">
        <v>211</v>
      </c>
      <c r="N2398" s="166" t="s">
        <v>211</v>
      </c>
      <c r="O2398" s="168" t="s">
        <v>211</v>
      </c>
    </row>
    <row r="2399" spans="2:15" s="453" customFormat="1" ht="14" x14ac:dyDescent="0.2">
      <c r="B2399" s="293"/>
      <c r="C2399" s="573" t="s">
        <v>823</v>
      </c>
      <c r="D2399" s="573"/>
      <c r="E2399" s="573"/>
      <c r="F2399" s="573"/>
      <c r="G2399" s="573"/>
      <c r="H2399" s="296"/>
      <c r="I2399" s="168" t="s">
        <v>211</v>
      </c>
      <c r="J2399" s="166" t="s">
        <v>211</v>
      </c>
      <c r="K2399" s="168" t="s">
        <v>211</v>
      </c>
      <c r="L2399" s="166" t="s">
        <v>211</v>
      </c>
      <c r="M2399" s="168" t="s">
        <v>211</v>
      </c>
      <c r="N2399" s="166" t="s">
        <v>211</v>
      </c>
      <c r="O2399" s="168" t="s">
        <v>211</v>
      </c>
    </row>
    <row r="2400" spans="2:15" s="453" customFormat="1" ht="14" x14ac:dyDescent="0.2">
      <c r="B2400" s="293"/>
      <c r="C2400" s="573" t="s">
        <v>1166</v>
      </c>
      <c r="D2400" s="573"/>
      <c r="E2400" s="573"/>
      <c r="F2400" s="573"/>
      <c r="G2400" s="573"/>
      <c r="H2400" s="296"/>
      <c r="I2400" s="168" t="s">
        <v>211</v>
      </c>
      <c r="J2400" s="166" t="s">
        <v>211</v>
      </c>
      <c r="K2400" s="168" t="s">
        <v>211</v>
      </c>
      <c r="L2400" s="166" t="s">
        <v>211</v>
      </c>
      <c r="M2400" s="168" t="s">
        <v>211</v>
      </c>
      <c r="N2400" s="166" t="s">
        <v>211</v>
      </c>
      <c r="O2400" s="168" t="s">
        <v>211</v>
      </c>
    </row>
    <row r="2401" spans="2:15" s="453" customFormat="1" ht="14" x14ac:dyDescent="0.2">
      <c r="B2401" s="293"/>
      <c r="F2401" s="795" t="s">
        <v>1167</v>
      </c>
      <c r="G2401" s="795"/>
      <c r="H2401" s="800"/>
      <c r="I2401" s="169"/>
      <c r="J2401" s="167"/>
      <c r="K2401" s="169"/>
      <c r="L2401" s="167"/>
      <c r="M2401" s="169"/>
      <c r="N2401" s="167"/>
      <c r="O2401" s="169"/>
    </row>
    <row r="2402" spans="2:15" s="453" customFormat="1" ht="14" x14ac:dyDescent="0.2">
      <c r="B2402" s="293"/>
      <c r="F2402" s="795" t="s">
        <v>1168</v>
      </c>
      <c r="G2402" s="795"/>
      <c r="H2402" s="800"/>
      <c r="I2402" s="169"/>
      <c r="J2402" s="167"/>
      <c r="K2402" s="169"/>
      <c r="L2402" s="167"/>
      <c r="M2402" s="169"/>
      <c r="N2402" s="167"/>
      <c r="O2402" s="169"/>
    </row>
    <row r="2403" spans="2:15" s="453" customFormat="1" ht="12.75" customHeight="1" x14ac:dyDescent="0.2">
      <c r="B2403" s="293"/>
      <c r="D2403" s="886" t="s">
        <v>1169</v>
      </c>
      <c r="E2403" s="886"/>
      <c r="F2403" s="886"/>
      <c r="G2403" s="886"/>
      <c r="H2403" s="887"/>
      <c r="I2403" s="169"/>
      <c r="J2403" s="167"/>
      <c r="K2403" s="169"/>
      <c r="L2403" s="167"/>
      <c r="M2403" s="169"/>
      <c r="N2403" s="167"/>
      <c r="O2403" s="169"/>
    </row>
    <row r="2404" spans="2:15" s="453" customFormat="1" ht="14" x14ac:dyDescent="0.2">
      <c r="B2404" s="293"/>
      <c r="F2404" s="586" t="s">
        <v>1170</v>
      </c>
      <c r="G2404" s="586"/>
      <c r="H2404" s="587"/>
      <c r="I2404" s="169"/>
      <c r="J2404" s="167"/>
      <c r="K2404" s="169"/>
      <c r="L2404" s="167"/>
      <c r="M2404" s="169"/>
      <c r="N2404" s="167"/>
      <c r="O2404" s="169"/>
    </row>
    <row r="2405" spans="2:15" s="453" customFormat="1" ht="14" x14ac:dyDescent="0.2">
      <c r="B2405" s="302"/>
      <c r="C2405" s="303"/>
      <c r="D2405" s="303"/>
      <c r="E2405" s="303"/>
      <c r="F2405" s="613" t="s">
        <v>1171</v>
      </c>
      <c r="G2405" s="613"/>
      <c r="H2405" s="775"/>
      <c r="I2405" s="169"/>
      <c r="J2405" s="167"/>
      <c r="K2405" s="169"/>
      <c r="L2405" s="167"/>
      <c r="M2405" s="169"/>
      <c r="N2405" s="167"/>
      <c r="O2405" s="169"/>
    </row>
    <row r="2406" spans="2:15" s="453" customFormat="1" ht="14" x14ac:dyDescent="0.2">
      <c r="B2406" s="291">
        <v>14</v>
      </c>
      <c r="C2406" s="602" t="s">
        <v>1172</v>
      </c>
      <c r="D2406" s="602"/>
      <c r="E2406" s="602"/>
      <c r="F2406" s="602"/>
      <c r="G2406" s="602"/>
      <c r="H2406" s="292"/>
      <c r="I2406" s="168" t="s">
        <v>211</v>
      </c>
      <c r="J2406" s="166" t="s">
        <v>211</v>
      </c>
      <c r="K2406" s="168" t="s">
        <v>211</v>
      </c>
      <c r="L2406" s="166" t="s">
        <v>211</v>
      </c>
      <c r="M2406" s="168" t="s">
        <v>211</v>
      </c>
      <c r="N2406" s="166" t="s">
        <v>211</v>
      </c>
      <c r="O2406" s="168" t="s">
        <v>211</v>
      </c>
    </row>
    <row r="2407" spans="2:15" s="453" customFormat="1" ht="14" x14ac:dyDescent="0.2">
      <c r="B2407" s="293"/>
      <c r="C2407" s="799"/>
      <c r="D2407" s="799"/>
      <c r="E2407" s="799"/>
      <c r="F2407" s="799"/>
      <c r="G2407" s="799"/>
      <c r="H2407" s="294"/>
      <c r="I2407" s="169"/>
      <c r="J2407" s="167"/>
      <c r="K2407" s="169"/>
      <c r="L2407" s="167"/>
      <c r="M2407" s="169"/>
      <c r="N2407" s="167"/>
      <c r="O2407" s="169"/>
    </row>
    <row r="2408" spans="2:15" s="453" customFormat="1" ht="14" x14ac:dyDescent="0.2">
      <c r="B2408" s="293"/>
      <c r="C2408" s="573" t="s">
        <v>1173</v>
      </c>
      <c r="D2408" s="573"/>
      <c r="E2408" s="573"/>
      <c r="F2408" s="573"/>
      <c r="G2408" s="573"/>
      <c r="H2408" s="296"/>
      <c r="I2408" s="168" t="s">
        <v>211</v>
      </c>
      <c r="J2408" s="166" t="s">
        <v>211</v>
      </c>
      <c r="K2408" s="168" t="s">
        <v>211</v>
      </c>
      <c r="L2408" s="166" t="s">
        <v>211</v>
      </c>
      <c r="M2408" s="168" t="s">
        <v>211</v>
      </c>
      <c r="N2408" s="166" t="s">
        <v>211</v>
      </c>
      <c r="O2408" s="168" t="s">
        <v>211</v>
      </c>
    </row>
    <row r="2409" spans="2:15" s="453" customFormat="1" ht="14" x14ac:dyDescent="0.2">
      <c r="B2409" s="293"/>
      <c r="E2409" s="593" t="s">
        <v>1174</v>
      </c>
      <c r="F2409" s="593"/>
      <c r="G2409" s="593"/>
      <c r="H2409" s="768"/>
      <c r="I2409" s="169"/>
      <c r="J2409" s="167"/>
      <c r="K2409" s="169"/>
      <c r="L2409" s="167"/>
      <c r="M2409" s="169"/>
      <c r="N2409" s="167"/>
      <c r="O2409" s="169"/>
    </row>
    <row r="2410" spans="2:15" s="453" customFormat="1" ht="14" x14ac:dyDescent="0.2">
      <c r="B2410" s="293"/>
      <c r="C2410" s="572" t="s">
        <v>1175</v>
      </c>
      <c r="D2410" s="572"/>
      <c r="E2410" s="572"/>
      <c r="F2410" s="572"/>
      <c r="G2410" s="572"/>
      <c r="H2410" s="296"/>
      <c r="I2410" s="168" t="s">
        <v>211</v>
      </c>
      <c r="J2410" s="166" t="s">
        <v>211</v>
      </c>
      <c r="K2410" s="168" t="s">
        <v>211</v>
      </c>
      <c r="L2410" s="166" t="s">
        <v>211</v>
      </c>
      <c r="M2410" s="168" t="s">
        <v>211</v>
      </c>
      <c r="N2410" s="166" t="s">
        <v>211</v>
      </c>
      <c r="O2410" s="168" t="s">
        <v>211</v>
      </c>
    </row>
    <row r="2411" spans="2:15" s="453" customFormat="1" ht="14" x14ac:dyDescent="0.2">
      <c r="B2411" s="293"/>
      <c r="C2411" s="572"/>
      <c r="D2411" s="572"/>
      <c r="E2411" s="572"/>
      <c r="F2411" s="572"/>
      <c r="G2411" s="572"/>
      <c r="H2411" s="294"/>
      <c r="I2411" s="169"/>
      <c r="J2411" s="167"/>
      <c r="K2411" s="169"/>
      <c r="L2411" s="167"/>
      <c r="M2411" s="169"/>
      <c r="N2411" s="167"/>
      <c r="O2411" s="169"/>
    </row>
    <row r="2412" spans="2:15" s="453" customFormat="1" ht="14" x14ac:dyDescent="0.2">
      <c r="B2412" s="293"/>
      <c r="C2412" s="573" t="s">
        <v>1176</v>
      </c>
      <c r="D2412" s="573"/>
      <c r="E2412" s="573"/>
      <c r="F2412" s="573"/>
      <c r="G2412" s="573"/>
      <c r="H2412" s="296"/>
      <c r="I2412" s="168" t="s">
        <v>211</v>
      </c>
      <c r="J2412" s="166" t="s">
        <v>211</v>
      </c>
      <c r="K2412" s="168" t="s">
        <v>211</v>
      </c>
      <c r="L2412" s="166" t="s">
        <v>211</v>
      </c>
      <c r="M2412" s="168" t="s">
        <v>211</v>
      </c>
      <c r="N2412" s="166" t="s">
        <v>211</v>
      </c>
      <c r="O2412" s="168" t="s">
        <v>211</v>
      </c>
    </row>
    <row r="2413" spans="2:15" s="453" customFormat="1" ht="14" x14ac:dyDescent="0.2">
      <c r="B2413" s="293"/>
      <c r="F2413" s="586" t="s">
        <v>1177</v>
      </c>
      <c r="G2413" s="586"/>
      <c r="H2413" s="587"/>
      <c r="I2413" s="169"/>
      <c r="J2413" s="167"/>
      <c r="K2413" s="169"/>
      <c r="L2413" s="167"/>
      <c r="M2413" s="169"/>
      <c r="N2413" s="167"/>
      <c r="O2413" s="169"/>
    </row>
    <row r="2414" spans="2:15" s="453" customFormat="1" ht="14" x14ac:dyDescent="0.2">
      <c r="B2414" s="302"/>
      <c r="C2414" s="303"/>
      <c r="D2414" s="303"/>
      <c r="E2414" s="303"/>
      <c r="F2414" s="797" t="s">
        <v>1178</v>
      </c>
      <c r="G2414" s="797"/>
      <c r="H2414" s="798"/>
      <c r="I2414" s="169"/>
      <c r="J2414" s="167"/>
      <c r="K2414" s="169"/>
      <c r="L2414" s="167"/>
      <c r="M2414" s="169"/>
      <c r="N2414" s="167"/>
      <c r="O2414" s="169"/>
    </row>
    <row r="2415" spans="2:15" s="453" customFormat="1" ht="14" x14ac:dyDescent="0.2">
      <c r="B2415" s="291">
        <v>15</v>
      </c>
      <c r="C2415" s="602" t="s">
        <v>649</v>
      </c>
      <c r="D2415" s="602"/>
      <c r="E2415" s="602"/>
      <c r="F2415" s="602"/>
      <c r="G2415" s="602"/>
      <c r="H2415" s="292"/>
      <c r="I2415" s="168" t="s">
        <v>211</v>
      </c>
      <c r="J2415" s="166" t="s">
        <v>211</v>
      </c>
      <c r="K2415" s="168" t="s">
        <v>211</v>
      </c>
      <c r="L2415" s="166" t="s">
        <v>211</v>
      </c>
      <c r="M2415" s="168" t="s">
        <v>211</v>
      </c>
      <c r="N2415" s="166" t="s">
        <v>211</v>
      </c>
      <c r="O2415" s="168" t="s">
        <v>211</v>
      </c>
    </row>
    <row r="2416" spans="2:15" s="453" customFormat="1" ht="14" x14ac:dyDescent="0.2">
      <c r="B2416" s="293"/>
      <c r="C2416" s="572"/>
      <c r="D2416" s="572"/>
      <c r="E2416" s="572"/>
      <c r="F2416" s="572"/>
      <c r="G2416" s="572"/>
      <c r="H2416" s="294"/>
      <c r="I2416" s="169"/>
      <c r="J2416" s="167"/>
      <c r="K2416" s="169"/>
      <c r="L2416" s="167"/>
      <c r="M2416" s="169"/>
      <c r="N2416" s="167"/>
      <c r="O2416" s="169"/>
    </row>
    <row r="2417" spans="2:15" s="453" customFormat="1" ht="14" x14ac:dyDescent="0.2">
      <c r="B2417" s="293"/>
      <c r="C2417" s="573" t="s">
        <v>650</v>
      </c>
      <c r="D2417" s="573"/>
      <c r="E2417" s="573"/>
      <c r="F2417" s="573"/>
      <c r="G2417" s="573"/>
      <c r="H2417" s="296"/>
      <c r="I2417" s="168" t="s">
        <v>211</v>
      </c>
      <c r="J2417" s="166" t="s">
        <v>211</v>
      </c>
      <c r="K2417" s="168" t="s">
        <v>211</v>
      </c>
      <c r="L2417" s="166" t="s">
        <v>211</v>
      </c>
      <c r="M2417" s="168" t="s">
        <v>211</v>
      </c>
      <c r="N2417" s="166" t="s">
        <v>211</v>
      </c>
      <c r="O2417" s="168" t="s">
        <v>211</v>
      </c>
    </row>
    <row r="2418" spans="2:15" s="453" customFormat="1" ht="14" x14ac:dyDescent="0.2">
      <c r="B2418" s="293"/>
      <c r="C2418" s="573" t="s">
        <v>651</v>
      </c>
      <c r="D2418" s="573"/>
      <c r="E2418" s="573"/>
      <c r="F2418" s="573"/>
      <c r="G2418" s="573"/>
      <c r="H2418" s="296"/>
      <c r="I2418" s="168" t="s">
        <v>211</v>
      </c>
      <c r="J2418" s="166" t="s">
        <v>211</v>
      </c>
      <c r="K2418" s="168" t="s">
        <v>211</v>
      </c>
      <c r="L2418" s="166" t="s">
        <v>211</v>
      </c>
      <c r="M2418" s="168" t="s">
        <v>211</v>
      </c>
      <c r="N2418" s="166" t="s">
        <v>211</v>
      </c>
      <c r="O2418" s="168" t="s">
        <v>211</v>
      </c>
    </row>
    <row r="2419" spans="2:15" s="453" customFormat="1" ht="14" x14ac:dyDescent="0.2">
      <c r="B2419" s="293"/>
      <c r="C2419" s="573" t="s">
        <v>1179</v>
      </c>
      <c r="D2419" s="573"/>
      <c r="E2419" s="573"/>
      <c r="F2419" s="573"/>
      <c r="G2419" s="573"/>
      <c r="H2419" s="296"/>
      <c r="I2419" s="168" t="s">
        <v>211</v>
      </c>
      <c r="J2419" s="166" t="s">
        <v>211</v>
      </c>
      <c r="K2419" s="168" t="s">
        <v>211</v>
      </c>
      <c r="L2419" s="166" t="s">
        <v>211</v>
      </c>
      <c r="M2419" s="168" t="s">
        <v>211</v>
      </c>
      <c r="N2419" s="166" t="s">
        <v>211</v>
      </c>
      <c r="O2419" s="168" t="s">
        <v>211</v>
      </c>
    </row>
    <row r="2420" spans="2:15" s="453" customFormat="1" ht="14" x14ac:dyDescent="0.2">
      <c r="B2420" s="293"/>
      <c r="C2420" s="573" t="s">
        <v>653</v>
      </c>
      <c r="D2420" s="573"/>
      <c r="E2420" s="573"/>
      <c r="F2420" s="573"/>
      <c r="G2420" s="573"/>
      <c r="H2420" s="296"/>
      <c r="I2420" s="168" t="s">
        <v>211</v>
      </c>
      <c r="J2420" s="166" t="s">
        <v>211</v>
      </c>
      <c r="K2420" s="168" t="s">
        <v>211</v>
      </c>
      <c r="L2420" s="166" t="s">
        <v>211</v>
      </c>
      <c r="M2420" s="168" t="s">
        <v>211</v>
      </c>
      <c r="N2420" s="166" t="s">
        <v>211</v>
      </c>
      <c r="O2420" s="168" t="s">
        <v>211</v>
      </c>
    </row>
    <row r="2421" spans="2:15" s="453" customFormat="1" ht="14" x14ac:dyDescent="0.2">
      <c r="B2421" s="293"/>
      <c r="C2421" s="573" t="s">
        <v>1180</v>
      </c>
      <c r="D2421" s="573"/>
      <c r="E2421" s="573"/>
      <c r="F2421" s="573"/>
      <c r="G2421" s="573"/>
      <c r="H2421" s="296"/>
      <c r="I2421" s="168" t="s">
        <v>211</v>
      </c>
      <c r="J2421" s="166" t="s">
        <v>211</v>
      </c>
      <c r="K2421" s="168" t="s">
        <v>211</v>
      </c>
      <c r="L2421" s="166" t="s">
        <v>211</v>
      </c>
      <c r="M2421" s="168" t="s">
        <v>211</v>
      </c>
      <c r="N2421" s="166" t="s">
        <v>211</v>
      </c>
      <c r="O2421" s="168" t="s">
        <v>211</v>
      </c>
    </row>
    <row r="2422" spans="2:15" s="453" customFormat="1" ht="14" x14ac:dyDescent="0.2">
      <c r="B2422" s="293"/>
      <c r="C2422" s="573" t="s">
        <v>1181</v>
      </c>
      <c r="D2422" s="573"/>
      <c r="E2422" s="573"/>
      <c r="F2422" s="573"/>
      <c r="G2422" s="573"/>
      <c r="H2422" s="296"/>
      <c r="I2422" s="168" t="s">
        <v>211</v>
      </c>
      <c r="J2422" s="166" t="s">
        <v>211</v>
      </c>
      <c r="K2422" s="168" t="s">
        <v>211</v>
      </c>
      <c r="L2422" s="166" t="s">
        <v>211</v>
      </c>
      <c r="M2422" s="168" t="s">
        <v>211</v>
      </c>
      <c r="N2422" s="166" t="s">
        <v>211</v>
      </c>
      <c r="O2422" s="168" t="s">
        <v>211</v>
      </c>
    </row>
    <row r="2423" spans="2:15" s="453" customFormat="1" ht="14" x14ac:dyDescent="0.2">
      <c r="B2423" s="293"/>
      <c r="C2423" s="573" t="s">
        <v>1182</v>
      </c>
      <c r="D2423" s="573"/>
      <c r="E2423" s="573"/>
      <c r="F2423" s="573"/>
      <c r="G2423" s="573"/>
      <c r="H2423" s="296"/>
      <c r="I2423" s="168" t="s">
        <v>211</v>
      </c>
      <c r="J2423" s="166" t="s">
        <v>211</v>
      </c>
      <c r="K2423" s="168" t="s">
        <v>211</v>
      </c>
      <c r="L2423" s="166" t="s">
        <v>211</v>
      </c>
      <c r="M2423" s="168" t="s">
        <v>211</v>
      </c>
      <c r="N2423" s="166" t="s">
        <v>211</v>
      </c>
      <c r="O2423" s="168" t="s">
        <v>211</v>
      </c>
    </row>
    <row r="2424" spans="2:15" s="453" customFormat="1" ht="14" x14ac:dyDescent="0.2">
      <c r="B2424" s="302"/>
      <c r="C2424" s="303"/>
      <c r="D2424" s="303"/>
      <c r="E2424" s="303"/>
      <c r="F2424" s="580" t="s">
        <v>1099</v>
      </c>
      <c r="G2424" s="580"/>
      <c r="H2424" s="585"/>
      <c r="I2424" s="169"/>
      <c r="J2424" s="167"/>
      <c r="K2424" s="169"/>
      <c r="L2424" s="167"/>
      <c r="M2424" s="169"/>
      <c r="N2424" s="167"/>
      <c r="O2424" s="169"/>
    </row>
    <row r="2425" spans="2:15" s="453" customFormat="1" ht="14" x14ac:dyDescent="0.2">
      <c r="B2425" s="291">
        <v>16</v>
      </c>
      <c r="C2425" s="801" t="s">
        <v>1183</v>
      </c>
      <c r="D2425" s="801"/>
      <c r="E2425" s="801"/>
      <c r="F2425" s="801"/>
      <c r="G2425" s="801"/>
      <c r="H2425" s="292"/>
      <c r="I2425" s="168" t="s">
        <v>211</v>
      </c>
      <c r="J2425" s="166" t="s">
        <v>211</v>
      </c>
      <c r="K2425" s="168" t="s">
        <v>211</v>
      </c>
      <c r="L2425" s="166" t="s">
        <v>211</v>
      </c>
      <c r="M2425" s="168" t="s">
        <v>211</v>
      </c>
      <c r="N2425" s="166" t="s">
        <v>211</v>
      </c>
      <c r="O2425" s="168" t="s">
        <v>211</v>
      </c>
    </row>
    <row r="2426" spans="2:15" s="453" customFormat="1" ht="14" x14ac:dyDescent="0.2">
      <c r="B2426" s="293"/>
      <c r="C2426" s="785"/>
      <c r="D2426" s="785"/>
      <c r="E2426" s="785"/>
      <c r="F2426" s="785"/>
      <c r="G2426" s="785"/>
      <c r="H2426" s="294"/>
      <c r="I2426" s="169"/>
      <c r="J2426" s="167"/>
      <c r="K2426" s="169"/>
      <c r="L2426" s="167"/>
      <c r="M2426" s="169"/>
      <c r="N2426" s="167"/>
      <c r="O2426" s="169"/>
    </row>
    <row r="2427" spans="2:15" s="453" customFormat="1" ht="14" x14ac:dyDescent="0.2">
      <c r="B2427" s="293"/>
      <c r="C2427" s="572" t="s">
        <v>1184</v>
      </c>
      <c r="D2427" s="572"/>
      <c r="E2427" s="572"/>
      <c r="F2427" s="572"/>
      <c r="G2427" s="572"/>
      <c r="H2427" s="296"/>
      <c r="I2427" s="168" t="s">
        <v>211</v>
      </c>
      <c r="J2427" s="166" t="s">
        <v>211</v>
      </c>
      <c r="K2427" s="168" t="s">
        <v>211</v>
      </c>
      <c r="L2427" s="166" t="s">
        <v>211</v>
      </c>
      <c r="M2427" s="168" t="s">
        <v>211</v>
      </c>
      <c r="N2427" s="166" t="s">
        <v>211</v>
      </c>
      <c r="O2427" s="168" t="s">
        <v>211</v>
      </c>
    </row>
    <row r="2428" spans="2:15" s="453" customFormat="1" ht="14" x14ac:dyDescent="0.2">
      <c r="B2428" s="293"/>
      <c r="C2428" s="572"/>
      <c r="D2428" s="572"/>
      <c r="E2428" s="572"/>
      <c r="F2428" s="572"/>
      <c r="G2428" s="572"/>
      <c r="H2428" s="294"/>
      <c r="I2428" s="169"/>
      <c r="J2428" s="167"/>
      <c r="K2428" s="169"/>
      <c r="L2428" s="167"/>
      <c r="M2428" s="169"/>
      <c r="N2428" s="167"/>
      <c r="O2428" s="169"/>
    </row>
    <row r="2429" spans="2:15" s="453" customFormat="1" ht="14" x14ac:dyDescent="0.2">
      <c r="B2429" s="293"/>
      <c r="C2429" s="573" t="s">
        <v>1185</v>
      </c>
      <c r="D2429" s="573"/>
      <c r="E2429" s="573"/>
      <c r="F2429" s="573"/>
      <c r="G2429" s="573"/>
      <c r="H2429" s="296"/>
      <c r="I2429" s="168" t="s">
        <v>211</v>
      </c>
      <c r="J2429" s="166" t="s">
        <v>211</v>
      </c>
      <c r="K2429" s="168" t="s">
        <v>211</v>
      </c>
      <c r="L2429" s="166" t="s">
        <v>211</v>
      </c>
      <c r="M2429" s="168" t="s">
        <v>211</v>
      </c>
      <c r="N2429" s="166" t="s">
        <v>211</v>
      </c>
      <c r="O2429" s="168" t="s">
        <v>211</v>
      </c>
    </row>
    <row r="2430" spans="2:15" s="453" customFormat="1" ht="14" x14ac:dyDescent="0.2">
      <c r="B2430" s="293"/>
      <c r="F2430" s="586" t="s">
        <v>756</v>
      </c>
      <c r="G2430" s="586"/>
      <c r="H2430" s="587"/>
      <c r="I2430" s="169"/>
      <c r="J2430" s="167"/>
      <c r="K2430" s="169"/>
      <c r="L2430" s="167"/>
      <c r="M2430" s="169"/>
      <c r="N2430" s="167"/>
      <c r="O2430" s="169"/>
    </row>
    <row r="2431" spans="2:15" s="453" customFormat="1" ht="14" x14ac:dyDescent="0.2">
      <c r="B2431" s="302"/>
      <c r="C2431" s="303"/>
      <c r="D2431" s="303"/>
      <c r="E2431" s="303"/>
      <c r="F2431" s="797" t="s">
        <v>1186</v>
      </c>
      <c r="G2431" s="797"/>
      <c r="H2431" s="798"/>
      <c r="I2431" s="169"/>
      <c r="J2431" s="167"/>
      <c r="K2431" s="169"/>
      <c r="L2431" s="167"/>
      <c r="M2431" s="169"/>
      <c r="N2431" s="167"/>
      <c r="O2431" s="169"/>
    </row>
    <row r="2432" spans="2:15" s="453" customFormat="1" ht="14" x14ac:dyDescent="0.2">
      <c r="B2432" s="291">
        <v>17</v>
      </c>
      <c r="C2432" s="602" t="s">
        <v>1187</v>
      </c>
      <c r="D2432" s="602"/>
      <c r="E2432" s="602"/>
      <c r="F2432" s="602"/>
      <c r="G2432" s="602"/>
      <c r="H2432" s="292"/>
      <c r="I2432" s="168" t="s">
        <v>211</v>
      </c>
      <c r="J2432" s="166" t="s">
        <v>211</v>
      </c>
      <c r="K2432" s="168" t="s">
        <v>211</v>
      </c>
      <c r="L2432" s="166" t="s">
        <v>211</v>
      </c>
      <c r="M2432" s="168" t="s">
        <v>211</v>
      </c>
      <c r="N2432" s="166" t="s">
        <v>211</v>
      </c>
      <c r="O2432" s="168" t="s">
        <v>211</v>
      </c>
    </row>
    <row r="2433" spans="2:15" s="453" customFormat="1" ht="14" x14ac:dyDescent="0.2">
      <c r="B2433" s="293"/>
      <c r="C2433" s="572"/>
      <c r="D2433" s="572"/>
      <c r="E2433" s="572"/>
      <c r="F2433" s="572"/>
      <c r="G2433" s="572"/>
      <c r="H2433" s="294"/>
      <c r="I2433" s="169"/>
      <c r="J2433" s="167"/>
      <c r="K2433" s="169"/>
      <c r="L2433" s="167"/>
      <c r="M2433" s="169"/>
      <c r="N2433" s="167"/>
      <c r="O2433" s="169"/>
    </row>
    <row r="2434" spans="2:15" s="453" customFormat="1" ht="14" x14ac:dyDescent="0.2">
      <c r="B2434" s="293"/>
      <c r="C2434" s="595" t="s">
        <v>1188</v>
      </c>
      <c r="D2434" s="595"/>
      <c r="E2434" s="595"/>
      <c r="F2434" s="595"/>
      <c r="G2434" s="595"/>
      <c r="H2434" s="296"/>
      <c r="I2434" s="168" t="s">
        <v>211</v>
      </c>
      <c r="J2434" s="166" t="s">
        <v>211</v>
      </c>
      <c r="K2434" s="168" t="s">
        <v>211</v>
      </c>
      <c r="L2434" s="166" t="s">
        <v>211</v>
      </c>
      <c r="M2434" s="168" t="s">
        <v>211</v>
      </c>
      <c r="N2434" s="166" t="s">
        <v>211</v>
      </c>
      <c r="O2434" s="168" t="s">
        <v>211</v>
      </c>
    </row>
    <row r="2435" spans="2:15" s="453" customFormat="1" ht="14" x14ac:dyDescent="0.2">
      <c r="B2435" s="293"/>
      <c r="C2435" s="785" t="s">
        <v>1189</v>
      </c>
      <c r="D2435" s="785"/>
      <c r="E2435" s="785"/>
      <c r="F2435" s="785"/>
      <c r="G2435" s="785"/>
      <c r="H2435" s="296"/>
      <c r="I2435" s="168" t="s">
        <v>211</v>
      </c>
      <c r="J2435" s="166" t="s">
        <v>211</v>
      </c>
      <c r="K2435" s="168" t="s">
        <v>211</v>
      </c>
      <c r="L2435" s="166" t="s">
        <v>211</v>
      </c>
      <c r="M2435" s="168" t="s">
        <v>211</v>
      </c>
      <c r="N2435" s="166" t="s">
        <v>211</v>
      </c>
      <c r="O2435" s="168" t="s">
        <v>211</v>
      </c>
    </row>
    <row r="2436" spans="2:15" s="453" customFormat="1" ht="14" x14ac:dyDescent="0.2">
      <c r="B2436" s="293"/>
      <c r="C2436" s="785"/>
      <c r="D2436" s="785"/>
      <c r="E2436" s="785"/>
      <c r="F2436" s="785"/>
      <c r="G2436" s="785"/>
      <c r="H2436" s="294"/>
      <c r="I2436" s="169"/>
      <c r="J2436" s="167"/>
      <c r="K2436" s="169"/>
      <c r="L2436" s="167"/>
      <c r="M2436" s="169"/>
      <c r="N2436" s="167"/>
      <c r="O2436" s="169"/>
    </row>
    <row r="2437" spans="2:15" s="453" customFormat="1" ht="14" x14ac:dyDescent="0.2">
      <c r="B2437" s="293"/>
      <c r="C2437" s="573" t="s">
        <v>473</v>
      </c>
      <c r="D2437" s="573"/>
      <c r="E2437" s="573"/>
      <c r="F2437" s="573"/>
      <c r="G2437" s="573"/>
      <c r="H2437" s="296"/>
      <c r="I2437" s="168" t="s">
        <v>211</v>
      </c>
      <c r="J2437" s="166" t="s">
        <v>211</v>
      </c>
      <c r="K2437" s="168" t="s">
        <v>211</v>
      </c>
      <c r="L2437" s="166" t="s">
        <v>211</v>
      </c>
      <c r="M2437" s="168" t="s">
        <v>211</v>
      </c>
      <c r="N2437" s="166" t="s">
        <v>211</v>
      </c>
      <c r="O2437" s="168" t="s">
        <v>211</v>
      </c>
    </row>
    <row r="2438" spans="2:15" s="453" customFormat="1" ht="14" x14ac:dyDescent="0.2">
      <c r="B2438" s="293"/>
      <c r="F2438" s="586" t="s">
        <v>1190</v>
      </c>
      <c r="G2438" s="586"/>
      <c r="H2438" s="587"/>
      <c r="I2438" s="169"/>
      <c r="J2438" s="167"/>
      <c r="K2438" s="169"/>
      <c r="L2438" s="167"/>
      <c r="M2438" s="169"/>
      <c r="N2438" s="167"/>
      <c r="O2438" s="169"/>
    </row>
    <row r="2439" spans="2:15" s="453" customFormat="1" ht="14" x14ac:dyDescent="0.2">
      <c r="B2439" s="302"/>
      <c r="C2439" s="303"/>
      <c r="D2439" s="303"/>
      <c r="E2439" s="303"/>
      <c r="F2439" s="797" t="s">
        <v>474</v>
      </c>
      <c r="G2439" s="797"/>
      <c r="H2439" s="798"/>
      <c r="I2439" s="169"/>
      <c r="J2439" s="167"/>
      <c r="K2439" s="169"/>
      <c r="L2439" s="167"/>
      <c r="M2439" s="169"/>
      <c r="N2439" s="167"/>
      <c r="O2439" s="169"/>
    </row>
    <row r="2440" spans="2:15" s="453" customFormat="1" ht="14" x14ac:dyDescent="0.2">
      <c r="B2440" s="291">
        <v>18</v>
      </c>
      <c r="C2440" s="602" t="s">
        <v>1191</v>
      </c>
      <c r="D2440" s="602"/>
      <c r="E2440" s="602"/>
      <c r="F2440" s="602"/>
      <c r="G2440" s="602"/>
      <c r="H2440" s="292"/>
      <c r="I2440" s="168" t="s">
        <v>211</v>
      </c>
      <c r="J2440" s="166" t="s">
        <v>211</v>
      </c>
      <c r="K2440" s="168" t="s">
        <v>211</v>
      </c>
      <c r="L2440" s="166" t="s">
        <v>211</v>
      </c>
      <c r="M2440" s="168" t="s">
        <v>211</v>
      </c>
      <c r="N2440" s="166" t="s">
        <v>211</v>
      </c>
      <c r="O2440" s="168" t="s">
        <v>211</v>
      </c>
    </row>
    <row r="2441" spans="2:15" s="453" customFormat="1" ht="14" x14ac:dyDescent="0.2">
      <c r="B2441" s="293"/>
      <c r="C2441" s="572"/>
      <c r="D2441" s="572"/>
      <c r="E2441" s="572"/>
      <c r="F2441" s="572"/>
      <c r="G2441" s="572"/>
      <c r="H2441" s="294"/>
      <c r="I2441" s="169"/>
      <c r="J2441" s="167"/>
      <c r="K2441" s="169"/>
      <c r="L2441" s="167"/>
      <c r="M2441" s="169"/>
      <c r="N2441" s="167"/>
      <c r="O2441" s="169"/>
    </row>
    <row r="2442" spans="2:15" s="453" customFormat="1" ht="14" x14ac:dyDescent="0.2">
      <c r="B2442" s="293"/>
      <c r="C2442" s="572"/>
      <c r="D2442" s="572"/>
      <c r="E2442" s="572"/>
      <c r="F2442" s="572"/>
      <c r="G2442" s="572"/>
      <c r="H2442" s="294"/>
      <c r="I2442" s="169"/>
      <c r="J2442" s="167"/>
      <c r="K2442" s="169"/>
      <c r="L2442" s="167"/>
      <c r="M2442" s="169"/>
      <c r="N2442" s="167"/>
      <c r="O2442" s="169"/>
    </row>
    <row r="2443" spans="2:15" s="453" customFormat="1" ht="14" x14ac:dyDescent="0.2">
      <c r="B2443" s="293"/>
      <c r="C2443" s="572" t="s">
        <v>1192</v>
      </c>
      <c r="D2443" s="572"/>
      <c r="E2443" s="572"/>
      <c r="F2443" s="572"/>
      <c r="G2443" s="572"/>
      <c r="H2443" s="296"/>
      <c r="I2443" s="168" t="s">
        <v>211</v>
      </c>
      <c r="J2443" s="166" t="s">
        <v>211</v>
      </c>
      <c r="K2443" s="168" t="s">
        <v>211</v>
      </c>
      <c r="L2443" s="166" t="s">
        <v>211</v>
      </c>
      <c r="M2443" s="168" t="s">
        <v>211</v>
      </c>
      <c r="N2443" s="166" t="s">
        <v>211</v>
      </c>
      <c r="O2443" s="168" t="s">
        <v>211</v>
      </c>
    </row>
    <row r="2444" spans="2:15" s="453" customFormat="1" ht="14" x14ac:dyDescent="0.2">
      <c r="B2444" s="293"/>
      <c r="C2444" s="572"/>
      <c r="D2444" s="572"/>
      <c r="E2444" s="572"/>
      <c r="F2444" s="572"/>
      <c r="G2444" s="572"/>
      <c r="H2444" s="294"/>
      <c r="I2444" s="169"/>
      <c r="J2444" s="167"/>
      <c r="K2444" s="169"/>
      <c r="L2444" s="167"/>
      <c r="M2444" s="169"/>
      <c r="N2444" s="167"/>
      <c r="O2444" s="169"/>
    </row>
    <row r="2445" spans="2:15" s="453" customFormat="1" ht="14" x14ac:dyDescent="0.2">
      <c r="B2445" s="293"/>
      <c r="C2445" s="573" t="s">
        <v>1126</v>
      </c>
      <c r="D2445" s="573"/>
      <c r="E2445" s="573"/>
      <c r="F2445" s="573"/>
      <c r="G2445" s="573"/>
      <c r="H2445" s="296"/>
      <c r="I2445" s="168" t="s">
        <v>211</v>
      </c>
      <c r="J2445" s="166" t="s">
        <v>211</v>
      </c>
      <c r="K2445" s="168" t="s">
        <v>211</v>
      </c>
      <c r="L2445" s="166" t="s">
        <v>211</v>
      </c>
      <c r="M2445" s="168" t="s">
        <v>211</v>
      </c>
      <c r="N2445" s="166" t="s">
        <v>211</v>
      </c>
      <c r="O2445" s="168" t="s">
        <v>211</v>
      </c>
    </row>
    <row r="2446" spans="2:15" s="453" customFormat="1" ht="14" x14ac:dyDescent="0.2">
      <c r="B2446" s="293"/>
      <c r="F2446" s="586" t="s">
        <v>756</v>
      </c>
      <c r="G2446" s="586"/>
      <c r="H2446" s="587"/>
      <c r="I2446" s="169"/>
      <c r="J2446" s="167"/>
      <c r="K2446" s="169"/>
      <c r="L2446" s="167"/>
      <c r="M2446" s="169"/>
      <c r="N2446" s="167"/>
      <c r="O2446" s="169"/>
    </row>
    <row r="2447" spans="2:15" s="453" customFormat="1" ht="14" x14ac:dyDescent="0.2">
      <c r="B2447" s="302"/>
      <c r="C2447" s="303"/>
      <c r="D2447" s="303"/>
      <c r="E2447" s="303"/>
      <c r="F2447" s="797" t="s">
        <v>504</v>
      </c>
      <c r="G2447" s="797"/>
      <c r="H2447" s="798"/>
      <c r="I2447" s="169"/>
      <c r="J2447" s="167"/>
      <c r="K2447" s="169"/>
      <c r="L2447" s="167"/>
      <c r="M2447" s="169"/>
      <c r="N2447" s="167"/>
      <c r="O2447" s="169"/>
    </row>
    <row r="2448" spans="2:15" s="453" customFormat="1" ht="14" x14ac:dyDescent="0.2">
      <c r="B2448" s="291">
        <v>19</v>
      </c>
      <c r="C2448" s="602" t="s">
        <v>1193</v>
      </c>
      <c r="D2448" s="602"/>
      <c r="E2448" s="602"/>
      <c r="F2448" s="602"/>
      <c r="G2448" s="602"/>
      <c r="H2448" s="292"/>
      <c r="I2448" s="168" t="s">
        <v>211</v>
      </c>
      <c r="J2448" s="166" t="s">
        <v>211</v>
      </c>
      <c r="K2448" s="168" t="s">
        <v>211</v>
      </c>
      <c r="L2448" s="166" t="s">
        <v>211</v>
      </c>
      <c r="M2448" s="168" t="s">
        <v>211</v>
      </c>
      <c r="N2448" s="166" t="s">
        <v>211</v>
      </c>
      <c r="O2448" s="168" t="s">
        <v>211</v>
      </c>
    </row>
    <row r="2449" spans="2:15" s="453" customFormat="1" ht="14" x14ac:dyDescent="0.2">
      <c r="B2449" s="293"/>
      <c r="C2449" s="572"/>
      <c r="D2449" s="572"/>
      <c r="E2449" s="572"/>
      <c r="F2449" s="572"/>
      <c r="G2449" s="572"/>
      <c r="H2449" s="294"/>
      <c r="I2449" s="169"/>
      <c r="J2449" s="167"/>
      <c r="K2449" s="169"/>
      <c r="L2449" s="167"/>
      <c r="M2449" s="169"/>
      <c r="N2449" s="167"/>
      <c r="O2449" s="169"/>
    </row>
    <row r="2450" spans="2:15" s="453" customFormat="1" ht="14" x14ac:dyDescent="0.2">
      <c r="B2450" s="293"/>
      <c r="C2450" s="785" t="s">
        <v>1194</v>
      </c>
      <c r="D2450" s="785"/>
      <c r="E2450" s="785"/>
      <c r="F2450" s="785"/>
      <c r="G2450" s="785"/>
      <c r="H2450" s="296"/>
      <c r="I2450" s="168" t="s">
        <v>211</v>
      </c>
      <c r="J2450" s="166" t="s">
        <v>211</v>
      </c>
      <c r="K2450" s="168" t="s">
        <v>211</v>
      </c>
      <c r="L2450" s="166" t="s">
        <v>211</v>
      </c>
      <c r="M2450" s="168" t="s">
        <v>211</v>
      </c>
      <c r="N2450" s="166" t="s">
        <v>211</v>
      </c>
      <c r="O2450" s="168" t="s">
        <v>211</v>
      </c>
    </row>
    <row r="2451" spans="2:15" s="453" customFormat="1" ht="14" x14ac:dyDescent="0.2">
      <c r="B2451" s="293"/>
      <c r="C2451" s="572" t="s">
        <v>1195</v>
      </c>
      <c r="D2451" s="572"/>
      <c r="E2451" s="572"/>
      <c r="F2451" s="572"/>
      <c r="G2451" s="572"/>
      <c r="H2451" s="296"/>
      <c r="I2451" s="168" t="s">
        <v>211</v>
      </c>
      <c r="J2451" s="166" t="s">
        <v>211</v>
      </c>
      <c r="K2451" s="168" t="s">
        <v>211</v>
      </c>
      <c r="L2451" s="166" t="s">
        <v>211</v>
      </c>
      <c r="M2451" s="168" t="s">
        <v>211</v>
      </c>
      <c r="N2451" s="166" t="s">
        <v>211</v>
      </c>
      <c r="O2451" s="168" t="s">
        <v>211</v>
      </c>
    </row>
    <row r="2452" spans="2:15" s="453" customFormat="1" ht="14" x14ac:dyDescent="0.2">
      <c r="B2452" s="293"/>
      <c r="C2452" s="572"/>
      <c r="D2452" s="572"/>
      <c r="E2452" s="572"/>
      <c r="F2452" s="572"/>
      <c r="G2452" s="572"/>
      <c r="H2452" s="294"/>
      <c r="I2452" s="169"/>
      <c r="J2452" s="167"/>
      <c r="K2452" s="169"/>
      <c r="L2452" s="167"/>
      <c r="M2452" s="169"/>
      <c r="N2452" s="167"/>
      <c r="O2452" s="169"/>
    </row>
    <row r="2453" spans="2:15" s="453" customFormat="1" ht="14" x14ac:dyDescent="0.2">
      <c r="B2453" s="293"/>
      <c r="C2453" s="572"/>
      <c r="D2453" s="572"/>
      <c r="E2453" s="572"/>
      <c r="F2453" s="572"/>
      <c r="G2453" s="572"/>
      <c r="H2453" s="294"/>
      <c r="I2453" s="169"/>
      <c r="J2453" s="167"/>
      <c r="K2453" s="169"/>
      <c r="L2453" s="167"/>
      <c r="M2453" s="169"/>
      <c r="N2453" s="167"/>
      <c r="O2453" s="169"/>
    </row>
    <row r="2454" spans="2:15" s="453" customFormat="1" ht="14" x14ac:dyDescent="0.2">
      <c r="B2454" s="293"/>
      <c r="C2454" s="573" t="s">
        <v>1196</v>
      </c>
      <c r="D2454" s="573"/>
      <c r="E2454" s="573"/>
      <c r="F2454" s="573"/>
      <c r="G2454" s="573"/>
      <c r="H2454" s="296"/>
      <c r="I2454" s="168" t="s">
        <v>211</v>
      </c>
      <c r="J2454" s="166" t="s">
        <v>211</v>
      </c>
      <c r="K2454" s="168" t="s">
        <v>211</v>
      </c>
      <c r="L2454" s="166" t="s">
        <v>211</v>
      </c>
      <c r="M2454" s="168" t="s">
        <v>211</v>
      </c>
      <c r="N2454" s="166" t="s">
        <v>211</v>
      </c>
      <c r="O2454" s="168" t="s">
        <v>211</v>
      </c>
    </row>
    <row r="2455" spans="2:15" s="453" customFormat="1" ht="14" x14ac:dyDescent="0.2">
      <c r="B2455" s="293"/>
      <c r="F2455" s="586" t="s">
        <v>642</v>
      </c>
      <c r="G2455" s="586"/>
      <c r="H2455" s="587"/>
      <c r="I2455" s="169"/>
      <c r="J2455" s="167"/>
      <c r="K2455" s="169"/>
      <c r="L2455" s="167"/>
      <c r="M2455" s="169"/>
      <c r="N2455" s="167"/>
      <c r="O2455" s="169"/>
    </row>
    <row r="2456" spans="2:15" s="453" customFormat="1" ht="14" x14ac:dyDescent="0.2">
      <c r="B2456" s="302"/>
      <c r="C2456" s="303"/>
      <c r="D2456" s="303"/>
      <c r="E2456" s="303"/>
      <c r="F2456" s="797" t="s">
        <v>1197</v>
      </c>
      <c r="G2456" s="797"/>
      <c r="H2456" s="798"/>
      <c r="I2456" s="169"/>
      <c r="J2456" s="167"/>
      <c r="K2456" s="169"/>
      <c r="L2456" s="167"/>
      <c r="M2456" s="169"/>
      <c r="N2456" s="167"/>
      <c r="O2456" s="169"/>
    </row>
    <row r="2457" spans="2:15" s="453" customFormat="1" ht="14" x14ac:dyDescent="0.2">
      <c r="B2457" s="291">
        <v>20</v>
      </c>
      <c r="C2457" s="602" t="s">
        <v>1198</v>
      </c>
      <c r="D2457" s="602"/>
      <c r="E2457" s="602"/>
      <c r="F2457" s="602"/>
      <c r="G2457" s="602"/>
      <c r="H2457" s="292"/>
      <c r="I2457" s="168" t="s">
        <v>211</v>
      </c>
      <c r="J2457" s="166" t="s">
        <v>211</v>
      </c>
      <c r="K2457" s="168" t="s">
        <v>211</v>
      </c>
      <c r="L2457" s="166" t="s">
        <v>211</v>
      </c>
      <c r="M2457" s="168" t="s">
        <v>211</v>
      </c>
      <c r="N2457" s="166" t="s">
        <v>211</v>
      </c>
      <c r="O2457" s="168" t="s">
        <v>211</v>
      </c>
    </row>
    <row r="2458" spans="2:15" s="453" customFormat="1" ht="14" x14ac:dyDescent="0.2">
      <c r="B2458" s="293"/>
      <c r="C2458" s="572"/>
      <c r="D2458" s="572"/>
      <c r="E2458" s="572"/>
      <c r="F2458" s="572"/>
      <c r="G2458" s="572"/>
      <c r="H2458" s="294"/>
      <c r="I2458" s="169"/>
      <c r="J2458" s="167"/>
      <c r="K2458" s="169"/>
      <c r="L2458" s="167"/>
      <c r="M2458" s="169"/>
      <c r="N2458" s="167"/>
      <c r="O2458" s="169"/>
    </row>
    <row r="2459" spans="2:15" s="453" customFormat="1" ht="14" x14ac:dyDescent="0.2">
      <c r="B2459" s="293"/>
      <c r="C2459" s="573" t="s">
        <v>1199</v>
      </c>
      <c r="D2459" s="573"/>
      <c r="E2459" s="573"/>
      <c r="F2459" s="573"/>
      <c r="G2459" s="573"/>
      <c r="H2459" s="296"/>
      <c r="I2459" s="168" t="s">
        <v>211</v>
      </c>
      <c r="J2459" s="166" t="s">
        <v>211</v>
      </c>
      <c r="K2459" s="168" t="s">
        <v>211</v>
      </c>
      <c r="L2459" s="166" t="s">
        <v>211</v>
      </c>
      <c r="M2459" s="168" t="s">
        <v>211</v>
      </c>
      <c r="N2459" s="166" t="s">
        <v>211</v>
      </c>
      <c r="O2459" s="168" t="s">
        <v>211</v>
      </c>
    </row>
    <row r="2460" spans="2:15" s="453" customFormat="1" ht="14" x14ac:dyDescent="0.2">
      <c r="B2460" s="293"/>
      <c r="C2460" s="804" t="s">
        <v>1200</v>
      </c>
      <c r="D2460" s="804"/>
      <c r="F2460" s="805" t="s">
        <v>1204</v>
      </c>
      <c r="G2460" s="805"/>
      <c r="H2460" s="294"/>
      <c r="I2460" s="169"/>
      <c r="J2460" s="167"/>
      <c r="K2460" s="169"/>
      <c r="L2460" s="167"/>
      <c r="M2460" s="169"/>
      <c r="N2460" s="167"/>
      <c r="O2460" s="169"/>
    </row>
    <row r="2461" spans="2:15" s="453" customFormat="1" ht="14" x14ac:dyDescent="0.2">
      <c r="B2461" s="293"/>
      <c r="C2461" s="591" t="s">
        <v>1201</v>
      </c>
      <c r="D2461" s="591"/>
      <c r="E2461" s="365"/>
      <c r="F2461" s="591" t="s">
        <v>1205</v>
      </c>
      <c r="G2461" s="591"/>
      <c r="H2461" s="294"/>
      <c r="I2461" s="169"/>
      <c r="J2461" s="167"/>
      <c r="K2461" s="169"/>
      <c r="L2461" s="167"/>
      <c r="M2461" s="169"/>
      <c r="N2461" s="167"/>
      <c r="O2461" s="169"/>
    </row>
    <row r="2462" spans="2:15" s="453" customFormat="1" ht="14" x14ac:dyDescent="0.2">
      <c r="B2462" s="293"/>
      <c r="C2462" s="591" t="s">
        <v>1202</v>
      </c>
      <c r="D2462" s="591"/>
      <c r="E2462" s="365"/>
      <c r="F2462" s="591" t="s">
        <v>1206</v>
      </c>
      <c r="G2462" s="591"/>
      <c r="H2462" s="294"/>
      <c r="I2462" s="169"/>
      <c r="J2462" s="167"/>
      <c r="K2462" s="169"/>
      <c r="L2462" s="167"/>
      <c r="M2462" s="169"/>
      <c r="N2462" s="167"/>
      <c r="O2462" s="169"/>
    </row>
    <row r="2463" spans="2:15" s="453" customFormat="1" ht="14" x14ac:dyDescent="0.2">
      <c r="B2463" s="293"/>
      <c r="C2463" s="591" t="s">
        <v>1203</v>
      </c>
      <c r="D2463" s="591"/>
      <c r="E2463" s="365"/>
      <c r="F2463" s="591" t="s">
        <v>1207</v>
      </c>
      <c r="G2463" s="591"/>
      <c r="H2463" s="294"/>
      <c r="I2463" s="169"/>
      <c r="J2463" s="167"/>
      <c r="K2463" s="169"/>
      <c r="L2463" s="167"/>
      <c r="M2463" s="169"/>
      <c r="N2463" s="167"/>
      <c r="O2463" s="169"/>
    </row>
    <row r="2464" spans="2:15" s="453" customFormat="1" ht="14" x14ac:dyDescent="0.2">
      <c r="B2464" s="293"/>
      <c r="C2464" s="365"/>
      <c r="D2464" s="365"/>
      <c r="E2464" s="365"/>
      <c r="F2464" s="591" t="s">
        <v>1208</v>
      </c>
      <c r="G2464" s="591"/>
      <c r="H2464" s="294"/>
      <c r="I2464" s="169"/>
      <c r="J2464" s="167"/>
      <c r="K2464" s="169"/>
      <c r="L2464" s="167"/>
      <c r="M2464" s="169"/>
      <c r="N2464" s="167"/>
      <c r="O2464" s="169"/>
    </row>
    <row r="2465" spans="2:15" s="453" customFormat="1" ht="14" x14ac:dyDescent="0.2">
      <c r="B2465" s="302"/>
      <c r="C2465" s="803" t="s">
        <v>1209</v>
      </c>
      <c r="D2465" s="803"/>
      <c r="E2465" s="303"/>
      <c r="F2465" s="802" t="s">
        <v>1210</v>
      </c>
      <c r="G2465" s="802"/>
      <c r="H2465" s="298"/>
      <c r="I2465" s="169"/>
      <c r="J2465" s="167"/>
      <c r="K2465" s="169"/>
      <c r="L2465" s="167"/>
      <c r="M2465" s="169"/>
      <c r="N2465" s="167"/>
      <c r="O2465" s="169"/>
    </row>
    <row r="2466" spans="2:15" s="453" customFormat="1" ht="14" x14ac:dyDescent="0.2">
      <c r="B2466" s="291">
        <v>21</v>
      </c>
      <c r="C2466" s="602" t="s">
        <v>1211</v>
      </c>
      <c r="D2466" s="602"/>
      <c r="E2466" s="602"/>
      <c r="F2466" s="602"/>
      <c r="G2466" s="602"/>
      <c r="H2466" s="292"/>
      <c r="I2466" s="168" t="s">
        <v>211</v>
      </c>
      <c r="J2466" s="166" t="s">
        <v>211</v>
      </c>
      <c r="K2466" s="168" t="s">
        <v>211</v>
      </c>
      <c r="L2466" s="166" t="s">
        <v>211</v>
      </c>
      <c r="M2466" s="168" t="s">
        <v>211</v>
      </c>
      <c r="N2466" s="166" t="s">
        <v>211</v>
      </c>
      <c r="O2466" s="168" t="s">
        <v>211</v>
      </c>
    </row>
    <row r="2467" spans="2:15" s="453" customFormat="1" ht="14" x14ac:dyDescent="0.2">
      <c r="B2467" s="293"/>
      <c r="C2467" s="572"/>
      <c r="D2467" s="572"/>
      <c r="E2467" s="572"/>
      <c r="F2467" s="572"/>
      <c r="G2467" s="572"/>
      <c r="H2467" s="294"/>
      <c r="I2467" s="169"/>
      <c r="J2467" s="167"/>
      <c r="K2467" s="169"/>
      <c r="L2467" s="167"/>
      <c r="M2467" s="169"/>
      <c r="N2467" s="167"/>
      <c r="O2467" s="169"/>
    </row>
    <row r="2468" spans="2:15" s="453" customFormat="1" ht="14" x14ac:dyDescent="0.2">
      <c r="B2468" s="293"/>
      <c r="C2468" s="572" t="s">
        <v>1212</v>
      </c>
      <c r="D2468" s="572"/>
      <c r="E2468" s="572"/>
      <c r="F2468" s="572"/>
      <c r="G2468" s="572"/>
      <c r="H2468" s="296"/>
      <c r="I2468" s="168" t="s">
        <v>211</v>
      </c>
      <c r="J2468" s="166" t="s">
        <v>211</v>
      </c>
      <c r="K2468" s="168" t="s">
        <v>211</v>
      </c>
      <c r="L2468" s="166" t="s">
        <v>211</v>
      </c>
      <c r="M2468" s="168" t="s">
        <v>211</v>
      </c>
      <c r="N2468" s="166" t="s">
        <v>211</v>
      </c>
      <c r="O2468" s="168" t="s">
        <v>211</v>
      </c>
    </row>
    <row r="2469" spans="2:15" s="453" customFormat="1" ht="14" x14ac:dyDescent="0.2">
      <c r="B2469" s="293"/>
      <c r="C2469" s="572"/>
      <c r="D2469" s="572"/>
      <c r="E2469" s="572"/>
      <c r="F2469" s="572"/>
      <c r="G2469" s="572"/>
      <c r="H2469" s="294"/>
      <c r="I2469" s="169"/>
      <c r="J2469" s="167"/>
      <c r="K2469" s="169"/>
      <c r="L2469" s="167"/>
      <c r="M2469" s="169"/>
      <c r="N2469" s="167"/>
      <c r="O2469" s="169"/>
    </row>
    <row r="2470" spans="2:15" s="453" customFormat="1" ht="14" x14ac:dyDescent="0.2">
      <c r="B2470" s="293"/>
      <c r="C2470" s="573" t="s">
        <v>473</v>
      </c>
      <c r="D2470" s="573"/>
      <c r="E2470" s="573"/>
      <c r="F2470" s="573"/>
      <c r="G2470" s="573"/>
      <c r="H2470" s="296"/>
      <c r="I2470" s="168" t="s">
        <v>211</v>
      </c>
      <c r="J2470" s="166" t="s">
        <v>211</v>
      </c>
      <c r="K2470" s="168" t="s">
        <v>211</v>
      </c>
      <c r="L2470" s="166" t="s">
        <v>211</v>
      </c>
      <c r="M2470" s="168" t="s">
        <v>211</v>
      </c>
      <c r="N2470" s="166" t="s">
        <v>211</v>
      </c>
      <c r="O2470" s="168" t="s">
        <v>211</v>
      </c>
    </row>
    <row r="2471" spans="2:15" s="453" customFormat="1" ht="14" x14ac:dyDescent="0.2">
      <c r="B2471" s="293"/>
      <c r="F2471" s="586" t="s">
        <v>1213</v>
      </c>
      <c r="G2471" s="586"/>
      <c r="H2471" s="587"/>
      <c r="I2471" s="169"/>
      <c r="J2471" s="167"/>
      <c r="K2471" s="169"/>
      <c r="L2471" s="167"/>
      <c r="M2471" s="169"/>
      <c r="N2471" s="167"/>
      <c r="O2471" s="169"/>
    </row>
    <row r="2472" spans="2:15" s="453" customFormat="1" ht="14" x14ac:dyDescent="0.2">
      <c r="B2472" s="302"/>
      <c r="C2472" s="303"/>
      <c r="D2472" s="303"/>
      <c r="E2472" s="303"/>
      <c r="F2472" s="797" t="s">
        <v>474</v>
      </c>
      <c r="G2472" s="797"/>
      <c r="H2472" s="798"/>
      <c r="I2472" s="169"/>
      <c r="J2472" s="167"/>
      <c r="K2472" s="169"/>
      <c r="L2472" s="167"/>
      <c r="M2472" s="169"/>
      <c r="N2472" s="167"/>
      <c r="O2472" s="169"/>
    </row>
    <row r="2473" spans="2:15" s="453" customFormat="1" ht="14" x14ac:dyDescent="0.2">
      <c r="B2473" s="291">
        <v>22</v>
      </c>
      <c r="C2473" s="598" t="s">
        <v>1214</v>
      </c>
      <c r="D2473" s="598"/>
      <c r="E2473" s="598"/>
      <c r="F2473" s="598"/>
      <c r="G2473" s="598"/>
      <c r="H2473" s="292"/>
      <c r="I2473" s="168" t="s">
        <v>211</v>
      </c>
      <c r="J2473" s="166" t="s">
        <v>211</v>
      </c>
      <c r="K2473" s="168" t="s">
        <v>211</v>
      </c>
      <c r="L2473" s="166" t="s">
        <v>211</v>
      </c>
      <c r="M2473" s="168" t="s">
        <v>211</v>
      </c>
      <c r="N2473" s="166" t="s">
        <v>211</v>
      </c>
      <c r="O2473" s="168" t="s">
        <v>211</v>
      </c>
    </row>
    <row r="2474" spans="2:15" s="453" customFormat="1" ht="14" x14ac:dyDescent="0.2">
      <c r="B2474" s="293"/>
      <c r="C2474" s="785" t="s">
        <v>634</v>
      </c>
      <c r="D2474" s="785"/>
      <c r="E2474" s="785"/>
      <c r="F2474" s="785"/>
      <c r="G2474" s="785"/>
      <c r="H2474" s="296"/>
      <c r="I2474" s="168" t="s">
        <v>211</v>
      </c>
      <c r="J2474" s="166" t="s">
        <v>211</v>
      </c>
      <c r="K2474" s="168" t="s">
        <v>211</v>
      </c>
      <c r="L2474" s="166" t="s">
        <v>211</v>
      </c>
      <c r="M2474" s="168" t="s">
        <v>211</v>
      </c>
      <c r="N2474" s="166" t="s">
        <v>211</v>
      </c>
      <c r="O2474" s="168" t="s">
        <v>211</v>
      </c>
    </row>
    <row r="2475" spans="2:15" s="453" customFormat="1" ht="14" x14ac:dyDescent="0.2">
      <c r="B2475" s="293"/>
      <c r="C2475" s="595" t="s">
        <v>1215</v>
      </c>
      <c r="D2475" s="595"/>
      <c r="E2475" s="595"/>
      <c r="F2475" s="595"/>
      <c r="G2475" s="595"/>
      <c r="H2475" s="296"/>
      <c r="I2475" s="168" t="s">
        <v>211</v>
      </c>
      <c r="J2475" s="166" t="s">
        <v>211</v>
      </c>
      <c r="K2475" s="168" t="s">
        <v>211</v>
      </c>
      <c r="L2475" s="166" t="s">
        <v>211</v>
      </c>
      <c r="M2475" s="168" t="s">
        <v>211</v>
      </c>
      <c r="N2475" s="166" t="s">
        <v>211</v>
      </c>
      <c r="O2475" s="168" t="s">
        <v>211</v>
      </c>
    </row>
    <row r="2476" spans="2:15" s="453" customFormat="1" ht="14" x14ac:dyDescent="0.2">
      <c r="B2476" s="293"/>
      <c r="C2476" s="595"/>
      <c r="D2476" s="595"/>
      <c r="E2476" s="595"/>
      <c r="F2476" s="595"/>
      <c r="G2476" s="595"/>
      <c r="H2476" s="294"/>
      <c r="I2476" s="169"/>
      <c r="J2476" s="167"/>
      <c r="K2476" s="169"/>
      <c r="L2476" s="167"/>
      <c r="M2476" s="169"/>
      <c r="N2476" s="167"/>
      <c r="O2476" s="169"/>
    </row>
    <row r="2477" spans="2:15" s="453" customFormat="1" ht="14" x14ac:dyDescent="0.2">
      <c r="B2477" s="293"/>
      <c r="C2477" s="785" t="s">
        <v>1216</v>
      </c>
      <c r="D2477" s="785"/>
      <c r="E2477" s="785"/>
      <c r="F2477" s="785"/>
      <c r="G2477" s="785"/>
      <c r="H2477" s="296"/>
      <c r="I2477" s="168" t="s">
        <v>211</v>
      </c>
      <c r="J2477" s="166" t="s">
        <v>211</v>
      </c>
      <c r="K2477" s="168" t="s">
        <v>211</v>
      </c>
      <c r="L2477" s="166" t="s">
        <v>211</v>
      </c>
      <c r="M2477" s="168" t="s">
        <v>211</v>
      </c>
      <c r="N2477" s="166" t="s">
        <v>211</v>
      </c>
      <c r="O2477" s="168" t="s">
        <v>211</v>
      </c>
    </row>
    <row r="2478" spans="2:15" s="453" customFormat="1" ht="14" x14ac:dyDescent="0.2">
      <c r="B2478" s="293"/>
      <c r="C2478" s="785"/>
      <c r="D2478" s="785"/>
      <c r="E2478" s="785"/>
      <c r="F2478" s="785"/>
      <c r="G2478" s="785"/>
      <c r="H2478" s="294"/>
      <c r="I2478" s="169"/>
      <c r="J2478" s="167"/>
      <c r="K2478" s="169"/>
      <c r="L2478" s="167"/>
      <c r="M2478" s="169"/>
      <c r="N2478" s="167"/>
      <c r="O2478" s="169"/>
    </row>
    <row r="2479" spans="2:15" s="453" customFormat="1" ht="14" x14ac:dyDescent="0.2">
      <c r="B2479" s="293"/>
      <c r="C2479" s="573" t="s">
        <v>760</v>
      </c>
      <c r="D2479" s="573"/>
      <c r="E2479" s="573"/>
      <c r="F2479" s="573"/>
      <c r="G2479" s="573"/>
      <c r="H2479" s="296"/>
      <c r="I2479" s="168" t="s">
        <v>211</v>
      </c>
      <c r="J2479" s="166" t="s">
        <v>211</v>
      </c>
      <c r="K2479" s="168" t="s">
        <v>211</v>
      </c>
      <c r="L2479" s="166" t="s">
        <v>211</v>
      </c>
      <c r="M2479" s="168" t="s">
        <v>211</v>
      </c>
      <c r="N2479" s="166" t="s">
        <v>211</v>
      </c>
      <c r="O2479" s="168" t="s">
        <v>211</v>
      </c>
    </row>
    <row r="2480" spans="2:15" s="453" customFormat="1" ht="14" x14ac:dyDescent="0.2">
      <c r="B2480" s="293"/>
      <c r="F2480" s="586" t="s">
        <v>1217</v>
      </c>
      <c r="G2480" s="586"/>
      <c r="H2480" s="587"/>
      <c r="I2480" s="169"/>
      <c r="J2480" s="167"/>
      <c r="K2480" s="169"/>
      <c r="L2480" s="167"/>
      <c r="M2480" s="169"/>
      <c r="N2480" s="167"/>
      <c r="O2480" s="169"/>
    </row>
    <row r="2481" spans="2:15" s="453" customFormat="1" ht="14" x14ac:dyDescent="0.2">
      <c r="B2481" s="302"/>
      <c r="C2481" s="303"/>
      <c r="D2481" s="303"/>
      <c r="E2481" s="303"/>
      <c r="F2481" s="797" t="s">
        <v>474</v>
      </c>
      <c r="G2481" s="797"/>
      <c r="H2481" s="798"/>
      <c r="I2481" s="169"/>
      <c r="J2481" s="167"/>
      <c r="K2481" s="169"/>
      <c r="L2481" s="167"/>
      <c r="M2481" s="169"/>
      <c r="N2481" s="167"/>
      <c r="O2481" s="169"/>
    </row>
    <row r="2482" spans="2:15" s="453" customFormat="1" ht="14" x14ac:dyDescent="0.2">
      <c r="B2482" s="291">
        <v>23</v>
      </c>
      <c r="C2482" s="602" t="s">
        <v>1218</v>
      </c>
      <c r="D2482" s="602"/>
      <c r="E2482" s="602"/>
      <c r="F2482" s="602"/>
      <c r="G2482" s="602"/>
      <c r="H2482" s="292"/>
      <c r="I2482" s="168" t="s">
        <v>211</v>
      </c>
      <c r="J2482" s="166" t="s">
        <v>211</v>
      </c>
      <c r="K2482" s="168" t="s">
        <v>211</v>
      </c>
      <c r="L2482" s="166" t="s">
        <v>211</v>
      </c>
      <c r="M2482" s="168" t="s">
        <v>211</v>
      </c>
      <c r="N2482" s="166" t="s">
        <v>211</v>
      </c>
      <c r="O2482" s="168" t="s">
        <v>211</v>
      </c>
    </row>
    <row r="2483" spans="2:15" s="453" customFormat="1" ht="14" x14ac:dyDescent="0.2">
      <c r="B2483" s="293"/>
      <c r="C2483" s="572"/>
      <c r="D2483" s="572"/>
      <c r="E2483" s="572"/>
      <c r="F2483" s="572"/>
      <c r="G2483" s="572"/>
      <c r="H2483" s="294"/>
      <c r="I2483" s="169"/>
      <c r="J2483" s="167"/>
      <c r="K2483" s="169"/>
      <c r="L2483" s="167"/>
      <c r="M2483" s="169"/>
      <c r="N2483" s="167"/>
      <c r="O2483" s="169"/>
    </row>
    <row r="2484" spans="2:15" s="453" customFormat="1" ht="14" x14ac:dyDescent="0.2">
      <c r="B2484" s="293"/>
      <c r="C2484" s="572" t="s">
        <v>1219</v>
      </c>
      <c r="D2484" s="572"/>
      <c r="E2484" s="572"/>
      <c r="F2484" s="572"/>
      <c r="G2484" s="572"/>
      <c r="H2484" s="296"/>
      <c r="I2484" s="168" t="s">
        <v>211</v>
      </c>
      <c r="J2484" s="166" t="s">
        <v>211</v>
      </c>
      <c r="K2484" s="168" t="s">
        <v>211</v>
      </c>
      <c r="L2484" s="166" t="s">
        <v>211</v>
      </c>
      <c r="M2484" s="168" t="s">
        <v>211</v>
      </c>
      <c r="N2484" s="166" t="s">
        <v>211</v>
      </c>
      <c r="O2484" s="168" t="s">
        <v>211</v>
      </c>
    </row>
    <row r="2485" spans="2:15" s="453" customFormat="1" ht="14" x14ac:dyDescent="0.2">
      <c r="B2485" s="293"/>
      <c r="C2485" s="572"/>
      <c r="D2485" s="572"/>
      <c r="E2485" s="572"/>
      <c r="F2485" s="572"/>
      <c r="G2485" s="572"/>
      <c r="H2485" s="294"/>
      <c r="I2485" s="169"/>
      <c r="J2485" s="167"/>
      <c r="K2485" s="169"/>
      <c r="L2485" s="167"/>
      <c r="M2485" s="169"/>
      <c r="N2485" s="167"/>
      <c r="O2485" s="169"/>
    </row>
    <row r="2486" spans="2:15" s="453" customFormat="1" ht="14" x14ac:dyDescent="0.2">
      <c r="B2486" s="293"/>
      <c r="C2486" s="572"/>
      <c r="D2486" s="572"/>
      <c r="E2486" s="572"/>
      <c r="F2486" s="572"/>
      <c r="G2486" s="572"/>
      <c r="H2486" s="294"/>
      <c r="I2486" s="169"/>
      <c r="J2486" s="167"/>
      <c r="K2486" s="169"/>
      <c r="L2486" s="167"/>
      <c r="M2486" s="169"/>
      <c r="N2486" s="167"/>
      <c r="O2486" s="169"/>
    </row>
    <row r="2487" spans="2:15" s="453" customFormat="1" ht="14" x14ac:dyDescent="0.2">
      <c r="B2487" s="293"/>
      <c r="C2487" s="572"/>
      <c r="D2487" s="572"/>
      <c r="E2487" s="572"/>
      <c r="F2487" s="572"/>
      <c r="G2487" s="572"/>
      <c r="H2487" s="294"/>
      <c r="I2487" s="169"/>
      <c r="J2487" s="167"/>
      <c r="K2487" s="169"/>
      <c r="L2487" s="167"/>
      <c r="M2487" s="169"/>
      <c r="N2487" s="167"/>
      <c r="O2487" s="169"/>
    </row>
    <row r="2488" spans="2:15" s="453" customFormat="1" ht="14" x14ac:dyDescent="0.2">
      <c r="B2488" s="293"/>
      <c r="C2488" s="572" t="s">
        <v>1220</v>
      </c>
      <c r="D2488" s="572"/>
      <c r="E2488" s="572"/>
      <c r="F2488" s="572"/>
      <c r="G2488" s="572"/>
      <c r="H2488" s="296"/>
      <c r="I2488" s="168" t="s">
        <v>211</v>
      </c>
      <c r="J2488" s="166" t="s">
        <v>211</v>
      </c>
      <c r="K2488" s="168" t="s">
        <v>211</v>
      </c>
      <c r="L2488" s="166" t="s">
        <v>211</v>
      </c>
      <c r="M2488" s="168" t="s">
        <v>211</v>
      </c>
      <c r="N2488" s="166" t="s">
        <v>211</v>
      </c>
      <c r="O2488" s="168" t="s">
        <v>211</v>
      </c>
    </row>
    <row r="2489" spans="2:15" s="453" customFormat="1" ht="14" x14ac:dyDescent="0.2">
      <c r="B2489" s="293"/>
      <c r="C2489" s="572"/>
      <c r="D2489" s="572"/>
      <c r="E2489" s="572"/>
      <c r="F2489" s="572"/>
      <c r="G2489" s="572"/>
      <c r="H2489" s="294"/>
      <c r="I2489" s="169"/>
      <c r="J2489" s="167"/>
      <c r="K2489" s="169"/>
      <c r="L2489" s="167"/>
      <c r="M2489" s="169"/>
      <c r="N2489" s="167"/>
      <c r="O2489" s="169"/>
    </row>
    <row r="2490" spans="2:15" s="453" customFormat="1" ht="14" x14ac:dyDescent="0.2">
      <c r="B2490" s="293"/>
      <c r="C2490" s="453" t="s">
        <v>1221</v>
      </c>
      <c r="H2490" s="296"/>
      <c r="I2490" s="168" t="s">
        <v>211</v>
      </c>
      <c r="J2490" s="166" t="s">
        <v>211</v>
      </c>
      <c r="K2490" s="168" t="s">
        <v>211</v>
      </c>
      <c r="L2490" s="166" t="s">
        <v>211</v>
      </c>
      <c r="M2490" s="168" t="s">
        <v>211</v>
      </c>
      <c r="N2490" s="166" t="s">
        <v>211</v>
      </c>
      <c r="O2490" s="168" t="s">
        <v>211</v>
      </c>
    </row>
    <row r="2491" spans="2:15" s="453" customFormat="1" ht="14" x14ac:dyDescent="0.2">
      <c r="B2491" s="293"/>
      <c r="F2491" s="593" t="s">
        <v>1128</v>
      </c>
      <c r="G2491" s="593"/>
      <c r="H2491" s="768"/>
      <c r="I2491" s="169"/>
      <c r="J2491" s="167"/>
      <c r="K2491" s="169"/>
      <c r="L2491" s="167"/>
      <c r="M2491" s="169"/>
      <c r="N2491" s="167"/>
      <c r="O2491" s="169"/>
    </row>
    <row r="2492" spans="2:15" s="453" customFormat="1" ht="14" x14ac:dyDescent="0.2">
      <c r="B2492" s="302"/>
      <c r="C2492" s="303"/>
      <c r="D2492" s="303"/>
      <c r="E2492" s="303"/>
      <c r="F2492" s="580" t="s">
        <v>1222</v>
      </c>
      <c r="G2492" s="580"/>
      <c r="H2492" s="585"/>
      <c r="I2492" s="169"/>
      <c r="J2492" s="167"/>
      <c r="K2492" s="169"/>
      <c r="L2492" s="167"/>
      <c r="M2492" s="169"/>
      <c r="N2492" s="167"/>
      <c r="O2492" s="169"/>
    </row>
    <row r="2493" spans="2:15" s="453" customFormat="1" ht="14" x14ac:dyDescent="0.2">
      <c r="B2493" s="291">
        <v>24</v>
      </c>
      <c r="C2493" s="602" t="s">
        <v>1223</v>
      </c>
      <c r="D2493" s="602"/>
      <c r="E2493" s="602"/>
      <c r="F2493" s="602"/>
      <c r="G2493" s="602"/>
      <c r="H2493" s="292"/>
      <c r="I2493" s="168" t="s">
        <v>211</v>
      </c>
      <c r="J2493" s="166" t="s">
        <v>211</v>
      </c>
      <c r="K2493" s="168" t="s">
        <v>211</v>
      </c>
      <c r="L2493" s="166" t="s">
        <v>211</v>
      </c>
      <c r="M2493" s="168" t="s">
        <v>211</v>
      </c>
      <c r="N2493" s="166" t="s">
        <v>211</v>
      </c>
      <c r="O2493" s="168" t="s">
        <v>211</v>
      </c>
    </row>
    <row r="2494" spans="2:15" s="453" customFormat="1" ht="14" x14ac:dyDescent="0.2">
      <c r="B2494" s="293"/>
      <c r="C2494" s="572"/>
      <c r="D2494" s="572"/>
      <c r="E2494" s="572"/>
      <c r="F2494" s="572"/>
      <c r="G2494" s="572"/>
      <c r="H2494" s="294"/>
      <c r="I2494" s="169"/>
      <c r="J2494" s="167"/>
      <c r="K2494" s="169"/>
      <c r="L2494" s="167"/>
      <c r="M2494" s="169"/>
      <c r="N2494" s="167"/>
      <c r="O2494" s="169"/>
    </row>
    <row r="2495" spans="2:15" s="453" customFormat="1" ht="14" x14ac:dyDescent="0.2">
      <c r="B2495" s="293"/>
      <c r="C2495" s="572"/>
      <c r="D2495" s="572"/>
      <c r="E2495" s="572"/>
      <c r="F2495" s="572"/>
      <c r="G2495" s="572"/>
      <c r="H2495" s="294"/>
      <c r="I2495" s="169"/>
      <c r="J2495" s="167"/>
      <c r="K2495" s="169"/>
      <c r="L2495" s="167"/>
      <c r="M2495" s="169"/>
      <c r="N2495" s="167"/>
      <c r="O2495" s="169"/>
    </row>
    <row r="2496" spans="2:15" s="453" customFormat="1" ht="14" x14ac:dyDescent="0.2">
      <c r="B2496" s="293"/>
      <c r="C2496" s="573" t="s">
        <v>1224</v>
      </c>
      <c r="D2496" s="573"/>
      <c r="E2496" s="573"/>
      <c r="F2496" s="573"/>
      <c r="G2496" s="573"/>
      <c r="H2496" s="296"/>
      <c r="I2496" s="168" t="s">
        <v>211</v>
      </c>
      <c r="J2496" s="166" t="s">
        <v>211</v>
      </c>
      <c r="K2496" s="168" t="s">
        <v>211</v>
      </c>
      <c r="L2496" s="166" t="s">
        <v>211</v>
      </c>
      <c r="M2496" s="168" t="s">
        <v>211</v>
      </c>
      <c r="N2496" s="166" t="s">
        <v>211</v>
      </c>
      <c r="O2496" s="168" t="s">
        <v>211</v>
      </c>
    </row>
    <row r="2497" spans="2:15" s="453" customFormat="1" ht="14" x14ac:dyDescent="0.2">
      <c r="B2497" s="293"/>
      <c r="C2497" s="573" t="s">
        <v>1225</v>
      </c>
      <c r="D2497" s="573"/>
      <c r="E2497" s="573"/>
      <c r="F2497" s="573"/>
      <c r="G2497" s="573"/>
      <c r="H2497" s="296"/>
      <c r="I2497" s="168" t="s">
        <v>211</v>
      </c>
      <c r="J2497" s="166" t="s">
        <v>211</v>
      </c>
      <c r="K2497" s="168" t="s">
        <v>211</v>
      </c>
      <c r="L2497" s="166" t="s">
        <v>211</v>
      </c>
      <c r="M2497" s="168" t="s">
        <v>211</v>
      </c>
      <c r="N2497" s="166" t="s">
        <v>211</v>
      </c>
      <c r="O2497" s="168" t="s">
        <v>211</v>
      </c>
    </row>
    <row r="2498" spans="2:15" s="453" customFormat="1" ht="14" x14ac:dyDescent="0.2">
      <c r="B2498" s="293"/>
      <c r="F2498" s="586" t="s">
        <v>756</v>
      </c>
      <c r="G2498" s="586"/>
      <c r="H2498" s="587"/>
      <c r="I2498" s="169"/>
      <c r="J2498" s="167"/>
      <c r="K2498" s="169"/>
      <c r="L2498" s="167"/>
      <c r="M2498" s="169"/>
      <c r="N2498" s="167"/>
      <c r="O2498" s="169"/>
    </row>
    <row r="2499" spans="2:15" s="453" customFormat="1" ht="14" x14ac:dyDescent="0.2">
      <c r="B2499" s="302"/>
      <c r="C2499" s="303"/>
      <c r="D2499" s="303"/>
      <c r="E2499" s="303"/>
      <c r="F2499" s="797" t="s">
        <v>504</v>
      </c>
      <c r="G2499" s="797"/>
      <c r="H2499" s="798"/>
      <c r="I2499" s="169"/>
      <c r="J2499" s="167"/>
      <c r="K2499" s="169"/>
      <c r="L2499" s="167"/>
      <c r="M2499" s="169"/>
      <c r="N2499" s="167"/>
      <c r="O2499" s="169"/>
    </row>
    <row r="2500" spans="2:15" s="453" customFormat="1" ht="14" x14ac:dyDescent="0.2">
      <c r="B2500" s="291">
        <v>25</v>
      </c>
      <c r="C2500" s="598" t="s">
        <v>730</v>
      </c>
      <c r="D2500" s="598"/>
      <c r="E2500" s="598"/>
      <c r="F2500" s="598"/>
      <c r="G2500" s="598"/>
      <c r="H2500" s="292"/>
      <c r="I2500" s="168" t="s">
        <v>211</v>
      </c>
      <c r="J2500" s="166" t="s">
        <v>211</v>
      </c>
      <c r="K2500" s="168" t="s">
        <v>211</v>
      </c>
      <c r="L2500" s="166" t="s">
        <v>211</v>
      </c>
      <c r="M2500" s="168" t="s">
        <v>211</v>
      </c>
      <c r="N2500" s="166" t="s">
        <v>211</v>
      </c>
      <c r="O2500" s="168" t="s">
        <v>211</v>
      </c>
    </row>
    <row r="2501" spans="2:15" s="453" customFormat="1" ht="14" x14ac:dyDescent="0.2">
      <c r="B2501" s="293"/>
      <c r="C2501" s="573" t="s">
        <v>1226</v>
      </c>
      <c r="D2501" s="573"/>
      <c r="E2501" s="573"/>
      <c r="F2501" s="573"/>
      <c r="G2501" s="573"/>
      <c r="H2501" s="296"/>
      <c r="I2501" s="168" t="s">
        <v>211</v>
      </c>
      <c r="J2501" s="166" t="s">
        <v>211</v>
      </c>
      <c r="K2501" s="168" t="s">
        <v>211</v>
      </c>
      <c r="L2501" s="166" t="s">
        <v>211</v>
      </c>
      <c r="M2501" s="168" t="s">
        <v>211</v>
      </c>
      <c r="N2501" s="166" t="s">
        <v>211</v>
      </c>
      <c r="O2501" s="168" t="s">
        <v>211</v>
      </c>
    </row>
    <row r="2502" spans="2:15" s="453" customFormat="1" ht="14" x14ac:dyDescent="0.2">
      <c r="B2502" s="293"/>
      <c r="C2502" s="573" t="s">
        <v>1232</v>
      </c>
      <c r="D2502" s="573"/>
      <c r="E2502" s="573"/>
      <c r="F2502" s="573"/>
      <c r="G2502" s="573"/>
      <c r="H2502" s="296"/>
      <c r="I2502" s="168" t="s">
        <v>211</v>
      </c>
      <c r="J2502" s="166" t="s">
        <v>211</v>
      </c>
      <c r="K2502" s="168" t="s">
        <v>211</v>
      </c>
      <c r="L2502" s="166" t="s">
        <v>211</v>
      </c>
      <c r="M2502" s="168" t="s">
        <v>211</v>
      </c>
      <c r="N2502" s="166" t="s">
        <v>211</v>
      </c>
      <c r="O2502" s="168" t="s">
        <v>211</v>
      </c>
    </row>
    <row r="2503" spans="2:15" s="453" customFormat="1" ht="14" x14ac:dyDescent="0.2">
      <c r="B2503" s="293"/>
      <c r="C2503" s="572" t="s">
        <v>1227</v>
      </c>
      <c r="D2503" s="572"/>
      <c r="E2503" s="572"/>
      <c r="F2503" s="572"/>
      <c r="G2503" s="572"/>
      <c r="H2503" s="296"/>
      <c r="I2503" s="168" t="s">
        <v>211</v>
      </c>
      <c r="J2503" s="166" t="s">
        <v>211</v>
      </c>
      <c r="K2503" s="168" t="s">
        <v>211</v>
      </c>
      <c r="L2503" s="166" t="s">
        <v>211</v>
      </c>
      <c r="M2503" s="168" t="s">
        <v>211</v>
      </c>
      <c r="N2503" s="166" t="s">
        <v>211</v>
      </c>
      <c r="O2503" s="168" t="s">
        <v>211</v>
      </c>
    </row>
    <row r="2504" spans="2:15" s="453" customFormat="1" ht="14" x14ac:dyDescent="0.2">
      <c r="B2504" s="293"/>
      <c r="C2504" s="572"/>
      <c r="D2504" s="572"/>
      <c r="E2504" s="572"/>
      <c r="F2504" s="572"/>
      <c r="G2504" s="572"/>
      <c r="H2504" s="294"/>
      <c r="I2504" s="169"/>
      <c r="J2504" s="167"/>
      <c r="K2504" s="169"/>
      <c r="L2504" s="167"/>
      <c r="M2504" s="169"/>
      <c r="N2504" s="167"/>
      <c r="O2504" s="169"/>
    </row>
    <row r="2505" spans="2:15" s="453" customFormat="1" ht="14" x14ac:dyDescent="0.2">
      <c r="B2505" s="293"/>
      <c r="C2505" s="573" t="s">
        <v>610</v>
      </c>
      <c r="D2505" s="573"/>
      <c r="E2505" s="573"/>
      <c r="F2505" s="573"/>
      <c r="G2505" s="573"/>
      <c r="H2505" s="296"/>
      <c r="I2505" s="168" t="s">
        <v>211</v>
      </c>
      <c r="J2505" s="166" t="s">
        <v>211</v>
      </c>
      <c r="K2505" s="168" t="s">
        <v>211</v>
      </c>
      <c r="L2505" s="166" t="s">
        <v>211</v>
      </c>
      <c r="M2505" s="168" t="s">
        <v>211</v>
      </c>
      <c r="N2505" s="166" t="s">
        <v>211</v>
      </c>
      <c r="O2505" s="168" t="s">
        <v>211</v>
      </c>
    </row>
    <row r="2506" spans="2:15" s="453" customFormat="1" ht="14" x14ac:dyDescent="0.2">
      <c r="B2506" s="293"/>
      <c r="C2506" s="573" t="s">
        <v>1228</v>
      </c>
      <c r="D2506" s="573"/>
      <c r="E2506" s="573"/>
      <c r="F2506" s="573"/>
      <c r="G2506" s="573"/>
      <c r="H2506" s="296"/>
      <c r="I2506" s="168" t="s">
        <v>211</v>
      </c>
      <c r="J2506" s="166" t="s">
        <v>211</v>
      </c>
      <c r="K2506" s="168" t="s">
        <v>211</v>
      </c>
      <c r="L2506" s="166" t="s">
        <v>211</v>
      </c>
      <c r="M2506" s="168" t="s">
        <v>211</v>
      </c>
      <c r="N2506" s="166" t="s">
        <v>211</v>
      </c>
      <c r="O2506" s="168" t="s">
        <v>211</v>
      </c>
    </row>
    <row r="2507" spans="2:15" s="453" customFormat="1" ht="14" x14ac:dyDescent="0.2">
      <c r="B2507" s="293"/>
      <c r="F2507" s="586" t="s">
        <v>1229</v>
      </c>
      <c r="G2507" s="586"/>
      <c r="H2507" s="587"/>
      <c r="I2507" s="169"/>
      <c r="J2507" s="167"/>
      <c r="K2507" s="169"/>
      <c r="L2507" s="167"/>
      <c r="M2507" s="169"/>
      <c r="N2507" s="167"/>
      <c r="O2507" s="169"/>
    </row>
    <row r="2508" spans="2:15" s="453" customFormat="1" ht="14" x14ac:dyDescent="0.2">
      <c r="B2508" s="293"/>
      <c r="F2508" s="586" t="s">
        <v>1230</v>
      </c>
      <c r="G2508" s="586"/>
      <c r="H2508" s="587"/>
      <c r="I2508" s="169"/>
      <c r="J2508" s="167"/>
      <c r="K2508" s="169"/>
      <c r="L2508" s="167"/>
      <c r="M2508" s="169"/>
      <c r="N2508" s="167"/>
      <c r="O2508" s="169"/>
    </row>
    <row r="2509" spans="2:15" s="453" customFormat="1" ht="14" x14ac:dyDescent="0.2">
      <c r="B2509" s="302"/>
      <c r="C2509" s="303"/>
      <c r="D2509" s="303"/>
      <c r="E2509" s="303"/>
      <c r="F2509" s="797" t="s">
        <v>1231</v>
      </c>
      <c r="G2509" s="797"/>
      <c r="H2509" s="798"/>
      <c r="I2509" s="169"/>
      <c r="J2509" s="167"/>
      <c r="K2509" s="169"/>
      <c r="L2509" s="167"/>
      <c r="M2509" s="169"/>
      <c r="N2509" s="167"/>
      <c r="O2509" s="169"/>
    </row>
    <row r="2510" spans="2:15" s="453" customFormat="1" ht="14" x14ac:dyDescent="0.2">
      <c r="B2510" s="291">
        <v>26</v>
      </c>
      <c r="C2510" s="598" t="s">
        <v>1233</v>
      </c>
      <c r="D2510" s="598"/>
      <c r="E2510" s="598"/>
      <c r="F2510" s="598"/>
      <c r="G2510" s="598"/>
      <c r="H2510" s="292"/>
      <c r="I2510" s="168" t="s">
        <v>211</v>
      </c>
      <c r="J2510" s="166" t="s">
        <v>211</v>
      </c>
      <c r="K2510" s="168" t="s">
        <v>211</v>
      </c>
      <c r="L2510" s="166" t="s">
        <v>211</v>
      </c>
      <c r="M2510" s="168" t="s">
        <v>211</v>
      </c>
      <c r="N2510" s="166" t="s">
        <v>211</v>
      </c>
      <c r="O2510" s="168" t="s">
        <v>211</v>
      </c>
    </row>
    <row r="2511" spans="2:15" s="453" customFormat="1" ht="14" x14ac:dyDescent="0.2">
      <c r="B2511" s="293"/>
      <c r="C2511" s="573" t="s">
        <v>1234</v>
      </c>
      <c r="D2511" s="573"/>
      <c r="E2511" s="573"/>
      <c r="F2511" s="573"/>
      <c r="G2511" s="573"/>
      <c r="H2511" s="296"/>
      <c r="I2511" s="168" t="s">
        <v>211</v>
      </c>
      <c r="J2511" s="166" t="s">
        <v>211</v>
      </c>
      <c r="K2511" s="168" t="s">
        <v>211</v>
      </c>
      <c r="L2511" s="166" t="s">
        <v>211</v>
      </c>
      <c r="M2511" s="168" t="s">
        <v>211</v>
      </c>
      <c r="N2511" s="166" t="s">
        <v>211</v>
      </c>
      <c r="O2511" s="168" t="s">
        <v>211</v>
      </c>
    </row>
    <row r="2512" spans="2:15" s="453" customFormat="1" ht="14" x14ac:dyDescent="0.2">
      <c r="B2512" s="293"/>
      <c r="C2512" s="785" t="s">
        <v>1235</v>
      </c>
      <c r="D2512" s="785"/>
      <c r="E2512" s="785"/>
      <c r="F2512" s="785"/>
      <c r="G2512" s="785"/>
      <c r="H2512" s="296"/>
      <c r="I2512" s="168" t="s">
        <v>211</v>
      </c>
      <c r="J2512" s="166" t="s">
        <v>211</v>
      </c>
      <c r="K2512" s="168" t="s">
        <v>211</v>
      </c>
      <c r="L2512" s="166" t="s">
        <v>211</v>
      </c>
      <c r="M2512" s="168" t="s">
        <v>211</v>
      </c>
      <c r="N2512" s="166" t="s">
        <v>211</v>
      </c>
      <c r="O2512" s="168" t="s">
        <v>211</v>
      </c>
    </row>
    <row r="2513" spans="2:15" s="453" customFormat="1" ht="14" x14ac:dyDescent="0.2">
      <c r="B2513" s="293"/>
      <c r="C2513" s="572" t="s">
        <v>1227</v>
      </c>
      <c r="D2513" s="572"/>
      <c r="E2513" s="572"/>
      <c r="F2513" s="572"/>
      <c r="G2513" s="572"/>
      <c r="H2513" s="296"/>
      <c r="I2513" s="168" t="s">
        <v>211</v>
      </c>
      <c r="J2513" s="166" t="s">
        <v>211</v>
      </c>
      <c r="K2513" s="168" t="s">
        <v>211</v>
      </c>
      <c r="L2513" s="166" t="s">
        <v>211</v>
      </c>
      <c r="M2513" s="168" t="s">
        <v>211</v>
      </c>
      <c r="N2513" s="166" t="s">
        <v>211</v>
      </c>
      <c r="O2513" s="168" t="s">
        <v>211</v>
      </c>
    </row>
    <row r="2514" spans="2:15" s="453" customFormat="1" ht="14" x14ac:dyDescent="0.2">
      <c r="B2514" s="293"/>
      <c r="C2514" s="572"/>
      <c r="D2514" s="572"/>
      <c r="E2514" s="572"/>
      <c r="F2514" s="572"/>
      <c r="G2514" s="572"/>
      <c r="H2514" s="294"/>
      <c r="I2514" s="169"/>
      <c r="J2514" s="167"/>
      <c r="K2514" s="169"/>
      <c r="L2514" s="167"/>
      <c r="M2514" s="169"/>
      <c r="N2514" s="167"/>
      <c r="O2514" s="169"/>
    </row>
    <row r="2515" spans="2:15" s="453" customFormat="1" ht="14" x14ac:dyDescent="0.2">
      <c r="B2515" s="293"/>
      <c r="F2515" s="593" t="s">
        <v>1236</v>
      </c>
      <c r="G2515" s="593"/>
      <c r="H2515" s="768"/>
      <c r="I2515" s="169"/>
      <c r="J2515" s="167"/>
      <c r="K2515" s="169"/>
      <c r="L2515" s="167"/>
      <c r="M2515" s="169"/>
      <c r="N2515" s="167"/>
      <c r="O2515" s="169"/>
    </row>
    <row r="2516" spans="2:15" s="453" customFormat="1" ht="14" x14ac:dyDescent="0.2">
      <c r="B2516" s="293"/>
      <c r="F2516" s="593" t="s">
        <v>1237</v>
      </c>
      <c r="G2516" s="593"/>
      <c r="H2516" s="768"/>
      <c r="I2516" s="169"/>
      <c r="J2516" s="167"/>
      <c r="K2516" s="169"/>
      <c r="L2516" s="167"/>
      <c r="M2516" s="169"/>
      <c r="N2516" s="167"/>
      <c r="O2516" s="169"/>
    </row>
    <row r="2517" spans="2:15" s="453" customFormat="1" ht="14" x14ac:dyDescent="0.2">
      <c r="B2517" s="302"/>
      <c r="C2517" s="303"/>
      <c r="D2517" s="303"/>
      <c r="E2517" s="303"/>
      <c r="F2517" s="580" t="s">
        <v>1128</v>
      </c>
      <c r="G2517" s="580"/>
      <c r="H2517" s="585"/>
      <c r="I2517" s="169"/>
      <c r="J2517" s="167"/>
      <c r="K2517" s="169"/>
      <c r="L2517" s="167"/>
      <c r="M2517" s="169"/>
      <c r="N2517" s="167"/>
      <c r="O2517" s="169"/>
    </row>
    <row r="2518" spans="2:15" s="453" customFormat="1" ht="14" x14ac:dyDescent="0.2">
      <c r="B2518" s="291">
        <v>27</v>
      </c>
      <c r="C2518" s="602" t="s">
        <v>1238</v>
      </c>
      <c r="D2518" s="602"/>
      <c r="E2518" s="602"/>
      <c r="F2518" s="602"/>
      <c r="G2518" s="602"/>
      <c r="H2518" s="292"/>
      <c r="I2518" s="168" t="s">
        <v>211</v>
      </c>
      <c r="J2518" s="166" t="s">
        <v>211</v>
      </c>
      <c r="K2518" s="168" t="s">
        <v>211</v>
      </c>
      <c r="L2518" s="166" t="s">
        <v>211</v>
      </c>
      <c r="M2518" s="168" t="s">
        <v>211</v>
      </c>
      <c r="N2518" s="166" t="s">
        <v>211</v>
      </c>
      <c r="O2518" s="168" t="s">
        <v>211</v>
      </c>
    </row>
    <row r="2519" spans="2:15" s="453" customFormat="1" ht="14" x14ac:dyDescent="0.2">
      <c r="B2519" s="293"/>
      <c r="C2519" s="572"/>
      <c r="D2519" s="572"/>
      <c r="E2519" s="572"/>
      <c r="F2519" s="572"/>
      <c r="G2519" s="572"/>
      <c r="H2519" s="294"/>
      <c r="I2519" s="169"/>
      <c r="J2519" s="167"/>
      <c r="K2519" s="169"/>
      <c r="L2519" s="167"/>
      <c r="M2519" s="169"/>
      <c r="N2519" s="167"/>
      <c r="O2519" s="169"/>
    </row>
    <row r="2520" spans="2:15" s="453" customFormat="1" ht="14" x14ac:dyDescent="0.2">
      <c r="B2520" s="293"/>
      <c r="C2520" s="572" t="s">
        <v>1239</v>
      </c>
      <c r="D2520" s="572"/>
      <c r="E2520" s="572"/>
      <c r="F2520" s="572"/>
      <c r="G2520" s="572"/>
      <c r="H2520" s="296"/>
      <c r="I2520" s="168" t="s">
        <v>211</v>
      </c>
      <c r="J2520" s="166" t="s">
        <v>211</v>
      </c>
      <c r="K2520" s="168" t="s">
        <v>211</v>
      </c>
      <c r="L2520" s="166" t="s">
        <v>211</v>
      </c>
      <c r="M2520" s="168" t="s">
        <v>211</v>
      </c>
      <c r="N2520" s="166" t="s">
        <v>211</v>
      </c>
      <c r="O2520" s="168" t="s">
        <v>211</v>
      </c>
    </row>
    <row r="2521" spans="2:15" s="453" customFormat="1" ht="14" x14ac:dyDescent="0.2">
      <c r="B2521" s="293"/>
      <c r="C2521" s="572"/>
      <c r="D2521" s="572"/>
      <c r="E2521" s="572"/>
      <c r="F2521" s="572"/>
      <c r="G2521" s="572"/>
      <c r="H2521" s="294"/>
      <c r="I2521" s="169"/>
      <c r="J2521" s="167"/>
      <c r="K2521" s="169"/>
      <c r="L2521" s="167"/>
      <c r="M2521" s="169"/>
      <c r="N2521" s="167"/>
      <c r="O2521" s="169"/>
    </row>
    <row r="2522" spans="2:15" s="453" customFormat="1" ht="14" x14ac:dyDescent="0.2">
      <c r="B2522" s="293"/>
      <c r="C2522" s="573" t="s">
        <v>823</v>
      </c>
      <c r="D2522" s="573"/>
      <c r="E2522" s="573"/>
      <c r="F2522" s="573"/>
      <c r="G2522" s="573"/>
      <c r="H2522" s="296"/>
      <c r="I2522" s="168" t="s">
        <v>211</v>
      </c>
      <c r="J2522" s="166" t="s">
        <v>211</v>
      </c>
      <c r="K2522" s="168" t="s">
        <v>211</v>
      </c>
      <c r="L2522" s="166" t="s">
        <v>211</v>
      </c>
      <c r="M2522" s="168" t="s">
        <v>211</v>
      </c>
      <c r="N2522" s="166" t="s">
        <v>211</v>
      </c>
      <c r="O2522" s="168" t="s">
        <v>211</v>
      </c>
    </row>
    <row r="2523" spans="2:15" s="453" customFormat="1" ht="14" x14ac:dyDescent="0.2">
      <c r="B2523" s="293"/>
      <c r="F2523" s="593" t="s">
        <v>1168</v>
      </c>
      <c r="G2523" s="593"/>
      <c r="H2523" s="768"/>
      <c r="I2523" s="169"/>
      <c r="J2523" s="167"/>
      <c r="K2523" s="169"/>
      <c r="L2523" s="167"/>
      <c r="M2523" s="169"/>
      <c r="N2523" s="167"/>
      <c r="O2523" s="169"/>
    </row>
    <row r="2524" spans="2:15" s="453" customFormat="1" ht="14" x14ac:dyDescent="0.2">
      <c r="B2524" s="293"/>
      <c r="F2524" s="593" t="s">
        <v>1128</v>
      </c>
      <c r="G2524" s="593"/>
      <c r="H2524" s="768"/>
      <c r="I2524" s="169"/>
      <c r="J2524" s="167"/>
      <c r="K2524" s="169"/>
      <c r="L2524" s="167"/>
      <c r="M2524" s="169"/>
      <c r="N2524" s="167"/>
      <c r="O2524" s="169"/>
    </row>
    <row r="2525" spans="2:15" s="453" customFormat="1" ht="14" x14ac:dyDescent="0.2">
      <c r="B2525" s="302"/>
      <c r="C2525" s="303"/>
      <c r="D2525" s="303"/>
      <c r="E2525" s="303"/>
      <c r="F2525" s="580" t="s">
        <v>1240</v>
      </c>
      <c r="G2525" s="580"/>
      <c r="H2525" s="585"/>
      <c r="I2525" s="169"/>
      <c r="J2525" s="167"/>
      <c r="K2525" s="169"/>
      <c r="L2525" s="167"/>
      <c r="M2525" s="169"/>
      <c r="N2525" s="167"/>
      <c r="O2525" s="169"/>
    </row>
    <row r="2526" spans="2:15" s="453" customFormat="1" ht="14" x14ac:dyDescent="0.2">
      <c r="B2526" s="291">
        <v>28</v>
      </c>
      <c r="C2526" s="602" t="s">
        <v>634</v>
      </c>
      <c r="D2526" s="602"/>
      <c r="E2526" s="602"/>
      <c r="F2526" s="602"/>
      <c r="G2526" s="602"/>
      <c r="H2526" s="292"/>
      <c r="I2526" s="168" t="s">
        <v>211</v>
      </c>
      <c r="J2526" s="166" t="s">
        <v>211</v>
      </c>
      <c r="K2526" s="168" t="s">
        <v>211</v>
      </c>
      <c r="L2526" s="166" t="s">
        <v>211</v>
      </c>
      <c r="M2526" s="168" t="s">
        <v>211</v>
      </c>
      <c r="N2526" s="166" t="s">
        <v>211</v>
      </c>
      <c r="O2526" s="168" t="s">
        <v>211</v>
      </c>
    </row>
    <row r="2527" spans="2:15" s="453" customFormat="1" ht="14" x14ac:dyDescent="0.2">
      <c r="B2527" s="293"/>
      <c r="C2527" s="572" t="s">
        <v>1241</v>
      </c>
      <c r="D2527" s="572"/>
      <c r="E2527" s="572"/>
      <c r="F2527" s="572"/>
      <c r="G2527" s="572"/>
      <c r="H2527" s="296"/>
      <c r="I2527" s="168" t="s">
        <v>211</v>
      </c>
      <c r="J2527" s="166" t="s">
        <v>211</v>
      </c>
      <c r="K2527" s="168" t="s">
        <v>211</v>
      </c>
      <c r="L2527" s="166" t="s">
        <v>211</v>
      </c>
      <c r="M2527" s="168" t="s">
        <v>211</v>
      </c>
      <c r="N2527" s="166" t="s">
        <v>211</v>
      </c>
      <c r="O2527" s="168" t="s">
        <v>211</v>
      </c>
    </row>
    <row r="2528" spans="2:15" s="453" customFormat="1" ht="14" x14ac:dyDescent="0.2">
      <c r="B2528" s="293"/>
      <c r="C2528" s="572"/>
      <c r="D2528" s="572"/>
      <c r="E2528" s="572"/>
      <c r="F2528" s="572"/>
      <c r="G2528" s="572"/>
      <c r="H2528" s="294"/>
      <c r="I2528" s="169"/>
      <c r="J2528" s="167"/>
      <c r="K2528" s="169"/>
      <c r="L2528" s="167"/>
      <c r="M2528" s="169"/>
      <c r="N2528" s="167"/>
      <c r="O2528" s="169"/>
    </row>
    <row r="2529" spans="2:15" s="453" customFormat="1" ht="14" x14ac:dyDescent="0.2">
      <c r="B2529" s="293"/>
      <c r="C2529" s="573" t="s">
        <v>1242</v>
      </c>
      <c r="D2529" s="573"/>
      <c r="E2529" s="573"/>
      <c r="F2529" s="573"/>
      <c r="G2529" s="573"/>
      <c r="H2529" s="296"/>
      <c r="I2529" s="168" t="s">
        <v>211</v>
      </c>
      <c r="J2529" s="166" t="s">
        <v>211</v>
      </c>
      <c r="K2529" s="168" t="s">
        <v>211</v>
      </c>
      <c r="L2529" s="166" t="s">
        <v>211</v>
      </c>
      <c r="M2529" s="168" t="s">
        <v>211</v>
      </c>
      <c r="N2529" s="166" t="s">
        <v>211</v>
      </c>
      <c r="O2529" s="168" t="s">
        <v>211</v>
      </c>
    </row>
    <row r="2530" spans="2:15" s="453" customFormat="1" ht="14" x14ac:dyDescent="0.2">
      <c r="B2530" s="295" t="s">
        <v>333</v>
      </c>
      <c r="C2530" s="591" t="s">
        <v>1243</v>
      </c>
      <c r="D2530" s="591"/>
      <c r="E2530" s="591"/>
      <c r="F2530" s="591"/>
      <c r="G2530" s="591"/>
      <c r="H2530" s="294"/>
      <c r="I2530" s="169"/>
      <c r="J2530" s="167"/>
      <c r="K2530" s="169"/>
      <c r="L2530" s="167"/>
      <c r="M2530" s="169"/>
      <c r="N2530" s="167"/>
      <c r="O2530" s="169"/>
    </row>
    <row r="2531" spans="2:15" s="453" customFormat="1" ht="14" x14ac:dyDescent="0.2">
      <c r="B2531" s="293"/>
      <c r="C2531" s="573" t="s">
        <v>1244</v>
      </c>
      <c r="D2531" s="573"/>
      <c r="E2531" s="573"/>
      <c r="F2531" s="573"/>
      <c r="G2531" s="573"/>
      <c r="H2531" s="296"/>
      <c r="I2531" s="168" t="s">
        <v>211</v>
      </c>
      <c r="J2531" s="166" t="s">
        <v>211</v>
      </c>
      <c r="K2531" s="168" t="s">
        <v>211</v>
      </c>
      <c r="L2531" s="166" t="s">
        <v>211</v>
      </c>
      <c r="M2531" s="168" t="s">
        <v>211</v>
      </c>
      <c r="N2531" s="166" t="s">
        <v>211</v>
      </c>
      <c r="O2531" s="168" t="s">
        <v>211</v>
      </c>
    </row>
    <row r="2532" spans="2:15" s="453" customFormat="1" ht="14" x14ac:dyDescent="0.2">
      <c r="B2532" s="293"/>
      <c r="F2532" s="593" t="s">
        <v>1245</v>
      </c>
      <c r="G2532" s="593"/>
      <c r="H2532" s="768"/>
      <c r="I2532" s="169"/>
      <c r="J2532" s="167"/>
      <c r="K2532" s="169"/>
      <c r="L2532" s="167"/>
      <c r="M2532" s="169"/>
      <c r="N2532" s="167"/>
      <c r="O2532" s="169"/>
    </row>
    <row r="2533" spans="2:15" s="453" customFormat="1" ht="14" x14ac:dyDescent="0.2">
      <c r="B2533" s="293"/>
      <c r="F2533" s="593" t="s">
        <v>1246</v>
      </c>
      <c r="G2533" s="593"/>
      <c r="H2533" s="768"/>
      <c r="I2533" s="169"/>
      <c r="J2533" s="167"/>
      <c r="K2533" s="169"/>
      <c r="L2533" s="167"/>
      <c r="M2533" s="169"/>
      <c r="N2533" s="167"/>
      <c r="O2533" s="169"/>
    </row>
    <row r="2534" spans="2:15" s="453" customFormat="1" ht="14" x14ac:dyDescent="0.2">
      <c r="B2534" s="302"/>
      <c r="C2534" s="303"/>
      <c r="D2534" s="303"/>
      <c r="E2534" s="303"/>
      <c r="F2534" s="580" t="s">
        <v>1247</v>
      </c>
      <c r="G2534" s="580"/>
      <c r="H2534" s="585"/>
      <c r="I2534" s="169"/>
      <c r="J2534" s="167"/>
      <c r="K2534" s="169"/>
      <c r="L2534" s="167"/>
      <c r="M2534" s="169"/>
      <c r="N2534" s="167"/>
      <c r="O2534" s="169"/>
    </row>
    <row r="2535" spans="2:15" s="453" customFormat="1" ht="14" x14ac:dyDescent="0.2">
      <c r="B2535" s="291">
        <v>29</v>
      </c>
      <c r="C2535" s="598" t="s">
        <v>1248</v>
      </c>
      <c r="D2535" s="598"/>
      <c r="E2535" s="598"/>
      <c r="F2535" s="598"/>
      <c r="G2535" s="598"/>
      <c r="H2535" s="292"/>
      <c r="I2535" s="168" t="s">
        <v>211</v>
      </c>
      <c r="J2535" s="166" t="s">
        <v>211</v>
      </c>
      <c r="K2535" s="168" t="s">
        <v>211</v>
      </c>
      <c r="L2535" s="166" t="s">
        <v>211</v>
      </c>
      <c r="M2535" s="168" t="s">
        <v>211</v>
      </c>
      <c r="N2535" s="166" t="s">
        <v>211</v>
      </c>
      <c r="O2535" s="168" t="s">
        <v>211</v>
      </c>
    </row>
    <row r="2536" spans="2:15" s="453" customFormat="1" ht="14" x14ac:dyDescent="0.2">
      <c r="B2536" s="293"/>
      <c r="C2536" s="785" t="s">
        <v>1287</v>
      </c>
      <c r="D2536" s="785"/>
      <c r="E2536" s="785"/>
      <c r="F2536" s="785"/>
      <c r="G2536" s="785"/>
      <c r="H2536" s="296"/>
      <c r="I2536" s="168" t="s">
        <v>211</v>
      </c>
      <c r="J2536" s="166" t="s">
        <v>211</v>
      </c>
      <c r="K2536" s="168" t="s">
        <v>211</v>
      </c>
      <c r="L2536" s="166" t="s">
        <v>211</v>
      </c>
      <c r="M2536" s="168" t="s">
        <v>211</v>
      </c>
      <c r="N2536" s="166" t="s">
        <v>211</v>
      </c>
      <c r="O2536" s="168" t="s">
        <v>211</v>
      </c>
    </row>
    <row r="2537" spans="2:15" s="453" customFormat="1" ht="14" x14ac:dyDescent="0.2">
      <c r="B2537" s="293"/>
      <c r="C2537" s="785"/>
      <c r="D2537" s="785"/>
      <c r="E2537" s="785"/>
      <c r="F2537" s="785"/>
      <c r="G2537" s="785"/>
      <c r="H2537" s="294"/>
      <c r="I2537" s="169"/>
      <c r="J2537" s="167"/>
      <c r="K2537" s="169"/>
      <c r="L2537" s="167"/>
      <c r="M2537" s="169"/>
      <c r="N2537" s="167"/>
      <c r="O2537" s="169"/>
    </row>
    <row r="2538" spans="2:15" s="453" customFormat="1" ht="14" x14ac:dyDescent="0.2">
      <c r="B2538" s="293"/>
      <c r="C2538" s="785"/>
      <c r="D2538" s="785"/>
      <c r="E2538" s="785"/>
      <c r="F2538" s="785"/>
      <c r="G2538" s="785"/>
      <c r="H2538" s="294"/>
      <c r="I2538" s="169"/>
      <c r="J2538" s="167"/>
      <c r="K2538" s="169"/>
      <c r="L2538" s="167"/>
      <c r="M2538" s="169"/>
      <c r="N2538" s="167"/>
      <c r="O2538" s="169"/>
    </row>
    <row r="2539" spans="2:15" s="453" customFormat="1" ht="14" x14ac:dyDescent="0.2">
      <c r="B2539" s="293"/>
      <c r="C2539" s="573" t="s">
        <v>1249</v>
      </c>
      <c r="D2539" s="573"/>
      <c r="E2539" s="573"/>
      <c r="F2539" s="573"/>
      <c r="G2539" s="573"/>
      <c r="H2539" s="296"/>
      <c r="I2539" s="168" t="s">
        <v>211</v>
      </c>
      <c r="J2539" s="166" t="s">
        <v>211</v>
      </c>
      <c r="K2539" s="168" t="s">
        <v>211</v>
      </c>
      <c r="L2539" s="166" t="s">
        <v>211</v>
      </c>
      <c r="M2539" s="168" t="s">
        <v>211</v>
      </c>
      <c r="N2539" s="166" t="s">
        <v>211</v>
      </c>
      <c r="O2539" s="168" t="s">
        <v>211</v>
      </c>
    </row>
    <row r="2540" spans="2:15" s="453" customFormat="1" ht="14" x14ac:dyDescent="0.2">
      <c r="B2540" s="293"/>
      <c r="C2540" s="573" t="s">
        <v>1250</v>
      </c>
      <c r="D2540" s="573"/>
      <c r="E2540" s="573"/>
      <c r="F2540" s="573"/>
      <c r="G2540" s="573"/>
      <c r="H2540" s="296"/>
      <c r="I2540" s="168" t="s">
        <v>211</v>
      </c>
      <c r="J2540" s="166" t="s">
        <v>211</v>
      </c>
      <c r="K2540" s="168" t="s">
        <v>211</v>
      </c>
      <c r="L2540" s="166" t="s">
        <v>211</v>
      </c>
      <c r="M2540" s="168" t="s">
        <v>211</v>
      </c>
      <c r="N2540" s="166" t="s">
        <v>211</v>
      </c>
      <c r="O2540" s="168" t="s">
        <v>211</v>
      </c>
    </row>
    <row r="2541" spans="2:15" s="453" customFormat="1" ht="14" x14ac:dyDescent="0.2">
      <c r="B2541" s="293"/>
      <c r="F2541" s="586" t="s">
        <v>1251</v>
      </c>
      <c r="G2541" s="586"/>
      <c r="H2541" s="587"/>
      <c r="I2541" s="169"/>
      <c r="J2541" s="167"/>
      <c r="K2541" s="169"/>
      <c r="L2541" s="167"/>
      <c r="M2541" s="169"/>
      <c r="N2541" s="167"/>
      <c r="O2541" s="169"/>
    </row>
    <row r="2542" spans="2:15" s="453" customFormat="1" ht="14" x14ac:dyDescent="0.2">
      <c r="B2542" s="302"/>
      <c r="C2542" s="303"/>
      <c r="D2542" s="303"/>
      <c r="E2542" s="303"/>
      <c r="F2542" s="797" t="s">
        <v>474</v>
      </c>
      <c r="G2542" s="797"/>
      <c r="H2542" s="798"/>
      <c r="I2542" s="169"/>
      <c r="J2542" s="167"/>
      <c r="K2542" s="169"/>
      <c r="L2542" s="167"/>
      <c r="M2542" s="169"/>
      <c r="N2542" s="167"/>
      <c r="O2542" s="169"/>
    </row>
    <row r="2543" spans="2:15" s="453" customFormat="1" ht="14" x14ac:dyDescent="0.2">
      <c r="B2543" s="291">
        <v>30</v>
      </c>
      <c r="C2543" s="614" t="s">
        <v>1252</v>
      </c>
      <c r="D2543" s="614"/>
      <c r="E2543" s="614"/>
      <c r="F2543" s="614"/>
      <c r="G2543" s="614"/>
      <c r="H2543" s="292"/>
      <c r="I2543" s="168" t="s">
        <v>211</v>
      </c>
      <c r="J2543" s="166" t="s">
        <v>211</v>
      </c>
      <c r="K2543" s="168" t="s">
        <v>211</v>
      </c>
      <c r="L2543" s="166" t="s">
        <v>211</v>
      </c>
      <c r="M2543" s="168" t="s">
        <v>211</v>
      </c>
      <c r="N2543" s="166" t="s">
        <v>211</v>
      </c>
      <c r="O2543" s="168" t="s">
        <v>211</v>
      </c>
    </row>
    <row r="2544" spans="2:15" s="453" customFormat="1" ht="14" x14ac:dyDescent="0.2">
      <c r="B2544" s="293"/>
      <c r="C2544" s="806"/>
      <c r="D2544" s="806"/>
      <c r="E2544" s="806"/>
      <c r="F2544" s="806"/>
      <c r="G2544" s="806"/>
      <c r="H2544" s="294"/>
      <c r="I2544" s="169"/>
      <c r="J2544" s="167"/>
      <c r="K2544" s="169"/>
      <c r="L2544" s="167"/>
      <c r="M2544" s="169"/>
      <c r="N2544" s="167"/>
      <c r="O2544" s="169"/>
    </row>
    <row r="2545" spans="2:15" s="453" customFormat="1" ht="14" x14ac:dyDescent="0.2">
      <c r="B2545" s="293"/>
      <c r="C2545" s="572" t="s">
        <v>1253</v>
      </c>
      <c r="D2545" s="572"/>
      <c r="E2545" s="572"/>
      <c r="F2545" s="572"/>
      <c r="G2545" s="572"/>
      <c r="H2545" s="296"/>
      <c r="I2545" s="168" t="s">
        <v>211</v>
      </c>
      <c r="J2545" s="166" t="s">
        <v>211</v>
      </c>
      <c r="K2545" s="168" t="s">
        <v>211</v>
      </c>
      <c r="L2545" s="166" t="s">
        <v>211</v>
      </c>
      <c r="M2545" s="168" t="s">
        <v>211</v>
      </c>
      <c r="N2545" s="166" t="s">
        <v>211</v>
      </c>
      <c r="O2545" s="168" t="s">
        <v>211</v>
      </c>
    </row>
    <row r="2546" spans="2:15" s="453" customFormat="1" ht="14" x14ac:dyDescent="0.2">
      <c r="B2546" s="293"/>
      <c r="C2546" s="572"/>
      <c r="D2546" s="572"/>
      <c r="E2546" s="572"/>
      <c r="F2546" s="572"/>
      <c r="G2546" s="572"/>
      <c r="H2546" s="294"/>
      <c r="I2546" s="169"/>
      <c r="J2546" s="167"/>
      <c r="K2546" s="169"/>
      <c r="L2546" s="167"/>
      <c r="M2546" s="169"/>
      <c r="N2546" s="167"/>
      <c r="O2546" s="169"/>
    </row>
    <row r="2547" spans="2:15" s="453" customFormat="1" ht="14" x14ac:dyDescent="0.2">
      <c r="B2547" s="293"/>
      <c r="C2547" s="573" t="s">
        <v>1254</v>
      </c>
      <c r="D2547" s="573"/>
      <c r="E2547" s="573"/>
      <c r="F2547" s="573"/>
      <c r="G2547" s="573"/>
      <c r="H2547" s="296"/>
      <c r="I2547" s="168" t="s">
        <v>211</v>
      </c>
      <c r="J2547" s="166" t="s">
        <v>211</v>
      </c>
      <c r="K2547" s="168" t="s">
        <v>211</v>
      </c>
      <c r="L2547" s="166" t="s">
        <v>211</v>
      </c>
      <c r="M2547" s="168" t="s">
        <v>211</v>
      </c>
      <c r="N2547" s="166" t="s">
        <v>211</v>
      </c>
      <c r="O2547" s="168" t="s">
        <v>211</v>
      </c>
    </row>
    <row r="2548" spans="2:15" s="453" customFormat="1" ht="14" x14ac:dyDescent="0.2">
      <c r="B2548" s="293"/>
      <c r="F2548" s="586" t="s">
        <v>1255</v>
      </c>
      <c r="G2548" s="586"/>
      <c r="H2548" s="587"/>
      <c r="I2548" s="169"/>
      <c r="J2548" s="167"/>
      <c r="K2548" s="169"/>
      <c r="L2548" s="167"/>
      <c r="M2548" s="169"/>
      <c r="N2548" s="167"/>
      <c r="O2548" s="169"/>
    </row>
    <row r="2549" spans="2:15" s="453" customFormat="1" ht="14" x14ac:dyDescent="0.2">
      <c r="B2549" s="302"/>
      <c r="C2549" s="303"/>
      <c r="D2549" s="303"/>
      <c r="E2549" s="303"/>
      <c r="F2549" s="797" t="s">
        <v>474</v>
      </c>
      <c r="G2549" s="797"/>
      <c r="H2549" s="798"/>
      <c r="I2549" s="169"/>
      <c r="J2549" s="167"/>
      <c r="K2549" s="169"/>
      <c r="L2549" s="167"/>
      <c r="M2549" s="169"/>
      <c r="N2549" s="167"/>
      <c r="O2549" s="169"/>
    </row>
    <row r="2550" spans="2:15" s="453" customFormat="1" ht="14" x14ac:dyDescent="0.2">
      <c r="B2550" s="291">
        <v>31</v>
      </c>
      <c r="C2550" s="598" t="s">
        <v>1256</v>
      </c>
      <c r="D2550" s="598"/>
      <c r="E2550" s="598"/>
      <c r="F2550" s="598"/>
      <c r="G2550" s="598"/>
      <c r="H2550" s="292"/>
      <c r="I2550" s="168" t="s">
        <v>211</v>
      </c>
      <c r="J2550" s="166" t="s">
        <v>211</v>
      </c>
      <c r="K2550" s="168" t="s">
        <v>211</v>
      </c>
      <c r="L2550" s="166" t="s">
        <v>211</v>
      </c>
      <c r="M2550" s="168" t="s">
        <v>211</v>
      </c>
      <c r="N2550" s="166" t="s">
        <v>211</v>
      </c>
      <c r="O2550" s="168" t="s">
        <v>211</v>
      </c>
    </row>
    <row r="2551" spans="2:15" s="453" customFormat="1" ht="14" x14ac:dyDescent="0.2">
      <c r="B2551" s="293"/>
      <c r="C2551" s="595" t="s">
        <v>1257</v>
      </c>
      <c r="D2551" s="595"/>
      <c r="E2551" s="595"/>
      <c r="F2551" s="595"/>
      <c r="G2551" s="595"/>
      <c r="H2551" s="296"/>
      <c r="I2551" s="168" t="s">
        <v>211</v>
      </c>
      <c r="J2551" s="166" t="s">
        <v>211</v>
      </c>
      <c r="K2551" s="168" t="s">
        <v>211</v>
      </c>
      <c r="L2551" s="166" t="s">
        <v>211</v>
      </c>
      <c r="M2551" s="168" t="s">
        <v>211</v>
      </c>
      <c r="N2551" s="166" t="s">
        <v>211</v>
      </c>
      <c r="O2551" s="168" t="s">
        <v>211</v>
      </c>
    </row>
    <row r="2552" spans="2:15" s="453" customFormat="1" ht="14" x14ac:dyDescent="0.2">
      <c r="B2552" s="293"/>
      <c r="C2552" s="595"/>
      <c r="D2552" s="595"/>
      <c r="E2552" s="595"/>
      <c r="F2552" s="595"/>
      <c r="G2552" s="595"/>
      <c r="H2552" s="294"/>
      <c r="I2552" s="169"/>
      <c r="J2552" s="167"/>
      <c r="K2552" s="169"/>
      <c r="L2552" s="167"/>
      <c r="M2552" s="169"/>
      <c r="N2552" s="167"/>
      <c r="O2552" s="169"/>
    </row>
    <row r="2553" spans="2:15" s="453" customFormat="1" ht="14" x14ac:dyDescent="0.2">
      <c r="B2553" s="293"/>
      <c r="C2553" s="573" t="s">
        <v>1258</v>
      </c>
      <c r="D2553" s="573"/>
      <c r="E2553" s="573"/>
      <c r="F2553" s="573"/>
      <c r="G2553" s="573"/>
      <c r="H2553" s="296"/>
      <c r="I2553" s="168" t="s">
        <v>211</v>
      </c>
      <c r="J2553" s="166" t="s">
        <v>211</v>
      </c>
      <c r="K2553" s="168" t="s">
        <v>211</v>
      </c>
      <c r="L2553" s="166" t="s">
        <v>211</v>
      </c>
      <c r="M2553" s="168" t="s">
        <v>211</v>
      </c>
      <c r="N2553" s="166" t="s">
        <v>211</v>
      </c>
      <c r="O2553" s="168" t="s">
        <v>211</v>
      </c>
    </row>
    <row r="2554" spans="2:15" s="453" customFormat="1" ht="14" x14ac:dyDescent="0.2">
      <c r="B2554" s="293"/>
      <c r="C2554" s="573" t="s">
        <v>1259</v>
      </c>
      <c r="D2554" s="573"/>
      <c r="E2554" s="573"/>
      <c r="F2554" s="573"/>
      <c r="G2554" s="573"/>
      <c r="H2554" s="296"/>
      <c r="I2554" s="168" t="s">
        <v>211</v>
      </c>
      <c r="J2554" s="166" t="s">
        <v>211</v>
      </c>
      <c r="K2554" s="168" t="s">
        <v>211</v>
      </c>
      <c r="L2554" s="166" t="s">
        <v>211</v>
      </c>
      <c r="M2554" s="168" t="s">
        <v>211</v>
      </c>
      <c r="N2554" s="166" t="s">
        <v>211</v>
      </c>
      <c r="O2554" s="168" t="s">
        <v>211</v>
      </c>
    </row>
    <row r="2555" spans="2:15" s="453" customFormat="1" ht="14" x14ac:dyDescent="0.2">
      <c r="B2555" s="293"/>
      <c r="F2555" s="586" t="s">
        <v>1255</v>
      </c>
      <c r="G2555" s="586"/>
      <c r="H2555" s="587"/>
      <c r="I2555" s="169"/>
      <c r="J2555" s="167"/>
      <c r="K2555" s="169"/>
      <c r="L2555" s="167"/>
      <c r="M2555" s="169"/>
      <c r="N2555" s="167"/>
      <c r="O2555" s="169"/>
    </row>
    <row r="2556" spans="2:15" s="453" customFormat="1" ht="14" x14ac:dyDescent="0.2">
      <c r="B2556" s="302"/>
      <c r="C2556" s="303"/>
      <c r="D2556" s="303"/>
      <c r="E2556" s="303"/>
      <c r="F2556" s="797" t="s">
        <v>474</v>
      </c>
      <c r="G2556" s="797"/>
      <c r="H2556" s="798"/>
      <c r="I2556" s="169"/>
      <c r="J2556" s="167"/>
      <c r="K2556" s="169"/>
      <c r="L2556" s="167"/>
      <c r="M2556" s="169"/>
      <c r="N2556" s="167"/>
      <c r="O2556" s="169"/>
    </row>
    <row r="2557" spans="2:15" s="453" customFormat="1" ht="14" x14ac:dyDescent="0.2">
      <c r="B2557" s="291">
        <v>32</v>
      </c>
      <c r="C2557" s="602" t="s">
        <v>1260</v>
      </c>
      <c r="D2557" s="602"/>
      <c r="E2557" s="602"/>
      <c r="F2557" s="602"/>
      <c r="G2557" s="602"/>
      <c r="H2557" s="292"/>
      <c r="I2557" s="168" t="s">
        <v>211</v>
      </c>
      <c r="J2557" s="166" t="s">
        <v>211</v>
      </c>
      <c r="K2557" s="168" t="s">
        <v>211</v>
      </c>
      <c r="L2557" s="166" t="s">
        <v>211</v>
      </c>
      <c r="M2557" s="168" t="s">
        <v>211</v>
      </c>
      <c r="N2557" s="166" t="s">
        <v>211</v>
      </c>
      <c r="O2557" s="168" t="s">
        <v>211</v>
      </c>
    </row>
    <row r="2558" spans="2:15" s="453" customFormat="1" ht="14" x14ac:dyDescent="0.2">
      <c r="B2558" s="293"/>
      <c r="C2558" s="572" t="s">
        <v>1261</v>
      </c>
      <c r="D2558" s="572"/>
      <c r="E2558" s="572"/>
      <c r="F2558" s="572"/>
      <c r="G2558" s="572"/>
      <c r="H2558" s="296"/>
      <c r="I2558" s="168" t="s">
        <v>211</v>
      </c>
      <c r="J2558" s="166" t="s">
        <v>211</v>
      </c>
      <c r="K2558" s="168" t="s">
        <v>211</v>
      </c>
      <c r="L2558" s="166" t="s">
        <v>211</v>
      </c>
      <c r="M2558" s="168" t="s">
        <v>211</v>
      </c>
      <c r="N2558" s="166" t="s">
        <v>211</v>
      </c>
      <c r="O2558" s="168" t="s">
        <v>211</v>
      </c>
    </row>
    <row r="2559" spans="2:15" s="453" customFormat="1" ht="14" x14ac:dyDescent="0.2">
      <c r="B2559" s="293"/>
      <c r="C2559" s="572"/>
      <c r="D2559" s="572"/>
      <c r="E2559" s="572"/>
      <c r="F2559" s="572"/>
      <c r="G2559" s="572"/>
      <c r="H2559" s="294"/>
      <c r="I2559" s="169"/>
      <c r="J2559" s="167"/>
      <c r="K2559" s="169"/>
      <c r="L2559" s="167"/>
      <c r="M2559" s="169"/>
      <c r="N2559" s="167"/>
      <c r="O2559" s="169"/>
    </row>
    <row r="2560" spans="2:15" s="453" customFormat="1" ht="14" x14ac:dyDescent="0.2">
      <c r="B2560" s="293"/>
      <c r="C2560" s="573" t="s">
        <v>897</v>
      </c>
      <c r="D2560" s="573"/>
      <c r="E2560" s="573"/>
      <c r="F2560" s="573"/>
      <c r="G2560" s="573"/>
      <c r="H2560" s="296"/>
      <c r="I2560" s="168" t="s">
        <v>211</v>
      </c>
      <c r="J2560" s="166" t="s">
        <v>211</v>
      </c>
      <c r="K2560" s="168" t="s">
        <v>211</v>
      </c>
      <c r="L2560" s="166" t="s">
        <v>211</v>
      </c>
      <c r="M2560" s="168" t="s">
        <v>211</v>
      </c>
      <c r="N2560" s="166" t="s">
        <v>211</v>
      </c>
      <c r="O2560" s="168" t="s">
        <v>211</v>
      </c>
    </row>
    <row r="2561" spans="2:15" s="453" customFormat="1" ht="14" x14ac:dyDescent="0.2">
      <c r="B2561" s="293"/>
      <c r="C2561" s="785" t="s">
        <v>1262</v>
      </c>
      <c r="D2561" s="785"/>
      <c r="E2561" s="785"/>
      <c r="F2561" s="785"/>
      <c r="G2561" s="785"/>
      <c r="H2561" s="296"/>
      <c r="I2561" s="168" t="s">
        <v>211</v>
      </c>
      <c r="J2561" s="166" t="s">
        <v>211</v>
      </c>
      <c r="K2561" s="168" t="s">
        <v>211</v>
      </c>
      <c r="L2561" s="166" t="s">
        <v>211</v>
      </c>
      <c r="M2561" s="168" t="s">
        <v>211</v>
      </c>
      <c r="N2561" s="166" t="s">
        <v>211</v>
      </c>
      <c r="O2561" s="168" t="s">
        <v>211</v>
      </c>
    </row>
    <row r="2562" spans="2:15" s="453" customFormat="1" ht="14" x14ac:dyDescent="0.2">
      <c r="B2562" s="293"/>
      <c r="F2562" s="593" t="s">
        <v>1263</v>
      </c>
      <c r="G2562" s="593"/>
      <c r="H2562" s="768"/>
      <c r="I2562" s="169"/>
      <c r="J2562" s="167"/>
      <c r="K2562" s="169"/>
      <c r="L2562" s="167"/>
      <c r="M2562" s="169"/>
      <c r="N2562" s="167"/>
      <c r="O2562" s="169"/>
    </row>
    <row r="2563" spans="2:15" s="453" customFormat="1" ht="14" x14ac:dyDescent="0.2">
      <c r="B2563" s="293"/>
      <c r="F2563" s="593" t="s">
        <v>1264</v>
      </c>
      <c r="G2563" s="593"/>
      <c r="H2563" s="768"/>
      <c r="I2563" s="169"/>
      <c r="J2563" s="167"/>
      <c r="K2563" s="169"/>
      <c r="L2563" s="167"/>
      <c r="M2563" s="169"/>
      <c r="N2563" s="167"/>
      <c r="O2563" s="169"/>
    </row>
    <row r="2564" spans="2:15" s="453" customFormat="1" ht="14" x14ac:dyDescent="0.2">
      <c r="B2564" s="293"/>
      <c r="F2564" s="593" t="s">
        <v>1265</v>
      </c>
      <c r="G2564" s="593"/>
      <c r="H2564" s="768"/>
      <c r="I2564" s="169"/>
      <c r="J2564" s="167"/>
      <c r="K2564" s="169"/>
      <c r="L2564" s="167"/>
      <c r="M2564" s="169"/>
      <c r="N2564" s="167"/>
      <c r="O2564" s="169"/>
    </row>
    <row r="2565" spans="2:15" s="453" customFormat="1" ht="14" x14ac:dyDescent="0.2">
      <c r="B2565" s="302"/>
      <c r="C2565" s="303"/>
      <c r="D2565" s="303"/>
      <c r="E2565" s="303"/>
      <c r="F2565" s="613" t="s">
        <v>1171</v>
      </c>
      <c r="G2565" s="613"/>
      <c r="H2565" s="775"/>
      <c r="I2565" s="169"/>
      <c r="J2565" s="167"/>
      <c r="K2565" s="169"/>
      <c r="L2565" s="167"/>
      <c r="M2565" s="169"/>
      <c r="N2565" s="167"/>
      <c r="O2565" s="169"/>
    </row>
    <row r="2566" spans="2:15" s="453" customFormat="1" ht="14" x14ac:dyDescent="0.2">
      <c r="B2566" s="291">
        <v>33</v>
      </c>
      <c r="C2566" s="602" t="s">
        <v>634</v>
      </c>
      <c r="D2566" s="602"/>
      <c r="E2566" s="602"/>
      <c r="F2566" s="602"/>
      <c r="G2566" s="602"/>
      <c r="H2566" s="292"/>
      <c r="I2566" s="168" t="s">
        <v>211</v>
      </c>
      <c r="J2566" s="166" t="s">
        <v>211</v>
      </c>
      <c r="K2566" s="168" t="s">
        <v>211</v>
      </c>
      <c r="L2566" s="166" t="s">
        <v>211</v>
      </c>
      <c r="M2566" s="168" t="s">
        <v>211</v>
      </c>
      <c r="N2566" s="166" t="s">
        <v>211</v>
      </c>
      <c r="O2566" s="168" t="s">
        <v>211</v>
      </c>
    </row>
    <row r="2567" spans="2:15" s="453" customFormat="1" ht="14" x14ac:dyDescent="0.2">
      <c r="B2567" s="293"/>
      <c r="C2567" s="572" t="s">
        <v>1266</v>
      </c>
      <c r="D2567" s="572"/>
      <c r="E2567" s="572"/>
      <c r="F2567" s="572"/>
      <c r="G2567" s="572"/>
      <c r="H2567" s="296"/>
      <c r="I2567" s="168" t="s">
        <v>211</v>
      </c>
      <c r="J2567" s="166" t="s">
        <v>211</v>
      </c>
      <c r="K2567" s="168" t="s">
        <v>211</v>
      </c>
      <c r="L2567" s="166" t="s">
        <v>211</v>
      </c>
      <c r="M2567" s="168" t="s">
        <v>211</v>
      </c>
      <c r="N2567" s="166" t="s">
        <v>211</v>
      </c>
      <c r="O2567" s="168" t="s">
        <v>211</v>
      </c>
    </row>
    <row r="2568" spans="2:15" s="453" customFormat="1" ht="14" x14ac:dyDescent="0.2">
      <c r="B2568" s="293"/>
      <c r="C2568" s="572"/>
      <c r="D2568" s="572"/>
      <c r="E2568" s="572"/>
      <c r="F2568" s="572"/>
      <c r="G2568" s="572"/>
      <c r="H2568" s="294"/>
      <c r="I2568" s="169"/>
      <c r="J2568" s="167"/>
      <c r="K2568" s="169"/>
      <c r="L2568" s="167"/>
      <c r="M2568" s="169"/>
      <c r="N2568" s="167"/>
      <c r="O2568" s="169"/>
    </row>
    <row r="2569" spans="2:15" s="453" customFormat="1" ht="14" x14ac:dyDescent="0.2">
      <c r="B2569" s="293"/>
      <c r="C2569" s="572" t="s">
        <v>1267</v>
      </c>
      <c r="D2569" s="572"/>
      <c r="E2569" s="572"/>
      <c r="F2569" s="572"/>
      <c r="G2569" s="572"/>
      <c r="H2569" s="296"/>
      <c r="I2569" s="168" t="s">
        <v>211</v>
      </c>
      <c r="J2569" s="166" t="s">
        <v>211</v>
      </c>
      <c r="K2569" s="168" t="s">
        <v>211</v>
      </c>
      <c r="L2569" s="166" t="s">
        <v>211</v>
      </c>
      <c r="M2569" s="168" t="s">
        <v>211</v>
      </c>
      <c r="N2569" s="166" t="s">
        <v>211</v>
      </c>
      <c r="O2569" s="168" t="s">
        <v>211</v>
      </c>
    </row>
    <row r="2570" spans="2:15" s="453" customFormat="1" ht="14" x14ac:dyDescent="0.2">
      <c r="B2570" s="293"/>
      <c r="C2570" s="572"/>
      <c r="D2570" s="572"/>
      <c r="E2570" s="572"/>
      <c r="F2570" s="572"/>
      <c r="G2570" s="572"/>
      <c r="H2570" s="294"/>
      <c r="I2570" s="169"/>
      <c r="J2570" s="167"/>
      <c r="K2570" s="169"/>
      <c r="L2570" s="167"/>
      <c r="M2570" s="169"/>
      <c r="N2570" s="167"/>
      <c r="O2570" s="169"/>
    </row>
    <row r="2571" spans="2:15" s="453" customFormat="1" ht="14" x14ac:dyDescent="0.2">
      <c r="B2571" s="293"/>
      <c r="C2571" s="573" t="s">
        <v>473</v>
      </c>
      <c r="D2571" s="573"/>
      <c r="E2571" s="573"/>
      <c r="F2571" s="573"/>
      <c r="G2571" s="573"/>
      <c r="H2571" s="296"/>
      <c r="I2571" s="168" t="s">
        <v>211</v>
      </c>
      <c r="J2571" s="166" t="s">
        <v>211</v>
      </c>
      <c r="K2571" s="168" t="s">
        <v>211</v>
      </c>
      <c r="L2571" s="166" t="s">
        <v>211</v>
      </c>
      <c r="M2571" s="168" t="s">
        <v>211</v>
      </c>
      <c r="N2571" s="166" t="s">
        <v>211</v>
      </c>
      <c r="O2571" s="168" t="s">
        <v>211</v>
      </c>
    </row>
    <row r="2572" spans="2:15" s="453" customFormat="1" ht="14" x14ac:dyDescent="0.2">
      <c r="B2572" s="293"/>
      <c r="F2572" s="586" t="s">
        <v>1268</v>
      </c>
      <c r="G2572" s="586"/>
      <c r="H2572" s="587"/>
      <c r="I2572" s="169"/>
      <c r="J2572" s="167"/>
      <c r="K2572" s="169"/>
      <c r="L2572" s="167"/>
      <c r="M2572" s="169"/>
      <c r="N2572" s="167"/>
      <c r="O2572" s="169"/>
    </row>
    <row r="2573" spans="2:15" s="453" customFormat="1" ht="14" x14ac:dyDescent="0.2">
      <c r="B2573" s="302"/>
      <c r="C2573" s="303"/>
      <c r="D2573" s="303"/>
      <c r="E2573" s="303"/>
      <c r="F2573" s="797" t="s">
        <v>474</v>
      </c>
      <c r="G2573" s="797"/>
      <c r="H2573" s="798"/>
      <c r="I2573" s="169"/>
      <c r="J2573" s="167"/>
      <c r="K2573" s="169"/>
      <c r="L2573" s="167"/>
      <c r="M2573" s="169"/>
      <c r="N2573" s="167"/>
      <c r="O2573" s="169"/>
    </row>
    <row r="2574" spans="2:15" s="453" customFormat="1" ht="14" x14ac:dyDescent="0.2">
      <c r="B2574" s="291">
        <v>34</v>
      </c>
      <c r="C2574" s="602" t="s">
        <v>641</v>
      </c>
      <c r="D2574" s="602"/>
      <c r="E2574" s="602"/>
      <c r="F2574" s="602"/>
      <c r="G2574" s="602"/>
      <c r="H2574" s="292"/>
      <c r="I2574" s="168" t="s">
        <v>211</v>
      </c>
      <c r="J2574" s="166" t="s">
        <v>211</v>
      </c>
      <c r="K2574" s="168" t="s">
        <v>211</v>
      </c>
      <c r="L2574" s="166" t="s">
        <v>211</v>
      </c>
      <c r="M2574" s="168" t="s">
        <v>211</v>
      </c>
      <c r="N2574" s="166" t="s">
        <v>211</v>
      </c>
      <c r="O2574" s="168" t="s">
        <v>211</v>
      </c>
    </row>
    <row r="2575" spans="2:15" s="453" customFormat="1" ht="14" x14ac:dyDescent="0.2">
      <c r="B2575" s="293"/>
      <c r="C2575" s="595" t="s">
        <v>1269</v>
      </c>
      <c r="D2575" s="595"/>
      <c r="E2575" s="595"/>
      <c r="F2575" s="595"/>
      <c r="G2575" s="595"/>
      <c r="H2575" s="296"/>
      <c r="I2575" s="168" t="s">
        <v>211</v>
      </c>
      <c r="J2575" s="166" t="s">
        <v>211</v>
      </c>
      <c r="K2575" s="168" t="s">
        <v>211</v>
      </c>
      <c r="L2575" s="166" t="s">
        <v>211</v>
      </c>
      <c r="M2575" s="168" t="s">
        <v>211</v>
      </c>
      <c r="N2575" s="166" t="s">
        <v>211</v>
      </c>
      <c r="O2575" s="168" t="s">
        <v>211</v>
      </c>
    </row>
    <row r="2576" spans="2:15" s="453" customFormat="1" ht="14" x14ac:dyDescent="0.2">
      <c r="B2576" s="293"/>
      <c r="C2576" s="595"/>
      <c r="D2576" s="595"/>
      <c r="E2576" s="595"/>
      <c r="F2576" s="595"/>
      <c r="G2576" s="595"/>
      <c r="H2576" s="294"/>
      <c r="I2576" s="169"/>
      <c r="J2576" s="167"/>
      <c r="K2576" s="169"/>
      <c r="L2576" s="167"/>
      <c r="M2576" s="169"/>
      <c r="N2576" s="167"/>
      <c r="O2576" s="169"/>
    </row>
    <row r="2577" spans="2:15" s="453" customFormat="1" ht="14" x14ac:dyDescent="0.2">
      <c r="B2577" s="293"/>
      <c r="C2577" s="573" t="s">
        <v>1270</v>
      </c>
      <c r="D2577" s="573"/>
      <c r="E2577" s="573"/>
      <c r="F2577" s="573"/>
      <c r="G2577" s="573"/>
      <c r="H2577" s="296"/>
      <c r="I2577" s="168" t="s">
        <v>211</v>
      </c>
      <c r="J2577" s="166" t="s">
        <v>211</v>
      </c>
      <c r="K2577" s="168" t="s">
        <v>211</v>
      </c>
      <c r="L2577" s="166" t="s">
        <v>211</v>
      </c>
      <c r="M2577" s="168" t="s">
        <v>211</v>
      </c>
      <c r="N2577" s="166" t="s">
        <v>211</v>
      </c>
      <c r="O2577" s="168" t="s">
        <v>211</v>
      </c>
    </row>
    <row r="2578" spans="2:15" s="453" customFormat="1" ht="14" x14ac:dyDescent="0.2">
      <c r="B2578" s="293"/>
      <c r="C2578" s="573" t="s">
        <v>637</v>
      </c>
      <c r="D2578" s="573"/>
      <c r="E2578" s="573"/>
      <c r="F2578" s="573"/>
      <c r="G2578" s="573"/>
      <c r="H2578" s="296"/>
      <c r="I2578" s="168" t="s">
        <v>211</v>
      </c>
      <c r="J2578" s="166" t="s">
        <v>211</v>
      </c>
      <c r="K2578" s="168" t="s">
        <v>211</v>
      </c>
      <c r="L2578" s="166" t="s">
        <v>211</v>
      </c>
      <c r="M2578" s="168" t="s">
        <v>211</v>
      </c>
      <c r="N2578" s="166" t="s">
        <v>211</v>
      </c>
      <c r="O2578" s="168" t="s">
        <v>211</v>
      </c>
    </row>
    <row r="2579" spans="2:15" s="453" customFormat="1" ht="14" x14ac:dyDescent="0.2">
      <c r="B2579" s="293"/>
      <c r="F2579" s="586" t="s">
        <v>733</v>
      </c>
      <c r="G2579" s="586"/>
      <c r="H2579" s="587"/>
      <c r="I2579" s="169"/>
      <c r="J2579" s="167"/>
      <c r="K2579" s="169"/>
      <c r="L2579" s="167"/>
      <c r="M2579" s="169"/>
      <c r="N2579" s="167"/>
      <c r="O2579" s="169"/>
    </row>
    <row r="2580" spans="2:15" s="453" customFormat="1" ht="14" x14ac:dyDescent="0.2">
      <c r="B2580" s="302"/>
      <c r="C2580" s="303"/>
      <c r="D2580" s="303"/>
      <c r="E2580" s="303"/>
      <c r="F2580" s="797" t="s">
        <v>1271</v>
      </c>
      <c r="G2580" s="797"/>
      <c r="H2580" s="798"/>
      <c r="I2580" s="169"/>
      <c r="J2580" s="167"/>
      <c r="K2580" s="169"/>
      <c r="L2580" s="167"/>
      <c r="M2580" s="169"/>
      <c r="N2580" s="167"/>
      <c r="O2580" s="169"/>
    </row>
    <row r="2581" spans="2:15" s="453" customFormat="1" ht="14" x14ac:dyDescent="0.2">
      <c r="B2581" s="291">
        <v>35</v>
      </c>
      <c r="C2581" s="598" t="s">
        <v>730</v>
      </c>
      <c r="D2581" s="598"/>
      <c r="E2581" s="598"/>
      <c r="F2581" s="598"/>
      <c r="G2581" s="598"/>
      <c r="H2581" s="292"/>
      <c r="I2581" s="168" t="s">
        <v>211</v>
      </c>
      <c r="J2581" s="166" t="s">
        <v>211</v>
      </c>
      <c r="K2581" s="168" t="s">
        <v>211</v>
      </c>
      <c r="L2581" s="166" t="s">
        <v>211</v>
      </c>
      <c r="M2581" s="168" t="s">
        <v>211</v>
      </c>
      <c r="N2581" s="166" t="s">
        <v>211</v>
      </c>
      <c r="O2581" s="168" t="s">
        <v>211</v>
      </c>
    </row>
    <row r="2582" spans="2:15" s="453" customFormat="1" ht="14" x14ac:dyDescent="0.2">
      <c r="B2582" s="293"/>
      <c r="C2582" s="572" t="s">
        <v>1272</v>
      </c>
      <c r="D2582" s="572"/>
      <c r="E2582" s="572"/>
      <c r="F2582" s="572"/>
      <c r="G2582" s="572"/>
      <c r="H2582" s="296"/>
      <c r="I2582" s="168" t="s">
        <v>211</v>
      </c>
      <c r="J2582" s="166" t="s">
        <v>211</v>
      </c>
      <c r="K2582" s="168" t="s">
        <v>211</v>
      </c>
      <c r="L2582" s="166" t="s">
        <v>211</v>
      </c>
      <c r="M2582" s="168" t="s">
        <v>211</v>
      </c>
      <c r="N2582" s="166" t="s">
        <v>211</v>
      </c>
      <c r="O2582" s="168" t="s">
        <v>211</v>
      </c>
    </row>
    <row r="2583" spans="2:15" s="453" customFormat="1" ht="14" x14ac:dyDescent="0.2">
      <c r="B2583" s="293"/>
      <c r="C2583" s="572"/>
      <c r="D2583" s="572"/>
      <c r="E2583" s="572"/>
      <c r="F2583" s="572"/>
      <c r="G2583" s="572"/>
      <c r="H2583" s="294"/>
      <c r="I2583" s="169"/>
      <c r="J2583" s="167"/>
      <c r="K2583" s="169"/>
      <c r="L2583" s="167"/>
      <c r="M2583" s="169"/>
      <c r="N2583" s="167"/>
      <c r="O2583" s="169"/>
    </row>
    <row r="2584" spans="2:15" s="453" customFormat="1" ht="14" x14ac:dyDescent="0.2">
      <c r="B2584" s="293"/>
      <c r="C2584" s="595" t="s">
        <v>1273</v>
      </c>
      <c r="D2584" s="595"/>
      <c r="E2584" s="595"/>
      <c r="F2584" s="595"/>
      <c r="G2584" s="595"/>
      <c r="H2584" s="296"/>
      <c r="I2584" s="168" t="s">
        <v>211</v>
      </c>
      <c r="J2584" s="166" t="s">
        <v>211</v>
      </c>
      <c r="K2584" s="168" t="s">
        <v>211</v>
      </c>
      <c r="L2584" s="166" t="s">
        <v>211</v>
      </c>
      <c r="M2584" s="168" t="s">
        <v>211</v>
      </c>
      <c r="N2584" s="166" t="s">
        <v>211</v>
      </c>
      <c r="O2584" s="168" t="s">
        <v>211</v>
      </c>
    </row>
    <row r="2585" spans="2:15" s="453" customFormat="1" ht="14" x14ac:dyDescent="0.2">
      <c r="B2585" s="293"/>
      <c r="C2585" s="595"/>
      <c r="D2585" s="595"/>
      <c r="E2585" s="595"/>
      <c r="F2585" s="595"/>
      <c r="G2585" s="595"/>
      <c r="H2585" s="294"/>
      <c r="I2585" s="169"/>
      <c r="J2585" s="167"/>
      <c r="K2585" s="169"/>
      <c r="L2585" s="167"/>
      <c r="M2585" s="169"/>
      <c r="N2585" s="167"/>
      <c r="O2585" s="169"/>
    </row>
    <row r="2586" spans="2:15" s="453" customFormat="1" ht="14" x14ac:dyDescent="0.2">
      <c r="B2586" s="293"/>
      <c r="C2586" s="573" t="s">
        <v>1270</v>
      </c>
      <c r="D2586" s="573"/>
      <c r="E2586" s="573"/>
      <c r="F2586" s="573"/>
      <c r="G2586" s="573"/>
      <c r="H2586" s="296"/>
      <c r="I2586" s="168" t="s">
        <v>211</v>
      </c>
      <c r="J2586" s="166" t="s">
        <v>211</v>
      </c>
      <c r="K2586" s="168" t="s">
        <v>211</v>
      </c>
      <c r="L2586" s="166" t="s">
        <v>211</v>
      </c>
      <c r="M2586" s="168" t="s">
        <v>211</v>
      </c>
      <c r="N2586" s="166" t="s">
        <v>211</v>
      </c>
      <c r="O2586" s="168" t="s">
        <v>211</v>
      </c>
    </row>
    <row r="2587" spans="2:15" s="453" customFormat="1" ht="14" x14ac:dyDescent="0.2">
      <c r="B2587" s="293"/>
      <c r="C2587" s="573" t="s">
        <v>637</v>
      </c>
      <c r="D2587" s="573"/>
      <c r="E2587" s="573"/>
      <c r="F2587" s="573"/>
      <c r="G2587" s="573"/>
      <c r="H2587" s="296"/>
      <c r="I2587" s="168" t="s">
        <v>211</v>
      </c>
      <c r="J2587" s="166" t="s">
        <v>211</v>
      </c>
      <c r="K2587" s="168" t="s">
        <v>211</v>
      </c>
      <c r="L2587" s="166" t="s">
        <v>211</v>
      </c>
      <c r="M2587" s="168" t="s">
        <v>211</v>
      </c>
      <c r="N2587" s="166" t="s">
        <v>211</v>
      </c>
      <c r="O2587" s="168" t="s">
        <v>211</v>
      </c>
    </row>
    <row r="2588" spans="2:15" s="453" customFormat="1" ht="14" x14ac:dyDescent="0.2">
      <c r="B2588" s="293"/>
      <c r="F2588" s="586" t="s">
        <v>733</v>
      </c>
      <c r="G2588" s="586"/>
      <c r="H2588" s="587"/>
      <c r="I2588" s="169"/>
      <c r="J2588" s="167"/>
      <c r="K2588" s="169"/>
      <c r="L2588" s="167"/>
      <c r="M2588" s="169"/>
      <c r="N2588" s="167"/>
      <c r="O2588" s="169"/>
    </row>
    <row r="2589" spans="2:15" s="453" customFormat="1" ht="14" x14ac:dyDescent="0.2">
      <c r="B2589" s="302"/>
      <c r="C2589" s="303"/>
      <c r="D2589" s="303"/>
      <c r="E2589" s="303"/>
      <c r="F2589" s="797" t="s">
        <v>474</v>
      </c>
      <c r="G2589" s="797"/>
      <c r="H2589" s="798"/>
      <c r="I2589" s="169"/>
      <c r="J2589" s="167"/>
      <c r="K2589" s="169"/>
      <c r="L2589" s="167"/>
      <c r="M2589" s="169"/>
      <c r="N2589" s="167"/>
      <c r="O2589" s="169"/>
    </row>
    <row r="2590" spans="2:15" s="453" customFormat="1" ht="14" x14ac:dyDescent="0.2">
      <c r="B2590" s="291">
        <v>36</v>
      </c>
      <c r="C2590" s="598" t="s">
        <v>1158</v>
      </c>
      <c r="D2590" s="598"/>
      <c r="E2590" s="598"/>
      <c r="F2590" s="598"/>
      <c r="G2590" s="598"/>
      <c r="H2590" s="292"/>
      <c r="I2590" s="168" t="s">
        <v>211</v>
      </c>
      <c r="J2590" s="166" t="s">
        <v>211</v>
      </c>
      <c r="K2590" s="168" t="s">
        <v>211</v>
      </c>
      <c r="L2590" s="166" t="s">
        <v>211</v>
      </c>
      <c r="M2590" s="168" t="s">
        <v>211</v>
      </c>
      <c r="N2590" s="166" t="s">
        <v>211</v>
      </c>
      <c r="O2590" s="168" t="s">
        <v>211</v>
      </c>
    </row>
    <row r="2591" spans="2:15" s="453" customFormat="1" ht="14" x14ac:dyDescent="0.2">
      <c r="B2591" s="293"/>
      <c r="C2591" s="572" t="s">
        <v>1274</v>
      </c>
      <c r="D2591" s="572"/>
      <c r="E2591" s="572"/>
      <c r="F2591" s="572"/>
      <c r="G2591" s="572"/>
      <c r="H2591" s="296"/>
      <c r="I2591" s="168" t="s">
        <v>211</v>
      </c>
      <c r="J2591" s="166" t="s">
        <v>211</v>
      </c>
      <c r="K2591" s="168" t="s">
        <v>211</v>
      </c>
      <c r="L2591" s="166" t="s">
        <v>211</v>
      </c>
      <c r="M2591" s="168" t="s">
        <v>211</v>
      </c>
      <c r="N2591" s="166" t="s">
        <v>211</v>
      </c>
      <c r="O2591" s="168" t="s">
        <v>211</v>
      </c>
    </row>
    <row r="2592" spans="2:15" s="453" customFormat="1" ht="14" x14ac:dyDescent="0.2">
      <c r="B2592" s="293"/>
      <c r="C2592" s="572"/>
      <c r="D2592" s="572"/>
      <c r="E2592" s="572"/>
      <c r="F2592" s="572"/>
      <c r="G2592" s="572"/>
      <c r="H2592" s="294"/>
      <c r="I2592" s="169"/>
      <c r="J2592" s="167"/>
      <c r="K2592" s="169"/>
      <c r="L2592" s="167"/>
      <c r="M2592" s="169"/>
      <c r="N2592" s="167"/>
      <c r="O2592" s="169"/>
    </row>
    <row r="2593" spans="2:15" s="453" customFormat="1" ht="14" x14ac:dyDescent="0.2">
      <c r="B2593" s="293"/>
      <c r="C2593" s="572"/>
      <c r="D2593" s="572"/>
      <c r="E2593" s="572"/>
      <c r="F2593" s="572"/>
      <c r="G2593" s="572"/>
      <c r="H2593" s="294"/>
      <c r="I2593" s="169"/>
      <c r="J2593" s="167"/>
      <c r="K2593" s="169"/>
      <c r="L2593" s="167"/>
      <c r="M2593" s="169"/>
      <c r="N2593" s="167"/>
      <c r="O2593" s="169"/>
    </row>
    <row r="2594" spans="2:15" s="453" customFormat="1" ht="14" x14ac:dyDescent="0.2">
      <c r="B2594" s="293"/>
      <c r="C2594" s="572"/>
      <c r="D2594" s="572"/>
      <c r="E2594" s="572"/>
      <c r="F2594" s="572"/>
      <c r="G2594" s="572"/>
      <c r="H2594" s="294"/>
      <c r="I2594" s="169"/>
      <c r="J2594" s="167"/>
      <c r="K2594" s="169"/>
      <c r="L2594" s="167"/>
      <c r="M2594" s="169"/>
      <c r="N2594" s="167"/>
      <c r="O2594" s="169"/>
    </row>
    <row r="2595" spans="2:15" s="453" customFormat="1" ht="14" x14ac:dyDescent="0.2">
      <c r="B2595" s="293"/>
      <c r="C2595" s="573" t="s">
        <v>1275</v>
      </c>
      <c r="D2595" s="573"/>
      <c r="E2595" s="573"/>
      <c r="F2595" s="573"/>
      <c r="G2595" s="573"/>
      <c r="H2595" s="296"/>
      <c r="I2595" s="168" t="s">
        <v>211</v>
      </c>
      <c r="J2595" s="166" t="s">
        <v>211</v>
      </c>
      <c r="K2595" s="168" t="s">
        <v>211</v>
      </c>
      <c r="L2595" s="166" t="s">
        <v>211</v>
      </c>
      <c r="M2595" s="168" t="s">
        <v>211</v>
      </c>
      <c r="N2595" s="166" t="s">
        <v>211</v>
      </c>
      <c r="O2595" s="168" t="s">
        <v>211</v>
      </c>
    </row>
    <row r="2596" spans="2:15" s="453" customFormat="1" ht="14" x14ac:dyDescent="0.2">
      <c r="B2596" s="293"/>
      <c r="C2596" s="572" t="s">
        <v>1276</v>
      </c>
      <c r="D2596" s="572"/>
      <c r="E2596" s="572"/>
      <c r="F2596" s="572"/>
      <c r="G2596" s="572"/>
      <c r="H2596" s="296"/>
      <c r="I2596" s="168" t="s">
        <v>211</v>
      </c>
      <c r="J2596" s="166" t="s">
        <v>211</v>
      </c>
      <c r="K2596" s="168" t="s">
        <v>211</v>
      </c>
      <c r="L2596" s="166" t="s">
        <v>211</v>
      </c>
      <c r="M2596" s="168" t="s">
        <v>211</v>
      </c>
      <c r="N2596" s="166" t="s">
        <v>211</v>
      </c>
      <c r="O2596" s="168" t="s">
        <v>211</v>
      </c>
    </row>
    <row r="2597" spans="2:15" s="453" customFormat="1" ht="14" x14ac:dyDescent="0.2">
      <c r="B2597" s="293"/>
      <c r="C2597" s="572"/>
      <c r="D2597" s="572"/>
      <c r="E2597" s="572"/>
      <c r="F2597" s="572"/>
      <c r="G2597" s="572"/>
      <c r="H2597" s="294"/>
      <c r="I2597" s="169"/>
      <c r="J2597" s="167"/>
      <c r="K2597" s="169"/>
      <c r="L2597" s="167"/>
      <c r="M2597" s="169"/>
      <c r="N2597" s="167"/>
      <c r="O2597" s="169"/>
    </row>
    <row r="2598" spans="2:15" s="453" customFormat="1" ht="14" x14ac:dyDescent="0.2">
      <c r="B2598" s="293"/>
      <c r="C2598" s="573" t="s">
        <v>1275</v>
      </c>
      <c r="D2598" s="573"/>
      <c r="E2598" s="573"/>
      <c r="F2598" s="573"/>
      <c r="G2598" s="573"/>
      <c r="H2598" s="296"/>
      <c r="I2598" s="168" t="s">
        <v>211</v>
      </c>
      <c r="J2598" s="166" t="s">
        <v>211</v>
      </c>
      <c r="K2598" s="168" t="s">
        <v>211</v>
      </c>
      <c r="L2598" s="166" t="s">
        <v>211</v>
      </c>
      <c r="M2598" s="168" t="s">
        <v>211</v>
      </c>
      <c r="N2598" s="166" t="s">
        <v>211</v>
      </c>
      <c r="O2598" s="168" t="s">
        <v>211</v>
      </c>
    </row>
    <row r="2599" spans="2:15" s="453" customFormat="1" ht="14" x14ac:dyDescent="0.2">
      <c r="B2599" s="293"/>
      <c r="F2599" s="586" t="s">
        <v>756</v>
      </c>
      <c r="G2599" s="586"/>
      <c r="H2599" s="587"/>
      <c r="I2599" s="169"/>
      <c r="J2599" s="167"/>
      <c r="K2599" s="169"/>
      <c r="L2599" s="167"/>
      <c r="M2599" s="169"/>
      <c r="N2599" s="167"/>
      <c r="O2599" s="169"/>
    </row>
    <row r="2600" spans="2:15" s="453" customFormat="1" ht="14" x14ac:dyDescent="0.2">
      <c r="B2600" s="302"/>
      <c r="C2600" s="303"/>
      <c r="D2600" s="303"/>
      <c r="E2600" s="303"/>
      <c r="F2600" s="797" t="s">
        <v>474</v>
      </c>
      <c r="G2600" s="797"/>
      <c r="H2600" s="798"/>
      <c r="I2600" s="169"/>
      <c r="J2600" s="167"/>
      <c r="K2600" s="169"/>
      <c r="L2600" s="167"/>
      <c r="M2600" s="169"/>
      <c r="N2600" s="167"/>
      <c r="O2600" s="169"/>
    </row>
    <row r="2601" spans="2:15" s="453" customFormat="1" ht="14" x14ac:dyDescent="0.2">
      <c r="B2601" s="291">
        <v>37</v>
      </c>
      <c r="C2601" s="598" t="s">
        <v>730</v>
      </c>
      <c r="D2601" s="598"/>
      <c r="E2601" s="598"/>
      <c r="F2601" s="598"/>
      <c r="G2601" s="598"/>
      <c r="H2601" s="292"/>
      <c r="I2601" s="168" t="s">
        <v>211</v>
      </c>
      <c r="J2601" s="166" t="s">
        <v>211</v>
      </c>
      <c r="K2601" s="168" t="s">
        <v>211</v>
      </c>
      <c r="L2601" s="166" t="s">
        <v>211</v>
      </c>
      <c r="M2601" s="168" t="s">
        <v>211</v>
      </c>
      <c r="N2601" s="166" t="s">
        <v>211</v>
      </c>
      <c r="O2601" s="168" t="s">
        <v>211</v>
      </c>
    </row>
    <row r="2602" spans="2:15" s="453" customFormat="1" ht="14" x14ac:dyDescent="0.2">
      <c r="B2602" s="293"/>
      <c r="C2602" s="572" t="s">
        <v>1277</v>
      </c>
      <c r="D2602" s="572"/>
      <c r="E2602" s="572"/>
      <c r="F2602" s="572"/>
      <c r="G2602" s="572"/>
      <c r="H2602" s="296"/>
      <c r="I2602" s="168" t="s">
        <v>211</v>
      </c>
      <c r="J2602" s="166" t="s">
        <v>211</v>
      </c>
      <c r="K2602" s="168" t="s">
        <v>211</v>
      </c>
      <c r="L2602" s="166" t="s">
        <v>211</v>
      </c>
      <c r="M2602" s="168" t="s">
        <v>211</v>
      </c>
      <c r="N2602" s="166" t="s">
        <v>211</v>
      </c>
      <c r="O2602" s="168" t="s">
        <v>211</v>
      </c>
    </row>
    <row r="2603" spans="2:15" s="453" customFormat="1" ht="14" x14ac:dyDescent="0.2">
      <c r="B2603" s="293"/>
      <c r="C2603" s="572"/>
      <c r="D2603" s="572"/>
      <c r="E2603" s="572"/>
      <c r="F2603" s="572"/>
      <c r="G2603" s="572"/>
      <c r="H2603" s="294"/>
      <c r="I2603" s="169"/>
      <c r="J2603" s="167"/>
      <c r="K2603" s="169"/>
      <c r="L2603" s="167"/>
      <c r="M2603" s="169"/>
      <c r="N2603" s="167"/>
      <c r="O2603" s="169"/>
    </row>
    <row r="2604" spans="2:15" s="453" customFormat="1" ht="14" x14ac:dyDescent="0.2">
      <c r="B2604" s="293"/>
      <c r="C2604" s="572" t="s">
        <v>1278</v>
      </c>
      <c r="D2604" s="572"/>
      <c r="E2604" s="572"/>
      <c r="F2604" s="572"/>
      <c r="G2604" s="572"/>
      <c r="H2604" s="296"/>
      <c r="I2604" s="168" t="s">
        <v>211</v>
      </c>
      <c r="J2604" s="166" t="s">
        <v>211</v>
      </c>
      <c r="K2604" s="168" t="s">
        <v>211</v>
      </c>
      <c r="L2604" s="166" t="s">
        <v>211</v>
      </c>
      <c r="M2604" s="168" t="s">
        <v>211</v>
      </c>
      <c r="N2604" s="166" t="s">
        <v>211</v>
      </c>
      <c r="O2604" s="168" t="s">
        <v>211</v>
      </c>
    </row>
    <row r="2605" spans="2:15" s="453" customFormat="1" ht="14" x14ac:dyDescent="0.2">
      <c r="B2605" s="293"/>
      <c r="C2605" s="572"/>
      <c r="D2605" s="572"/>
      <c r="E2605" s="572"/>
      <c r="F2605" s="572"/>
      <c r="G2605" s="572"/>
      <c r="H2605" s="294"/>
      <c r="I2605" s="169"/>
      <c r="J2605" s="167"/>
      <c r="K2605" s="169"/>
      <c r="L2605" s="167"/>
      <c r="M2605" s="169"/>
      <c r="N2605" s="167"/>
      <c r="O2605" s="169"/>
    </row>
    <row r="2606" spans="2:15" s="453" customFormat="1" ht="14" x14ac:dyDescent="0.2">
      <c r="B2606" s="293"/>
      <c r="F2606" s="593" t="s">
        <v>1170</v>
      </c>
      <c r="G2606" s="593"/>
      <c r="H2606" s="768"/>
      <c r="I2606" s="169"/>
      <c r="J2606" s="167"/>
      <c r="K2606" s="169"/>
      <c r="L2606" s="167"/>
      <c r="M2606" s="169"/>
      <c r="N2606" s="167"/>
      <c r="O2606" s="169"/>
    </row>
    <row r="2607" spans="2:15" s="453" customFormat="1" ht="14" x14ac:dyDescent="0.2">
      <c r="B2607" s="293"/>
      <c r="C2607" s="573" t="s">
        <v>1279</v>
      </c>
      <c r="D2607" s="573"/>
      <c r="E2607" s="573"/>
      <c r="F2607" s="573"/>
      <c r="G2607" s="573"/>
      <c r="H2607" s="296"/>
      <c r="I2607" s="168" t="s">
        <v>211</v>
      </c>
      <c r="J2607" s="166" t="s">
        <v>211</v>
      </c>
      <c r="K2607" s="168" t="s">
        <v>211</v>
      </c>
      <c r="L2607" s="166" t="s">
        <v>211</v>
      </c>
      <c r="M2607" s="168" t="s">
        <v>211</v>
      </c>
      <c r="N2607" s="166" t="s">
        <v>211</v>
      </c>
      <c r="O2607" s="168" t="s">
        <v>211</v>
      </c>
    </row>
    <row r="2608" spans="2:15" s="453" customFormat="1" ht="14" x14ac:dyDescent="0.2">
      <c r="B2608" s="293"/>
      <c r="F2608" s="586" t="s">
        <v>1280</v>
      </c>
      <c r="G2608" s="586"/>
      <c r="H2608" s="587"/>
      <c r="I2608" s="169"/>
      <c r="J2608" s="167"/>
      <c r="K2608" s="169"/>
      <c r="L2608" s="167"/>
      <c r="M2608" s="169"/>
      <c r="N2608" s="167"/>
      <c r="O2608" s="169"/>
    </row>
    <row r="2609" spans="2:15" s="453" customFormat="1" ht="14" x14ac:dyDescent="0.2">
      <c r="B2609" s="302"/>
      <c r="C2609" s="303"/>
      <c r="D2609" s="303"/>
      <c r="E2609" s="303"/>
      <c r="F2609" s="797" t="s">
        <v>1281</v>
      </c>
      <c r="G2609" s="797"/>
      <c r="H2609" s="798"/>
      <c r="I2609" s="169"/>
      <c r="J2609" s="167"/>
      <c r="K2609" s="169"/>
      <c r="L2609" s="167"/>
      <c r="M2609" s="169"/>
      <c r="N2609" s="167"/>
      <c r="O2609" s="169"/>
    </row>
    <row r="2610" spans="2:15" s="453" customFormat="1" ht="14" x14ac:dyDescent="0.2">
      <c r="B2610" s="291">
        <v>38</v>
      </c>
      <c r="C2610" s="602" t="s">
        <v>1282</v>
      </c>
      <c r="D2610" s="602"/>
      <c r="E2610" s="602"/>
      <c r="F2610" s="602"/>
      <c r="G2610" s="602"/>
      <c r="H2610" s="292"/>
      <c r="I2610" s="168" t="s">
        <v>211</v>
      </c>
      <c r="J2610" s="166" t="s">
        <v>211</v>
      </c>
      <c r="K2610" s="168" t="s">
        <v>211</v>
      </c>
      <c r="L2610" s="166" t="s">
        <v>211</v>
      </c>
      <c r="M2610" s="168" t="s">
        <v>211</v>
      </c>
      <c r="N2610" s="166" t="s">
        <v>211</v>
      </c>
      <c r="O2610" s="168" t="s">
        <v>211</v>
      </c>
    </row>
    <row r="2611" spans="2:15" s="453" customFormat="1" ht="14" x14ac:dyDescent="0.2">
      <c r="B2611" s="293"/>
      <c r="C2611" s="572"/>
      <c r="D2611" s="572"/>
      <c r="E2611" s="572"/>
      <c r="F2611" s="572"/>
      <c r="G2611" s="572"/>
      <c r="H2611" s="294"/>
      <c r="I2611" s="169"/>
      <c r="J2611" s="167"/>
      <c r="K2611" s="169"/>
      <c r="L2611" s="167"/>
      <c r="M2611" s="169"/>
      <c r="N2611" s="167"/>
      <c r="O2611" s="169"/>
    </row>
    <row r="2612" spans="2:15" s="453" customFormat="1" ht="14" x14ac:dyDescent="0.2">
      <c r="B2612" s="293"/>
      <c r="C2612" s="572"/>
      <c r="D2612" s="572"/>
      <c r="E2612" s="572"/>
      <c r="F2612" s="572"/>
      <c r="G2612" s="572"/>
      <c r="H2612" s="294"/>
      <c r="I2612" s="169"/>
      <c r="J2612" s="167"/>
      <c r="K2612" s="169"/>
      <c r="L2612" s="167"/>
      <c r="M2612" s="169"/>
      <c r="N2612" s="167"/>
      <c r="O2612" s="169"/>
    </row>
    <row r="2613" spans="2:15" s="453" customFormat="1" ht="14" x14ac:dyDescent="0.2">
      <c r="B2613" s="293"/>
      <c r="F2613" s="593" t="s">
        <v>1170</v>
      </c>
      <c r="G2613" s="593"/>
      <c r="H2613" s="768"/>
      <c r="I2613" s="169"/>
      <c r="J2613" s="167"/>
      <c r="K2613" s="169"/>
      <c r="L2613" s="167"/>
      <c r="M2613" s="169"/>
      <c r="N2613" s="167"/>
      <c r="O2613" s="169"/>
    </row>
    <row r="2614" spans="2:15" s="453" customFormat="1" ht="14" x14ac:dyDescent="0.2">
      <c r="B2614" s="293"/>
      <c r="C2614" s="573" t="s">
        <v>637</v>
      </c>
      <c r="D2614" s="573"/>
      <c r="E2614" s="573"/>
      <c r="F2614" s="573"/>
      <c r="G2614" s="573"/>
      <c r="H2614" s="296"/>
      <c r="I2614" s="168" t="s">
        <v>211</v>
      </c>
      <c r="J2614" s="166" t="s">
        <v>211</v>
      </c>
      <c r="K2614" s="168" t="s">
        <v>211</v>
      </c>
      <c r="L2614" s="166" t="s">
        <v>211</v>
      </c>
      <c r="M2614" s="168" t="s">
        <v>211</v>
      </c>
      <c r="N2614" s="166" t="s">
        <v>211</v>
      </c>
      <c r="O2614" s="168" t="s">
        <v>211</v>
      </c>
    </row>
    <row r="2615" spans="2:15" s="453" customFormat="1" ht="14" x14ac:dyDescent="0.2">
      <c r="B2615" s="293"/>
      <c r="F2615" s="586" t="s">
        <v>733</v>
      </c>
      <c r="G2615" s="586"/>
      <c r="H2615" s="587"/>
      <c r="I2615" s="169"/>
      <c r="J2615" s="167"/>
      <c r="K2615" s="169"/>
      <c r="L2615" s="167"/>
      <c r="M2615" s="169"/>
      <c r="N2615" s="167"/>
      <c r="O2615" s="169"/>
    </row>
    <row r="2616" spans="2:15" s="453" customFormat="1" ht="14" x14ac:dyDescent="0.2">
      <c r="B2616" s="293"/>
      <c r="D2616" s="795" t="s">
        <v>1283</v>
      </c>
      <c r="E2616" s="795"/>
      <c r="F2616" s="795"/>
      <c r="G2616" s="795"/>
      <c r="H2616" s="800"/>
      <c r="I2616" s="169"/>
      <c r="J2616" s="167"/>
      <c r="K2616" s="169"/>
      <c r="L2616" s="167"/>
      <c r="M2616" s="169"/>
      <c r="N2616" s="167"/>
      <c r="O2616" s="169"/>
    </row>
    <row r="2617" spans="2:15" s="453" customFormat="1" ht="14" x14ac:dyDescent="0.2">
      <c r="B2617" s="302"/>
      <c r="C2617" s="303"/>
      <c r="D2617" s="303"/>
      <c r="E2617" s="797" t="s">
        <v>1284</v>
      </c>
      <c r="F2617" s="797"/>
      <c r="G2617" s="797"/>
      <c r="H2617" s="798"/>
      <c r="I2617" s="169"/>
      <c r="J2617" s="167"/>
      <c r="K2617" s="169"/>
      <c r="L2617" s="167"/>
      <c r="M2617" s="169"/>
      <c r="N2617" s="167"/>
      <c r="O2617" s="169"/>
    </row>
    <row r="2618" spans="2:15" s="453" customFormat="1" ht="14" x14ac:dyDescent="0.2">
      <c r="B2618" s="291">
        <v>39</v>
      </c>
      <c r="C2618" s="598" t="s">
        <v>1233</v>
      </c>
      <c r="D2618" s="598"/>
      <c r="E2618" s="598"/>
      <c r="F2618" s="598"/>
      <c r="G2618" s="598"/>
      <c r="H2618" s="292"/>
      <c r="I2618" s="168" t="s">
        <v>211</v>
      </c>
      <c r="J2618" s="166" t="s">
        <v>211</v>
      </c>
      <c r="K2618" s="168" t="s">
        <v>211</v>
      </c>
      <c r="L2618" s="166" t="s">
        <v>211</v>
      </c>
      <c r="M2618" s="168" t="s">
        <v>211</v>
      </c>
      <c r="N2618" s="166" t="s">
        <v>211</v>
      </c>
      <c r="O2618" s="168" t="s">
        <v>211</v>
      </c>
    </row>
    <row r="2619" spans="2:15" s="453" customFormat="1" ht="14" x14ac:dyDescent="0.2">
      <c r="B2619" s="293"/>
      <c r="C2619" s="572" t="s">
        <v>1285</v>
      </c>
      <c r="D2619" s="572"/>
      <c r="E2619" s="572"/>
      <c r="F2619" s="572"/>
      <c r="G2619" s="572"/>
      <c r="H2619" s="296"/>
      <c r="I2619" s="168" t="s">
        <v>211</v>
      </c>
      <c r="J2619" s="166" t="s">
        <v>211</v>
      </c>
      <c r="K2619" s="168" t="s">
        <v>211</v>
      </c>
      <c r="L2619" s="166" t="s">
        <v>211</v>
      </c>
      <c r="M2619" s="168" t="s">
        <v>211</v>
      </c>
      <c r="N2619" s="166" t="s">
        <v>211</v>
      </c>
      <c r="O2619" s="168" t="s">
        <v>211</v>
      </c>
    </row>
    <row r="2620" spans="2:15" s="453" customFormat="1" ht="14" x14ac:dyDescent="0.2">
      <c r="B2620" s="293"/>
      <c r="C2620" s="572"/>
      <c r="D2620" s="572"/>
      <c r="E2620" s="572"/>
      <c r="F2620" s="572"/>
      <c r="G2620" s="572"/>
      <c r="H2620" s="294"/>
      <c r="I2620" s="169"/>
      <c r="J2620" s="167"/>
      <c r="K2620" s="169"/>
      <c r="L2620" s="167"/>
      <c r="M2620" s="169"/>
      <c r="N2620" s="167"/>
      <c r="O2620" s="169"/>
    </row>
    <row r="2621" spans="2:15" s="453" customFormat="1" ht="14" x14ac:dyDescent="0.2">
      <c r="B2621" s="293"/>
      <c r="C2621" s="572" t="s">
        <v>1286</v>
      </c>
      <c r="D2621" s="572"/>
      <c r="E2621" s="572"/>
      <c r="F2621" s="572"/>
      <c r="G2621" s="572"/>
      <c r="H2621" s="296"/>
      <c r="I2621" s="168" t="s">
        <v>211</v>
      </c>
      <c r="J2621" s="166" t="s">
        <v>211</v>
      </c>
      <c r="K2621" s="168" t="s">
        <v>211</v>
      </c>
      <c r="L2621" s="166" t="s">
        <v>211</v>
      </c>
      <c r="M2621" s="168" t="s">
        <v>211</v>
      </c>
      <c r="N2621" s="166" t="s">
        <v>211</v>
      </c>
      <c r="O2621" s="168" t="s">
        <v>211</v>
      </c>
    </row>
    <row r="2622" spans="2:15" s="453" customFormat="1" ht="14" x14ac:dyDescent="0.2">
      <c r="B2622" s="293"/>
      <c r="C2622" s="572"/>
      <c r="D2622" s="572"/>
      <c r="E2622" s="572"/>
      <c r="F2622" s="572"/>
      <c r="G2622" s="572"/>
      <c r="H2622" s="294"/>
      <c r="I2622" s="169"/>
      <c r="J2622" s="167"/>
      <c r="K2622" s="169"/>
      <c r="L2622" s="167"/>
      <c r="M2622" s="169"/>
      <c r="N2622" s="167"/>
      <c r="O2622" s="169"/>
    </row>
    <row r="2623" spans="2:15" s="453" customFormat="1" ht="14" x14ac:dyDescent="0.2">
      <c r="B2623" s="293"/>
      <c r="F2623" s="593" t="s">
        <v>1170</v>
      </c>
      <c r="G2623" s="593"/>
      <c r="H2623" s="768"/>
      <c r="I2623" s="169"/>
      <c r="J2623" s="167"/>
      <c r="K2623" s="169"/>
      <c r="L2623" s="167"/>
      <c r="M2623" s="169"/>
      <c r="N2623" s="167"/>
      <c r="O2623" s="169"/>
    </row>
    <row r="2624" spans="2:15" s="453" customFormat="1" ht="14" x14ac:dyDescent="0.2">
      <c r="B2624" s="293"/>
      <c r="C2624" s="573" t="s">
        <v>637</v>
      </c>
      <c r="D2624" s="573"/>
      <c r="E2624" s="573"/>
      <c r="F2624" s="573"/>
      <c r="G2624" s="573"/>
      <c r="H2624" s="296"/>
      <c r="I2624" s="168" t="s">
        <v>211</v>
      </c>
      <c r="J2624" s="166" t="s">
        <v>211</v>
      </c>
      <c r="K2624" s="168" t="s">
        <v>211</v>
      </c>
      <c r="L2624" s="166" t="s">
        <v>211</v>
      </c>
      <c r="M2624" s="168" t="s">
        <v>211</v>
      </c>
      <c r="N2624" s="166" t="s">
        <v>211</v>
      </c>
      <c r="O2624" s="168" t="s">
        <v>211</v>
      </c>
    </row>
    <row r="2625" spans="2:15" s="453" customFormat="1" ht="14" x14ac:dyDescent="0.2">
      <c r="B2625" s="293"/>
      <c r="F2625" s="586" t="s">
        <v>733</v>
      </c>
      <c r="G2625" s="586"/>
      <c r="H2625" s="587"/>
      <c r="I2625" s="169"/>
      <c r="J2625" s="167"/>
      <c r="K2625" s="169"/>
      <c r="L2625" s="167"/>
      <c r="M2625" s="169"/>
      <c r="N2625" s="167"/>
      <c r="O2625" s="169"/>
    </row>
    <row r="2626" spans="2:15" s="453" customFormat="1" ht="14" x14ac:dyDescent="0.2">
      <c r="B2626" s="302"/>
      <c r="C2626" s="303"/>
      <c r="D2626" s="303"/>
      <c r="E2626" s="303"/>
      <c r="F2626" s="797" t="s">
        <v>474</v>
      </c>
      <c r="G2626" s="797"/>
      <c r="H2626" s="798"/>
      <c r="I2626" s="169"/>
      <c r="J2626" s="167"/>
      <c r="K2626" s="169"/>
      <c r="L2626" s="167"/>
      <c r="M2626" s="169"/>
      <c r="N2626" s="167"/>
      <c r="O2626" s="169"/>
    </row>
    <row r="2627" spans="2:15" s="453" customFormat="1" ht="14" x14ac:dyDescent="0.2">
      <c r="B2627" s="112"/>
      <c r="I2627" s="135"/>
      <c r="J2627" s="105"/>
      <c r="K2627" s="135"/>
      <c r="L2627" s="105"/>
      <c r="M2627" s="135"/>
      <c r="N2627" s="105"/>
      <c r="O2627" s="135"/>
    </row>
    <row r="2628" spans="2:15" s="453" customFormat="1" ht="14" x14ac:dyDescent="0.2">
      <c r="B2628" s="382" t="s">
        <v>1291</v>
      </c>
      <c r="C2628" s="383"/>
      <c r="D2628" s="383"/>
      <c r="E2628" s="383"/>
      <c r="F2628" s="383"/>
      <c r="G2628" s="384"/>
      <c r="H2628" s="385"/>
      <c r="I2628" s="135"/>
      <c r="J2628" s="105"/>
      <c r="K2628" s="135"/>
      <c r="L2628" s="105"/>
      <c r="M2628" s="135"/>
      <c r="N2628" s="105"/>
      <c r="O2628" s="135"/>
    </row>
    <row r="2629" spans="2:15" s="453" customFormat="1" ht="14" x14ac:dyDescent="0.2">
      <c r="B2629" s="291">
        <v>1</v>
      </c>
      <c r="C2629" s="598" t="s">
        <v>726</v>
      </c>
      <c r="D2629" s="598"/>
      <c r="E2629" s="598"/>
      <c r="F2629" s="598"/>
      <c r="G2629" s="598"/>
      <c r="H2629" s="292"/>
      <c r="I2629" s="168" t="s">
        <v>211</v>
      </c>
      <c r="J2629" s="166" t="s">
        <v>211</v>
      </c>
      <c r="K2629" s="168" t="s">
        <v>211</v>
      </c>
      <c r="L2629" s="166" t="s">
        <v>211</v>
      </c>
      <c r="M2629" s="168" t="s">
        <v>211</v>
      </c>
      <c r="N2629" s="166" t="s">
        <v>211</v>
      </c>
      <c r="O2629" s="168" t="s">
        <v>211</v>
      </c>
    </row>
    <row r="2630" spans="2:15" s="453" customFormat="1" ht="14" x14ac:dyDescent="0.2">
      <c r="B2630" s="293"/>
      <c r="F2630" s="586" t="s">
        <v>727</v>
      </c>
      <c r="G2630" s="586"/>
      <c r="H2630" s="587"/>
      <c r="I2630" s="169"/>
      <c r="J2630" s="167"/>
      <c r="K2630" s="169"/>
      <c r="L2630" s="167"/>
      <c r="M2630" s="169"/>
      <c r="N2630" s="167"/>
      <c r="O2630" s="169"/>
    </row>
    <row r="2631" spans="2:15" s="453" customFormat="1" ht="14" x14ac:dyDescent="0.2">
      <c r="B2631" s="293"/>
      <c r="C2631" s="573" t="s">
        <v>843</v>
      </c>
      <c r="D2631" s="573"/>
      <c r="E2631" s="573"/>
      <c r="F2631" s="573"/>
      <c r="G2631" s="573"/>
      <c r="H2631" s="296"/>
      <c r="I2631" s="168" t="s">
        <v>211</v>
      </c>
      <c r="J2631" s="166" t="s">
        <v>211</v>
      </c>
      <c r="K2631" s="168" t="s">
        <v>211</v>
      </c>
      <c r="L2631" s="166" t="s">
        <v>211</v>
      </c>
      <c r="M2631" s="168" t="s">
        <v>211</v>
      </c>
      <c r="N2631" s="166" t="s">
        <v>211</v>
      </c>
      <c r="O2631" s="168" t="s">
        <v>211</v>
      </c>
    </row>
    <row r="2632" spans="2:15" s="453" customFormat="1" ht="14" x14ac:dyDescent="0.2">
      <c r="B2632" s="293"/>
      <c r="C2632" s="573" t="s">
        <v>728</v>
      </c>
      <c r="D2632" s="573"/>
      <c r="E2632" s="573"/>
      <c r="F2632" s="573"/>
      <c r="G2632" s="573"/>
      <c r="H2632" s="296"/>
      <c r="I2632" s="168" t="s">
        <v>211</v>
      </c>
      <c r="J2632" s="166" t="s">
        <v>211</v>
      </c>
      <c r="K2632" s="168" t="s">
        <v>211</v>
      </c>
      <c r="L2632" s="166" t="s">
        <v>211</v>
      </c>
      <c r="M2632" s="168" t="s">
        <v>211</v>
      </c>
      <c r="N2632" s="166" t="s">
        <v>211</v>
      </c>
      <c r="O2632" s="168" t="s">
        <v>211</v>
      </c>
    </row>
    <row r="2633" spans="2:15" s="453" customFormat="1" ht="14" x14ac:dyDescent="0.2">
      <c r="B2633" s="293"/>
      <c r="C2633" s="573" t="s">
        <v>729</v>
      </c>
      <c r="D2633" s="573"/>
      <c r="E2633" s="573"/>
      <c r="F2633" s="573"/>
      <c r="G2633" s="573"/>
      <c r="H2633" s="296"/>
      <c r="I2633" s="168" t="s">
        <v>211</v>
      </c>
      <c r="J2633" s="166" t="s">
        <v>211</v>
      </c>
      <c r="K2633" s="168" t="s">
        <v>211</v>
      </c>
      <c r="L2633" s="166" t="s">
        <v>211</v>
      </c>
      <c r="M2633" s="168" t="s">
        <v>211</v>
      </c>
      <c r="N2633" s="166" t="s">
        <v>211</v>
      </c>
      <c r="O2633" s="168" t="s">
        <v>211</v>
      </c>
    </row>
    <row r="2634" spans="2:15" s="453" customFormat="1" ht="14" x14ac:dyDescent="0.2">
      <c r="B2634" s="302"/>
      <c r="C2634" s="303"/>
      <c r="D2634" s="303"/>
      <c r="E2634" s="303"/>
      <c r="F2634" s="797" t="s">
        <v>920</v>
      </c>
      <c r="G2634" s="797"/>
      <c r="H2634" s="798"/>
      <c r="I2634" s="169"/>
      <c r="J2634" s="167"/>
      <c r="K2634" s="169"/>
      <c r="L2634" s="167"/>
      <c r="M2634" s="169"/>
      <c r="N2634" s="167"/>
      <c r="O2634" s="169"/>
    </row>
    <row r="2635" spans="2:15" s="453" customFormat="1" ht="14" x14ac:dyDescent="0.2">
      <c r="B2635" s="291">
        <v>2</v>
      </c>
      <c r="C2635" s="598" t="s">
        <v>730</v>
      </c>
      <c r="D2635" s="598"/>
      <c r="E2635" s="598"/>
      <c r="F2635" s="598"/>
      <c r="G2635" s="598"/>
      <c r="H2635" s="292"/>
      <c r="I2635" s="168" t="s">
        <v>211</v>
      </c>
      <c r="J2635" s="166" t="s">
        <v>211</v>
      </c>
      <c r="K2635" s="168" t="s">
        <v>211</v>
      </c>
      <c r="L2635" s="166" t="s">
        <v>211</v>
      </c>
      <c r="M2635" s="168" t="s">
        <v>211</v>
      </c>
      <c r="N2635" s="166" t="s">
        <v>211</v>
      </c>
      <c r="O2635" s="168" t="s">
        <v>211</v>
      </c>
    </row>
    <row r="2636" spans="2:15" s="453" customFormat="1" ht="14" x14ac:dyDescent="0.2">
      <c r="B2636" s="293"/>
      <c r="C2636" s="572" t="s">
        <v>857</v>
      </c>
      <c r="D2636" s="572"/>
      <c r="E2636" s="572"/>
      <c r="F2636" s="572"/>
      <c r="G2636" s="572"/>
      <c r="H2636" s="296"/>
      <c r="I2636" s="168" t="s">
        <v>211</v>
      </c>
      <c r="J2636" s="166" t="s">
        <v>211</v>
      </c>
      <c r="K2636" s="168" t="s">
        <v>211</v>
      </c>
      <c r="L2636" s="166" t="s">
        <v>211</v>
      </c>
      <c r="M2636" s="168" t="s">
        <v>211</v>
      </c>
      <c r="N2636" s="166" t="s">
        <v>211</v>
      </c>
      <c r="O2636" s="168" t="s">
        <v>211</v>
      </c>
    </row>
    <row r="2637" spans="2:15" s="453" customFormat="1" ht="14" x14ac:dyDescent="0.2">
      <c r="B2637" s="293"/>
      <c r="C2637" s="572"/>
      <c r="D2637" s="572"/>
      <c r="E2637" s="572"/>
      <c r="F2637" s="572"/>
      <c r="G2637" s="572"/>
      <c r="H2637" s="294"/>
      <c r="I2637" s="169"/>
      <c r="J2637" s="167"/>
      <c r="K2637" s="169"/>
      <c r="L2637" s="167"/>
      <c r="M2637" s="169"/>
      <c r="N2637" s="167"/>
      <c r="O2637" s="169"/>
    </row>
    <row r="2638" spans="2:15" s="453" customFormat="1" ht="14" x14ac:dyDescent="0.2">
      <c r="B2638" s="293"/>
      <c r="C2638" s="572" t="s">
        <v>1292</v>
      </c>
      <c r="D2638" s="572"/>
      <c r="E2638" s="572"/>
      <c r="F2638" s="572"/>
      <c r="G2638" s="572"/>
      <c r="H2638" s="296"/>
      <c r="I2638" s="168" t="s">
        <v>211</v>
      </c>
      <c r="J2638" s="166" t="s">
        <v>211</v>
      </c>
      <c r="K2638" s="168" t="s">
        <v>211</v>
      </c>
      <c r="L2638" s="166" t="s">
        <v>211</v>
      </c>
      <c r="M2638" s="168" t="s">
        <v>211</v>
      </c>
      <c r="N2638" s="166" t="s">
        <v>211</v>
      </c>
      <c r="O2638" s="168" t="s">
        <v>211</v>
      </c>
    </row>
    <row r="2639" spans="2:15" s="453" customFormat="1" ht="14" x14ac:dyDescent="0.2">
      <c r="B2639" s="293"/>
      <c r="C2639" s="572"/>
      <c r="D2639" s="572"/>
      <c r="E2639" s="572"/>
      <c r="F2639" s="572"/>
      <c r="G2639" s="572"/>
      <c r="H2639" s="294"/>
      <c r="I2639" s="169"/>
      <c r="J2639" s="167"/>
      <c r="K2639" s="169"/>
      <c r="L2639" s="167"/>
      <c r="M2639" s="169"/>
      <c r="N2639" s="167"/>
      <c r="O2639" s="169"/>
    </row>
    <row r="2640" spans="2:15" s="453" customFormat="1" ht="14" x14ac:dyDescent="0.2">
      <c r="B2640" s="293"/>
      <c r="C2640" s="573" t="s">
        <v>1293</v>
      </c>
      <c r="D2640" s="573"/>
      <c r="E2640" s="573"/>
      <c r="F2640" s="573"/>
      <c r="G2640" s="573"/>
      <c r="H2640" s="296"/>
      <c r="I2640" s="168" t="s">
        <v>211</v>
      </c>
      <c r="J2640" s="166" t="s">
        <v>211</v>
      </c>
      <c r="K2640" s="168" t="s">
        <v>211</v>
      </c>
      <c r="L2640" s="166" t="s">
        <v>211</v>
      </c>
      <c r="M2640" s="168" t="s">
        <v>211</v>
      </c>
      <c r="N2640" s="166" t="s">
        <v>211</v>
      </c>
      <c r="O2640" s="168" t="s">
        <v>211</v>
      </c>
    </row>
    <row r="2641" spans="2:15" s="453" customFormat="1" ht="14" x14ac:dyDescent="0.2">
      <c r="B2641" s="293"/>
      <c r="F2641" s="586" t="s">
        <v>733</v>
      </c>
      <c r="G2641" s="586"/>
      <c r="H2641" s="587"/>
      <c r="I2641" s="169"/>
      <c r="J2641" s="167"/>
      <c r="K2641" s="169"/>
      <c r="L2641" s="167"/>
      <c r="M2641" s="169"/>
      <c r="N2641" s="167"/>
      <c r="O2641" s="169"/>
    </row>
    <row r="2642" spans="2:15" s="453" customFormat="1" ht="14" x14ac:dyDescent="0.2">
      <c r="B2642" s="293"/>
      <c r="F2642" s="770" t="s">
        <v>858</v>
      </c>
      <c r="G2642" s="770"/>
      <c r="H2642" s="771"/>
      <c r="I2642" s="169"/>
      <c r="J2642" s="167"/>
      <c r="K2642" s="169"/>
      <c r="L2642" s="167"/>
      <c r="M2642" s="169"/>
      <c r="N2642" s="167"/>
      <c r="O2642" s="169"/>
    </row>
    <row r="2643" spans="2:15" s="453" customFormat="1" ht="14" x14ac:dyDescent="0.2">
      <c r="B2643" s="302"/>
      <c r="C2643" s="303"/>
      <c r="D2643" s="303"/>
      <c r="E2643" s="603" t="s">
        <v>734</v>
      </c>
      <c r="F2643" s="603"/>
      <c r="G2643" s="603"/>
      <c r="H2643" s="769"/>
      <c r="I2643" s="169"/>
      <c r="J2643" s="167"/>
      <c r="K2643" s="169"/>
      <c r="L2643" s="167"/>
      <c r="M2643" s="169"/>
      <c r="N2643" s="167"/>
      <c r="O2643" s="169"/>
    </row>
    <row r="2644" spans="2:15" s="453" customFormat="1" ht="14" x14ac:dyDescent="0.2">
      <c r="B2644" s="291">
        <v>3</v>
      </c>
      <c r="C2644" s="142"/>
      <c r="D2644" s="142"/>
      <c r="E2644" s="142"/>
      <c r="F2644" s="386" t="s">
        <v>736</v>
      </c>
      <c r="G2644" s="386"/>
      <c r="H2644" s="387"/>
      <c r="I2644" s="169"/>
      <c r="J2644" s="167"/>
      <c r="K2644" s="169"/>
      <c r="L2644" s="167"/>
      <c r="M2644" s="169"/>
      <c r="N2644" s="167"/>
      <c r="O2644" s="169"/>
    </row>
    <row r="2645" spans="2:15" s="453" customFormat="1" ht="14" x14ac:dyDescent="0.2">
      <c r="B2645" s="293"/>
      <c r="E2645" s="375" t="s">
        <v>859</v>
      </c>
      <c r="F2645" s="375"/>
      <c r="G2645" s="375"/>
      <c r="H2645" s="388"/>
      <c r="I2645" s="169"/>
      <c r="J2645" s="167"/>
      <c r="K2645" s="169"/>
      <c r="L2645" s="167"/>
      <c r="M2645" s="169"/>
      <c r="N2645" s="167"/>
      <c r="O2645" s="169"/>
    </row>
    <row r="2646" spans="2:15" s="453" customFormat="1" ht="14" x14ac:dyDescent="0.2">
      <c r="B2646" s="293"/>
      <c r="C2646" s="573" t="s">
        <v>1294</v>
      </c>
      <c r="D2646" s="573"/>
      <c r="E2646" s="573"/>
      <c r="F2646" s="573"/>
      <c r="G2646" s="573"/>
      <c r="H2646" s="296"/>
      <c r="I2646" s="168" t="s">
        <v>211</v>
      </c>
      <c r="J2646" s="166" t="s">
        <v>211</v>
      </c>
      <c r="K2646" s="168" t="s">
        <v>211</v>
      </c>
      <c r="L2646" s="166" t="s">
        <v>211</v>
      </c>
      <c r="M2646" s="168" t="s">
        <v>211</v>
      </c>
      <c r="N2646" s="166" t="s">
        <v>211</v>
      </c>
      <c r="O2646" s="168" t="s">
        <v>211</v>
      </c>
    </row>
    <row r="2647" spans="2:15" s="453" customFormat="1" ht="14" x14ac:dyDescent="0.2">
      <c r="B2647" s="293"/>
      <c r="C2647" s="573" t="s">
        <v>739</v>
      </c>
      <c r="D2647" s="573"/>
      <c r="E2647" s="573"/>
      <c r="F2647" s="573"/>
      <c r="G2647" s="573"/>
      <c r="H2647" s="296"/>
      <c r="I2647" s="168" t="s">
        <v>211</v>
      </c>
      <c r="J2647" s="166" t="s">
        <v>211</v>
      </c>
      <c r="K2647" s="168" t="s">
        <v>211</v>
      </c>
      <c r="L2647" s="166" t="s">
        <v>211</v>
      </c>
      <c r="M2647" s="168" t="s">
        <v>211</v>
      </c>
      <c r="N2647" s="166" t="s">
        <v>211</v>
      </c>
      <c r="O2647" s="168" t="s">
        <v>211</v>
      </c>
    </row>
    <row r="2648" spans="2:15" s="453" customFormat="1" ht="14" x14ac:dyDescent="0.2">
      <c r="B2648" s="293"/>
      <c r="F2648" s="770" t="s">
        <v>861</v>
      </c>
      <c r="G2648" s="770"/>
      <c r="H2648" s="771"/>
      <c r="I2648" s="169"/>
      <c r="J2648" s="167"/>
      <c r="K2648" s="169"/>
      <c r="L2648" s="167"/>
      <c r="M2648" s="169"/>
      <c r="N2648" s="167"/>
      <c r="O2648" s="169"/>
    </row>
    <row r="2649" spans="2:15" s="453" customFormat="1" ht="14" x14ac:dyDescent="0.2">
      <c r="B2649" s="293"/>
      <c r="F2649" s="770" t="s">
        <v>862</v>
      </c>
      <c r="G2649" s="770"/>
      <c r="H2649" s="771"/>
      <c r="I2649" s="169"/>
      <c r="J2649" s="167"/>
      <c r="K2649" s="169"/>
      <c r="L2649" s="167"/>
      <c r="M2649" s="169"/>
      <c r="N2649" s="167"/>
      <c r="O2649" s="169"/>
    </row>
    <row r="2650" spans="2:15" s="453" customFormat="1" ht="14" x14ac:dyDescent="0.2">
      <c r="B2650" s="302"/>
      <c r="C2650" s="303"/>
      <c r="D2650" s="303"/>
      <c r="E2650" s="303"/>
      <c r="F2650" s="613" t="s">
        <v>863</v>
      </c>
      <c r="G2650" s="613"/>
      <c r="H2650" s="775"/>
      <c r="I2650" s="169"/>
      <c r="J2650" s="167"/>
      <c r="K2650" s="169"/>
      <c r="L2650" s="167"/>
      <c r="M2650" s="169"/>
      <c r="N2650" s="167"/>
      <c r="O2650" s="169"/>
    </row>
    <row r="2651" spans="2:15" s="453" customFormat="1" ht="14" x14ac:dyDescent="0.2">
      <c r="B2651" s="291">
        <v>4</v>
      </c>
      <c r="C2651" s="598" t="s">
        <v>1295</v>
      </c>
      <c r="D2651" s="598"/>
      <c r="E2651" s="598"/>
      <c r="F2651" s="598"/>
      <c r="G2651" s="598"/>
      <c r="H2651" s="292"/>
      <c r="I2651" s="168" t="s">
        <v>211</v>
      </c>
      <c r="J2651" s="166" t="s">
        <v>211</v>
      </c>
      <c r="K2651" s="168" t="s">
        <v>211</v>
      </c>
      <c r="L2651" s="166" t="s">
        <v>211</v>
      </c>
      <c r="M2651" s="168" t="s">
        <v>211</v>
      </c>
      <c r="N2651" s="166" t="s">
        <v>211</v>
      </c>
      <c r="O2651" s="168" t="s">
        <v>211</v>
      </c>
    </row>
    <row r="2652" spans="2:15" s="453" customFormat="1" ht="14" x14ac:dyDescent="0.2">
      <c r="B2652" s="293"/>
      <c r="C2652" s="604" t="s">
        <v>1296</v>
      </c>
      <c r="D2652" s="604"/>
      <c r="E2652" s="604" t="s">
        <v>1297</v>
      </c>
      <c r="F2652" s="604"/>
      <c r="G2652" s="604"/>
      <c r="H2652" s="294"/>
      <c r="I2652" s="169"/>
      <c r="J2652" s="167"/>
      <c r="K2652" s="169"/>
      <c r="L2652" s="167"/>
      <c r="M2652" s="169"/>
      <c r="N2652" s="167"/>
      <c r="O2652" s="169"/>
    </row>
    <row r="2653" spans="2:15" s="453" customFormat="1" ht="14" x14ac:dyDescent="0.2">
      <c r="B2653" s="293"/>
      <c r="C2653" s="573" t="s">
        <v>1298</v>
      </c>
      <c r="D2653" s="573"/>
      <c r="E2653" s="573"/>
      <c r="F2653" s="573"/>
      <c r="G2653" s="573"/>
      <c r="H2653" s="294"/>
      <c r="I2653" s="169"/>
      <c r="J2653" s="167"/>
      <c r="K2653" s="169"/>
      <c r="L2653" s="167"/>
      <c r="M2653" s="169"/>
      <c r="N2653" s="167"/>
      <c r="O2653" s="169"/>
    </row>
    <row r="2654" spans="2:15" s="453" customFormat="1" ht="14" x14ac:dyDescent="0.2">
      <c r="B2654" s="293"/>
      <c r="C2654" s="572" t="s">
        <v>1299</v>
      </c>
      <c r="D2654" s="572"/>
      <c r="E2654" s="572"/>
      <c r="F2654" s="572"/>
      <c r="G2654" s="572"/>
      <c r="H2654" s="296"/>
      <c r="I2654" s="168" t="s">
        <v>211</v>
      </c>
      <c r="J2654" s="166" t="s">
        <v>211</v>
      </c>
      <c r="K2654" s="168" t="s">
        <v>211</v>
      </c>
      <c r="L2654" s="166" t="s">
        <v>211</v>
      </c>
      <c r="M2654" s="168" t="s">
        <v>211</v>
      </c>
      <c r="N2654" s="166" t="s">
        <v>211</v>
      </c>
      <c r="O2654" s="168" t="s">
        <v>211</v>
      </c>
    </row>
    <row r="2655" spans="2:15" s="453" customFormat="1" ht="14" x14ac:dyDescent="0.2">
      <c r="B2655" s="293"/>
      <c r="C2655" s="572"/>
      <c r="D2655" s="572"/>
      <c r="E2655" s="572"/>
      <c r="F2655" s="572"/>
      <c r="G2655" s="572"/>
      <c r="H2655" s="294"/>
      <c r="I2655" s="169"/>
      <c r="J2655" s="167"/>
      <c r="K2655" s="169"/>
      <c r="L2655" s="167"/>
      <c r="M2655" s="169"/>
      <c r="N2655" s="167"/>
      <c r="O2655" s="169"/>
    </row>
    <row r="2656" spans="2:15" s="453" customFormat="1" ht="14" x14ac:dyDescent="0.2">
      <c r="B2656" s="293"/>
      <c r="C2656" s="572"/>
      <c r="D2656" s="572"/>
      <c r="E2656" s="572"/>
      <c r="F2656" s="572"/>
      <c r="G2656" s="572"/>
      <c r="H2656" s="294"/>
      <c r="I2656" s="169"/>
      <c r="J2656" s="167"/>
      <c r="K2656" s="169"/>
      <c r="L2656" s="167"/>
      <c r="M2656" s="169"/>
      <c r="N2656" s="167"/>
      <c r="O2656" s="169"/>
    </row>
    <row r="2657" spans="2:15" s="453" customFormat="1" ht="14" x14ac:dyDescent="0.2">
      <c r="B2657" s="293"/>
      <c r="C2657" s="573" t="s">
        <v>1300</v>
      </c>
      <c r="D2657" s="573"/>
      <c r="E2657" s="573"/>
      <c r="F2657" s="573"/>
      <c r="G2657" s="573"/>
      <c r="H2657" s="296"/>
      <c r="I2657" s="168" t="s">
        <v>211</v>
      </c>
      <c r="J2657" s="166" t="s">
        <v>211</v>
      </c>
      <c r="K2657" s="168" t="s">
        <v>211</v>
      </c>
      <c r="L2657" s="166" t="s">
        <v>211</v>
      </c>
      <c r="M2657" s="168" t="s">
        <v>211</v>
      </c>
      <c r="N2657" s="166" t="s">
        <v>211</v>
      </c>
      <c r="O2657" s="168" t="s">
        <v>211</v>
      </c>
    </row>
    <row r="2658" spans="2:15" s="453" customFormat="1" ht="14" x14ac:dyDescent="0.2">
      <c r="B2658" s="293"/>
      <c r="F2658" s="586" t="s">
        <v>746</v>
      </c>
      <c r="G2658" s="586"/>
      <c r="H2658" s="587"/>
      <c r="I2658" s="169"/>
      <c r="J2658" s="167"/>
      <c r="K2658" s="169"/>
      <c r="L2658" s="167"/>
      <c r="M2658" s="169"/>
      <c r="N2658" s="167"/>
      <c r="O2658" s="169"/>
    </row>
    <row r="2659" spans="2:15" s="453" customFormat="1" ht="14" x14ac:dyDescent="0.2">
      <c r="B2659" s="293"/>
      <c r="F2659" s="604" t="s">
        <v>747</v>
      </c>
      <c r="G2659" s="604"/>
      <c r="H2659" s="767"/>
      <c r="I2659" s="169"/>
      <c r="J2659" s="167"/>
      <c r="K2659" s="169"/>
      <c r="L2659" s="167"/>
      <c r="M2659" s="169"/>
      <c r="N2659" s="167"/>
      <c r="O2659" s="169"/>
    </row>
    <row r="2660" spans="2:15" s="453" customFormat="1" ht="14" x14ac:dyDescent="0.2">
      <c r="B2660" s="293"/>
      <c r="F2660" s="770" t="s">
        <v>867</v>
      </c>
      <c r="G2660" s="770"/>
      <c r="H2660" s="771"/>
      <c r="I2660" s="169"/>
      <c r="J2660" s="167"/>
      <c r="K2660" s="169"/>
      <c r="L2660" s="167"/>
      <c r="M2660" s="169"/>
      <c r="N2660" s="167"/>
      <c r="O2660" s="169"/>
    </row>
    <row r="2661" spans="2:15" s="453" customFormat="1" ht="14" x14ac:dyDescent="0.2">
      <c r="B2661" s="302"/>
      <c r="C2661" s="303"/>
      <c r="D2661" s="303"/>
      <c r="E2661" s="303"/>
      <c r="F2661" s="603" t="s">
        <v>868</v>
      </c>
      <c r="G2661" s="603"/>
      <c r="H2661" s="769"/>
      <c r="I2661" s="169"/>
      <c r="J2661" s="167"/>
      <c r="K2661" s="169"/>
      <c r="L2661" s="167"/>
      <c r="M2661" s="169"/>
      <c r="N2661" s="167"/>
      <c r="O2661" s="169"/>
    </row>
    <row r="2662" spans="2:15" s="453" customFormat="1" ht="14" x14ac:dyDescent="0.2">
      <c r="B2662" s="291">
        <v>5</v>
      </c>
      <c r="C2662" s="614" t="s">
        <v>749</v>
      </c>
      <c r="D2662" s="614"/>
      <c r="E2662" s="614"/>
      <c r="F2662" s="614"/>
      <c r="G2662" s="614"/>
      <c r="H2662" s="292"/>
      <c r="I2662" s="168" t="s">
        <v>211</v>
      </c>
      <c r="J2662" s="166" t="s">
        <v>211</v>
      </c>
      <c r="K2662" s="168" t="s">
        <v>211</v>
      </c>
      <c r="L2662" s="166" t="s">
        <v>211</v>
      </c>
      <c r="M2662" s="168" t="s">
        <v>211</v>
      </c>
      <c r="N2662" s="166" t="s">
        <v>211</v>
      </c>
      <c r="O2662" s="168" t="s">
        <v>211</v>
      </c>
    </row>
    <row r="2663" spans="2:15" s="453" customFormat="1" ht="14" x14ac:dyDescent="0.2">
      <c r="B2663" s="293"/>
      <c r="C2663" s="595" t="s">
        <v>1301</v>
      </c>
      <c r="D2663" s="595"/>
      <c r="E2663" s="595"/>
      <c r="F2663" s="595"/>
      <c r="G2663" s="595"/>
      <c r="H2663" s="296"/>
      <c r="I2663" s="168" t="s">
        <v>211</v>
      </c>
      <c r="J2663" s="166" t="s">
        <v>211</v>
      </c>
      <c r="K2663" s="168" t="s">
        <v>211</v>
      </c>
      <c r="L2663" s="166" t="s">
        <v>211</v>
      </c>
      <c r="M2663" s="168" t="s">
        <v>211</v>
      </c>
      <c r="N2663" s="166" t="s">
        <v>211</v>
      </c>
      <c r="O2663" s="168" t="s">
        <v>211</v>
      </c>
    </row>
    <row r="2664" spans="2:15" s="453" customFormat="1" ht="14" x14ac:dyDescent="0.2">
      <c r="B2664" s="293"/>
      <c r="C2664" s="572" t="s">
        <v>751</v>
      </c>
      <c r="D2664" s="572"/>
      <c r="E2664" s="572"/>
      <c r="F2664" s="572"/>
      <c r="G2664" s="572"/>
      <c r="H2664" s="296"/>
      <c r="I2664" s="168" t="s">
        <v>211</v>
      </c>
      <c r="J2664" s="166" t="s">
        <v>211</v>
      </c>
      <c r="K2664" s="168" t="s">
        <v>211</v>
      </c>
      <c r="L2664" s="166" t="s">
        <v>211</v>
      </c>
      <c r="M2664" s="168" t="s">
        <v>211</v>
      </c>
      <c r="N2664" s="166" t="s">
        <v>211</v>
      </c>
      <c r="O2664" s="168" t="s">
        <v>211</v>
      </c>
    </row>
    <row r="2665" spans="2:15" s="453" customFormat="1" ht="14" x14ac:dyDescent="0.2">
      <c r="B2665" s="293"/>
      <c r="C2665" s="572"/>
      <c r="D2665" s="572"/>
      <c r="E2665" s="572"/>
      <c r="F2665" s="572"/>
      <c r="G2665" s="572"/>
      <c r="H2665" s="294"/>
      <c r="I2665" s="169"/>
      <c r="J2665" s="167"/>
      <c r="K2665" s="169"/>
      <c r="L2665" s="167"/>
      <c r="M2665" s="169"/>
      <c r="N2665" s="167"/>
      <c r="O2665" s="169"/>
    </row>
    <row r="2666" spans="2:15" s="453" customFormat="1" ht="14" x14ac:dyDescent="0.2">
      <c r="B2666" s="293"/>
      <c r="F2666" s="593" t="s">
        <v>870</v>
      </c>
      <c r="G2666" s="593"/>
      <c r="H2666" s="768"/>
      <c r="I2666" s="169"/>
      <c r="J2666" s="167"/>
      <c r="K2666" s="169"/>
      <c r="L2666" s="167"/>
      <c r="M2666" s="169"/>
      <c r="N2666" s="167"/>
      <c r="O2666" s="169"/>
    </row>
    <row r="2667" spans="2:15" s="453" customFormat="1" ht="14" x14ac:dyDescent="0.2">
      <c r="B2667" s="302"/>
      <c r="C2667" s="303"/>
      <c r="D2667" s="303"/>
      <c r="E2667" s="303"/>
      <c r="F2667" s="603" t="s">
        <v>1302</v>
      </c>
      <c r="G2667" s="603"/>
      <c r="H2667" s="769"/>
      <c r="I2667" s="169"/>
      <c r="J2667" s="167"/>
      <c r="K2667" s="169"/>
      <c r="L2667" s="167"/>
      <c r="M2667" s="169"/>
      <c r="N2667" s="167"/>
      <c r="O2667" s="169"/>
    </row>
    <row r="2668" spans="2:15" s="453" customFormat="1" ht="14" x14ac:dyDescent="0.2">
      <c r="B2668" s="291">
        <v>6</v>
      </c>
      <c r="C2668" s="602" t="s">
        <v>1303</v>
      </c>
      <c r="D2668" s="602"/>
      <c r="E2668" s="602"/>
      <c r="F2668" s="602"/>
      <c r="G2668" s="602"/>
      <c r="H2668" s="292"/>
      <c r="I2668" s="168" t="s">
        <v>211</v>
      </c>
      <c r="J2668" s="166" t="s">
        <v>211</v>
      </c>
      <c r="K2668" s="168" t="s">
        <v>211</v>
      </c>
      <c r="L2668" s="166" t="s">
        <v>211</v>
      </c>
      <c r="M2668" s="168" t="s">
        <v>211</v>
      </c>
      <c r="N2668" s="166" t="s">
        <v>211</v>
      </c>
      <c r="O2668" s="168" t="s">
        <v>211</v>
      </c>
    </row>
    <row r="2669" spans="2:15" s="453" customFormat="1" ht="14" x14ac:dyDescent="0.2">
      <c r="B2669" s="293"/>
      <c r="C2669" s="572"/>
      <c r="D2669" s="572"/>
      <c r="E2669" s="572"/>
      <c r="F2669" s="572"/>
      <c r="G2669" s="572"/>
      <c r="H2669" s="294"/>
      <c r="I2669" s="169"/>
      <c r="J2669" s="167"/>
      <c r="K2669" s="169"/>
      <c r="L2669" s="167"/>
      <c r="M2669" s="169"/>
      <c r="N2669" s="167"/>
      <c r="O2669" s="169"/>
    </row>
    <row r="2670" spans="2:15" s="453" customFormat="1" ht="14" x14ac:dyDescent="0.2">
      <c r="B2670" s="293"/>
      <c r="C2670" s="572" t="s">
        <v>1304</v>
      </c>
      <c r="D2670" s="572"/>
      <c r="E2670" s="572"/>
      <c r="F2670" s="572"/>
      <c r="G2670" s="572"/>
      <c r="H2670" s="296"/>
      <c r="I2670" s="168" t="s">
        <v>211</v>
      </c>
      <c r="J2670" s="166" t="s">
        <v>211</v>
      </c>
      <c r="K2670" s="168" t="s">
        <v>211</v>
      </c>
      <c r="L2670" s="166" t="s">
        <v>211</v>
      </c>
      <c r="M2670" s="168" t="s">
        <v>211</v>
      </c>
      <c r="N2670" s="166" t="s">
        <v>211</v>
      </c>
      <c r="O2670" s="168" t="s">
        <v>211</v>
      </c>
    </row>
    <row r="2671" spans="2:15" s="453" customFormat="1" ht="14" x14ac:dyDescent="0.2">
      <c r="B2671" s="293"/>
      <c r="C2671" s="572"/>
      <c r="D2671" s="572"/>
      <c r="E2671" s="572"/>
      <c r="F2671" s="572"/>
      <c r="G2671" s="572"/>
      <c r="H2671" s="294"/>
      <c r="I2671" s="169"/>
      <c r="J2671" s="167"/>
      <c r="K2671" s="169"/>
      <c r="L2671" s="167"/>
      <c r="M2671" s="169"/>
      <c r="N2671" s="167"/>
      <c r="O2671" s="169"/>
    </row>
    <row r="2672" spans="2:15" s="453" customFormat="1" ht="14" x14ac:dyDescent="0.2">
      <c r="B2672" s="293"/>
      <c r="C2672" s="573" t="s">
        <v>873</v>
      </c>
      <c r="D2672" s="573"/>
      <c r="E2672" s="573"/>
      <c r="F2672" s="573"/>
      <c r="G2672" s="573"/>
      <c r="H2672" s="296"/>
      <c r="I2672" s="168" t="s">
        <v>211</v>
      </c>
      <c r="J2672" s="166" t="s">
        <v>211</v>
      </c>
      <c r="K2672" s="168" t="s">
        <v>211</v>
      </c>
      <c r="L2672" s="166" t="s">
        <v>211</v>
      </c>
      <c r="M2672" s="168" t="s">
        <v>211</v>
      </c>
      <c r="N2672" s="166" t="s">
        <v>211</v>
      </c>
      <c r="O2672" s="168" t="s">
        <v>211</v>
      </c>
    </row>
    <row r="2673" spans="2:15" s="453" customFormat="1" ht="14" x14ac:dyDescent="0.2">
      <c r="B2673" s="293"/>
      <c r="C2673" s="573" t="s">
        <v>874</v>
      </c>
      <c r="D2673" s="573"/>
      <c r="E2673" s="573"/>
      <c r="F2673" s="573"/>
      <c r="G2673" s="573"/>
      <c r="H2673" s="296"/>
      <c r="I2673" s="168" t="s">
        <v>211</v>
      </c>
      <c r="J2673" s="166" t="s">
        <v>211</v>
      </c>
      <c r="K2673" s="168" t="s">
        <v>211</v>
      </c>
      <c r="L2673" s="166" t="s">
        <v>211</v>
      </c>
      <c r="M2673" s="168" t="s">
        <v>211</v>
      </c>
      <c r="N2673" s="166" t="s">
        <v>211</v>
      </c>
      <c r="O2673" s="168" t="s">
        <v>211</v>
      </c>
    </row>
    <row r="2674" spans="2:15" s="453" customFormat="1" ht="14" x14ac:dyDescent="0.2">
      <c r="B2674" s="293"/>
      <c r="C2674" s="572" t="s">
        <v>1305</v>
      </c>
      <c r="D2674" s="572"/>
      <c r="E2674" s="572"/>
      <c r="F2674" s="572"/>
      <c r="G2674" s="572"/>
      <c r="H2674" s="296"/>
      <c r="I2674" s="168" t="s">
        <v>211</v>
      </c>
      <c r="J2674" s="166" t="s">
        <v>211</v>
      </c>
      <c r="K2674" s="168" t="s">
        <v>211</v>
      </c>
      <c r="L2674" s="166" t="s">
        <v>211</v>
      </c>
      <c r="M2674" s="168" t="s">
        <v>211</v>
      </c>
      <c r="N2674" s="166" t="s">
        <v>211</v>
      </c>
      <c r="O2674" s="168" t="s">
        <v>211</v>
      </c>
    </row>
    <row r="2675" spans="2:15" s="453" customFormat="1" ht="14" x14ac:dyDescent="0.2">
      <c r="B2675" s="293"/>
      <c r="C2675" s="572"/>
      <c r="D2675" s="572"/>
      <c r="E2675" s="572"/>
      <c r="F2675" s="572"/>
      <c r="G2675" s="572"/>
      <c r="H2675" s="294"/>
      <c r="I2675" s="169"/>
      <c r="J2675" s="167"/>
      <c r="K2675" s="169"/>
      <c r="L2675" s="167"/>
      <c r="M2675" s="169"/>
      <c r="N2675" s="167"/>
      <c r="O2675" s="169"/>
    </row>
    <row r="2676" spans="2:15" s="453" customFormat="1" ht="14" x14ac:dyDescent="0.2">
      <c r="B2676" s="293"/>
      <c r="C2676" s="573" t="s">
        <v>473</v>
      </c>
      <c r="D2676" s="573"/>
      <c r="E2676" s="573"/>
      <c r="F2676" s="573"/>
      <c r="G2676" s="573"/>
      <c r="H2676" s="296"/>
      <c r="I2676" s="168" t="s">
        <v>211</v>
      </c>
      <c r="J2676" s="166" t="s">
        <v>211</v>
      </c>
      <c r="K2676" s="168" t="s">
        <v>211</v>
      </c>
      <c r="L2676" s="166" t="s">
        <v>211</v>
      </c>
      <c r="M2676" s="168" t="s">
        <v>211</v>
      </c>
      <c r="N2676" s="166" t="s">
        <v>211</v>
      </c>
      <c r="O2676" s="168" t="s">
        <v>211</v>
      </c>
    </row>
    <row r="2677" spans="2:15" s="453" customFormat="1" ht="14" x14ac:dyDescent="0.2">
      <c r="B2677" s="293"/>
      <c r="F2677" s="586" t="s">
        <v>756</v>
      </c>
      <c r="G2677" s="586"/>
      <c r="H2677" s="587"/>
      <c r="I2677" s="169"/>
      <c r="J2677" s="167"/>
      <c r="K2677" s="169"/>
      <c r="L2677" s="167"/>
      <c r="M2677" s="169"/>
      <c r="N2677" s="167"/>
      <c r="O2677" s="169"/>
    </row>
    <row r="2678" spans="2:15" s="453" customFormat="1" ht="14" x14ac:dyDescent="0.2">
      <c r="B2678" s="293"/>
      <c r="F2678" s="604" t="s">
        <v>876</v>
      </c>
      <c r="G2678" s="604"/>
      <c r="H2678" s="767"/>
      <c r="I2678" s="169"/>
      <c r="J2678" s="167"/>
      <c r="K2678" s="169"/>
      <c r="L2678" s="167"/>
      <c r="M2678" s="169"/>
      <c r="N2678" s="167"/>
      <c r="O2678" s="169"/>
    </row>
    <row r="2679" spans="2:15" s="453" customFormat="1" ht="14" x14ac:dyDescent="0.2">
      <c r="B2679" s="302"/>
      <c r="C2679" s="303"/>
      <c r="D2679" s="303"/>
      <c r="E2679" s="303"/>
      <c r="F2679" s="599" t="s">
        <v>474</v>
      </c>
      <c r="G2679" s="599"/>
      <c r="H2679" s="615"/>
      <c r="I2679" s="169"/>
      <c r="J2679" s="167"/>
      <c r="K2679" s="169"/>
      <c r="L2679" s="167"/>
      <c r="M2679" s="169"/>
      <c r="N2679" s="167"/>
      <c r="O2679" s="169"/>
    </row>
    <row r="2680" spans="2:15" s="453" customFormat="1" ht="14" x14ac:dyDescent="0.2">
      <c r="B2680" s="291">
        <v>7</v>
      </c>
      <c r="C2680" s="598" t="s">
        <v>1298</v>
      </c>
      <c r="D2680" s="598"/>
      <c r="E2680" s="598"/>
      <c r="F2680" s="598"/>
      <c r="G2680" s="598"/>
      <c r="H2680" s="292"/>
      <c r="I2680" s="168" t="s">
        <v>211</v>
      </c>
      <c r="J2680" s="166" t="s">
        <v>211</v>
      </c>
      <c r="K2680" s="168" t="s">
        <v>211</v>
      </c>
      <c r="L2680" s="166" t="s">
        <v>211</v>
      </c>
      <c r="M2680" s="168" t="s">
        <v>211</v>
      </c>
      <c r="N2680" s="166" t="s">
        <v>211</v>
      </c>
      <c r="O2680" s="168" t="s">
        <v>211</v>
      </c>
    </row>
    <row r="2681" spans="2:15" s="453" customFormat="1" ht="14" x14ac:dyDescent="0.2">
      <c r="B2681" s="293"/>
      <c r="C2681" s="573" t="s">
        <v>1306</v>
      </c>
      <c r="D2681" s="573"/>
      <c r="E2681" s="573"/>
      <c r="F2681" s="573"/>
      <c r="G2681" s="573"/>
      <c r="H2681" s="296"/>
      <c r="I2681" s="168" t="s">
        <v>211</v>
      </c>
      <c r="J2681" s="166" t="s">
        <v>211</v>
      </c>
      <c r="K2681" s="168" t="s">
        <v>211</v>
      </c>
      <c r="L2681" s="166" t="s">
        <v>211</v>
      </c>
      <c r="M2681" s="168" t="s">
        <v>211</v>
      </c>
      <c r="N2681" s="166" t="s">
        <v>211</v>
      </c>
      <c r="O2681" s="168" t="s">
        <v>211</v>
      </c>
    </row>
    <row r="2682" spans="2:15" s="453" customFormat="1" ht="14" x14ac:dyDescent="0.2">
      <c r="B2682" s="293"/>
      <c r="C2682" s="572" t="s">
        <v>1307</v>
      </c>
      <c r="D2682" s="572"/>
      <c r="E2682" s="572"/>
      <c r="F2682" s="572"/>
      <c r="G2682" s="572"/>
      <c r="H2682" s="296"/>
      <c r="I2682" s="168" t="s">
        <v>211</v>
      </c>
      <c r="J2682" s="166" t="s">
        <v>211</v>
      </c>
      <c r="K2682" s="168" t="s">
        <v>211</v>
      </c>
      <c r="L2682" s="166" t="s">
        <v>211</v>
      </c>
      <c r="M2682" s="168" t="s">
        <v>211</v>
      </c>
      <c r="N2682" s="166" t="s">
        <v>211</v>
      </c>
      <c r="O2682" s="168" t="s">
        <v>211</v>
      </c>
    </row>
    <row r="2683" spans="2:15" s="453" customFormat="1" ht="14" x14ac:dyDescent="0.2">
      <c r="B2683" s="293"/>
      <c r="C2683" s="572" t="s">
        <v>847</v>
      </c>
      <c r="D2683" s="572"/>
      <c r="E2683" s="572"/>
      <c r="F2683" s="572"/>
      <c r="G2683" s="572"/>
      <c r="H2683" s="296"/>
      <c r="I2683" s="168" t="s">
        <v>211</v>
      </c>
      <c r="J2683" s="166" t="s">
        <v>211</v>
      </c>
      <c r="K2683" s="168" t="s">
        <v>211</v>
      </c>
      <c r="L2683" s="166" t="s">
        <v>211</v>
      </c>
      <c r="M2683" s="168" t="s">
        <v>211</v>
      </c>
      <c r="N2683" s="166" t="s">
        <v>211</v>
      </c>
      <c r="O2683" s="168" t="s">
        <v>211</v>
      </c>
    </row>
    <row r="2684" spans="2:15" s="453" customFormat="1" ht="14" x14ac:dyDescent="0.2">
      <c r="B2684" s="293"/>
      <c r="C2684" s="572"/>
      <c r="D2684" s="572"/>
      <c r="E2684" s="572"/>
      <c r="F2684" s="572"/>
      <c r="G2684" s="572"/>
      <c r="H2684" s="294"/>
      <c r="I2684" s="169"/>
      <c r="J2684" s="167"/>
      <c r="K2684" s="169"/>
      <c r="L2684" s="167"/>
      <c r="M2684" s="169"/>
      <c r="N2684" s="167"/>
      <c r="O2684" s="169"/>
    </row>
    <row r="2685" spans="2:15" s="453" customFormat="1" ht="14" x14ac:dyDescent="0.2">
      <c r="B2685" s="293"/>
      <c r="C2685" s="573" t="s">
        <v>760</v>
      </c>
      <c r="D2685" s="573"/>
      <c r="E2685" s="573"/>
      <c r="F2685" s="573"/>
      <c r="G2685" s="573"/>
      <c r="H2685" s="296"/>
      <c r="I2685" s="168" t="s">
        <v>211</v>
      </c>
      <c r="J2685" s="166" t="s">
        <v>211</v>
      </c>
      <c r="K2685" s="168" t="s">
        <v>211</v>
      </c>
      <c r="L2685" s="166" t="s">
        <v>211</v>
      </c>
      <c r="M2685" s="168" t="s">
        <v>211</v>
      </c>
      <c r="N2685" s="166" t="s">
        <v>211</v>
      </c>
      <c r="O2685" s="168" t="s">
        <v>211</v>
      </c>
    </row>
    <row r="2686" spans="2:15" s="453" customFormat="1" ht="14" x14ac:dyDescent="0.2">
      <c r="B2686" s="293"/>
      <c r="F2686" s="586" t="s">
        <v>642</v>
      </c>
      <c r="G2686" s="586"/>
      <c r="H2686" s="587"/>
      <c r="I2686" s="169"/>
      <c r="J2686" s="167"/>
      <c r="K2686" s="169"/>
      <c r="L2686" s="167"/>
      <c r="M2686" s="169"/>
      <c r="N2686" s="167"/>
      <c r="O2686" s="169"/>
    </row>
    <row r="2687" spans="2:15" s="453" customFormat="1" ht="14" x14ac:dyDescent="0.2">
      <c r="B2687" s="302"/>
      <c r="C2687" s="303"/>
      <c r="D2687" s="303"/>
      <c r="E2687" s="303"/>
      <c r="F2687" s="599" t="s">
        <v>474</v>
      </c>
      <c r="G2687" s="599"/>
      <c r="H2687" s="615"/>
      <c r="I2687" s="169"/>
      <c r="J2687" s="167"/>
      <c r="K2687" s="169"/>
      <c r="L2687" s="167"/>
      <c r="M2687" s="169"/>
      <c r="N2687" s="167"/>
      <c r="O2687" s="169"/>
    </row>
    <row r="2688" spans="2:15" s="453" customFormat="1" ht="14" x14ac:dyDescent="0.2">
      <c r="B2688" s="291">
        <v>8</v>
      </c>
      <c r="C2688" s="602" t="s">
        <v>1308</v>
      </c>
      <c r="D2688" s="602"/>
      <c r="E2688" s="602"/>
      <c r="F2688" s="602"/>
      <c r="G2688" s="602"/>
      <c r="H2688" s="292"/>
      <c r="I2688" s="168" t="s">
        <v>211</v>
      </c>
      <c r="J2688" s="166" t="s">
        <v>211</v>
      </c>
      <c r="K2688" s="168" t="s">
        <v>211</v>
      </c>
      <c r="L2688" s="166" t="s">
        <v>211</v>
      </c>
      <c r="M2688" s="168" t="s">
        <v>211</v>
      </c>
      <c r="N2688" s="166" t="s">
        <v>211</v>
      </c>
      <c r="O2688" s="168" t="s">
        <v>211</v>
      </c>
    </row>
    <row r="2689" spans="2:15" s="453" customFormat="1" ht="14" x14ac:dyDescent="0.2">
      <c r="B2689" s="293"/>
      <c r="C2689" s="572"/>
      <c r="D2689" s="572"/>
      <c r="E2689" s="572"/>
      <c r="F2689" s="572"/>
      <c r="G2689" s="572"/>
      <c r="H2689" s="294"/>
      <c r="I2689" s="169"/>
      <c r="J2689" s="167"/>
      <c r="K2689" s="169"/>
      <c r="L2689" s="167"/>
      <c r="M2689" s="169"/>
      <c r="N2689" s="167"/>
      <c r="O2689" s="169"/>
    </row>
    <row r="2690" spans="2:15" s="453" customFormat="1" ht="14" x14ac:dyDescent="0.2">
      <c r="B2690" s="293"/>
      <c r="C2690" s="573" t="s">
        <v>1309</v>
      </c>
      <c r="D2690" s="573"/>
      <c r="E2690" s="573"/>
      <c r="F2690" s="573"/>
      <c r="G2690" s="573"/>
      <c r="H2690" s="296"/>
      <c r="I2690" s="168" t="s">
        <v>211</v>
      </c>
      <c r="J2690" s="166" t="s">
        <v>211</v>
      </c>
      <c r="K2690" s="168" t="s">
        <v>211</v>
      </c>
      <c r="L2690" s="166" t="s">
        <v>211</v>
      </c>
      <c r="M2690" s="168" t="s">
        <v>211</v>
      </c>
      <c r="N2690" s="166" t="s">
        <v>211</v>
      </c>
      <c r="O2690" s="168" t="s">
        <v>211</v>
      </c>
    </row>
    <row r="2691" spans="2:15" s="453" customFormat="1" ht="14" x14ac:dyDescent="0.2">
      <c r="B2691" s="293"/>
      <c r="C2691" s="573" t="s">
        <v>879</v>
      </c>
      <c r="D2691" s="573"/>
      <c r="E2691" s="573"/>
      <c r="F2691" s="573"/>
      <c r="G2691" s="573"/>
      <c r="H2691" s="296"/>
      <c r="I2691" s="168" t="s">
        <v>211</v>
      </c>
      <c r="J2691" s="166" t="s">
        <v>211</v>
      </c>
      <c r="K2691" s="168" t="s">
        <v>211</v>
      </c>
      <c r="L2691" s="166" t="s">
        <v>211</v>
      </c>
      <c r="M2691" s="168" t="s">
        <v>211</v>
      </c>
      <c r="N2691" s="166" t="s">
        <v>211</v>
      </c>
      <c r="O2691" s="168" t="s">
        <v>211</v>
      </c>
    </row>
    <row r="2692" spans="2:15" s="453" customFormat="1" ht="14" x14ac:dyDescent="0.2">
      <c r="B2692" s="293"/>
      <c r="C2692" s="573" t="s">
        <v>1310</v>
      </c>
      <c r="D2692" s="573"/>
      <c r="E2692" s="573"/>
      <c r="F2692" s="573"/>
      <c r="G2692" s="573"/>
      <c r="H2692" s="296"/>
      <c r="I2692" s="168" t="s">
        <v>211</v>
      </c>
      <c r="J2692" s="166" t="s">
        <v>211</v>
      </c>
      <c r="K2692" s="168" t="s">
        <v>211</v>
      </c>
      <c r="L2692" s="166" t="s">
        <v>211</v>
      </c>
      <c r="M2692" s="168" t="s">
        <v>211</v>
      </c>
      <c r="N2692" s="166" t="s">
        <v>211</v>
      </c>
      <c r="O2692" s="168" t="s">
        <v>211</v>
      </c>
    </row>
    <row r="2693" spans="2:15" s="453" customFormat="1" ht="14" x14ac:dyDescent="0.2">
      <c r="B2693" s="293"/>
      <c r="F2693" s="593" t="s">
        <v>764</v>
      </c>
      <c r="G2693" s="593"/>
      <c r="H2693" s="768"/>
      <c r="I2693" s="169"/>
      <c r="J2693" s="167"/>
      <c r="K2693" s="169"/>
      <c r="L2693" s="167"/>
      <c r="M2693" s="169"/>
      <c r="N2693" s="167"/>
      <c r="O2693" s="169"/>
    </row>
    <row r="2694" spans="2:15" s="453" customFormat="1" ht="14" x14ac:dyDescent="0.2">
      <c r="B2694" s="293"/>
      <c r="F2694" s="586" t="s">
        <v>604</v>
      </c>
      <c r="G2694" s="586"/>
      <c r="H2694" s="587"/>
      <c r="I2694" s="169"/>
      <c r="J2694" s="167"/>
      <c r="K2694" s="169"/>
      <c r="L2694" s="167"/>
      <c r="M2694" s="169"/>
      <c r="N2694" s="167"/>
      <c r="O2694" s="169"/>
    </row>
    <row r="2695" spans="2:15" s="453" customFormat="1" ht="14" x14ac:dyDescent="0.2">
      <c r="B2695" s="302"/>
      <c r="C2695" s="303"/>
      <c r="D2695" s="303"/>
      <c r="E2695" s="303"/>
      <c r="F2695" s="603" t="s">
        <v>938</v>
      </c>
      <c r="G2695" s="603"/>
      <c r="H2695" s="769"/>
      <c r="I2695" s="169"/>
      <c r="J2695" s="167"/>
      <c r="K2695" s="169"/>
      <c r="L2695" s="167"/>
      <c r="M2695" s="169"/>
      <c r="N2695" s="167"/>
      <c r="O2695" s="169"/>
    </row>
    <row r="2696" spans="2:15" s="453" customFormat="1" ht="14" x14ac:dyDescent="0.2">
      <c r="B2696" s="291">
        <v>9</v>
      </c>
      <c r="C2696" s="602" t="s">
        <v>871</v>
      </c>
      <c r="D2696" s="602"/>
      <c r="E2696" s="602"/>
      <c r="F2696" s="602"/>
      <c r="G2696" s="602"/>
      <c r="H2696" s="292"/>
      <c r="I2696" s="168" t="s">
        <v>211</v>
      </c>
      <c r="J2696" s="166" t="s">
        <v>211</v>
      </c>
      <c r="K2696" s="168" t="s">
        <v>211</v>
      </c>
      <c r="L2696" s="166" t="s">
        <v>211</v>
      </c>
      <c r="M2696" s="168" t="s">
        <v>211</v>
      </c>
      <c r="N2696" s="166" t="s">
        <v>211</v>
      </c>
      <c r="O2696" s="168" t="s">
        <v>211</v>
      </c>
    </row>
    <row r="2697" spans="2:15" s="453" customFormat="1" ht="14" x14ac:dyDescent="0.2">
      <c r="B2697" s="293"/>
      <c r="C2697" s="572"/>
      <c r="D2697" s="572"/>
      <c r="E2697" s="572"/>
      <c r="F2697" s="572"/>
      <c r="G2697" s="572"/>
      <c r="H2697" s="294"/>
      <c r="I2697" s="169"/>
      <c r="J2697" s="167"/>
      <c r="K2697" s="169"/>
      <c r="L2697" s="167"/>
      <c r="M2697" s="169"/>
      <c r="N2697" s="167"/>
      <c r="O2697" s="169"/>
    </row>
    <row r="2698" spans="2:15" s="453" customFormat="1" ht="14" x14ac:dyDescent="0.2">
      <c r="B2698" s="293"/>
      <c r="C2698" s="572" t="s">
        <v>1311</v>
      </c>
      <c r="D2698" s="572"/>
      <c r="E2698" s="572"/>
      <c r="F2698" s="572"/>
      <c r="G2698" s="572"/>
      <c r="H2698" s="296"/>
      <c r="I2698" s="168" t="s">
        <v>211</v>
      </c>
      <c r="J2698" s="166" t="s">
        <v>211</v>
      </c>
      <c r="K2698" s="168" t="s">
        <v>211</v>
      </c>
      <c r="L2698" s="166" t="s">
        <v>211</v>
      </c>
      <c r="M2698" s="168" t="s">
        <v>211</v>
      </c>
      <c r="N2698" s="166" t="s">
        <v>211</v>
      </c>
      <c r="O2698" s="168" t="s">
        <v>211</v>
      </c>
    </row>
    <row r="2699" spans="2:15" s="453" customFormat="1" ht="14" x14ac:dyDescent="0.2">
      <c r="B2699" s="293"/>
      <c r="C2699" s="572"/>
      <c r="D2699" s="572"/>
      <c r="E2699" s="572"/>
      <c r="F2699" s="572"/>
      <c r="G2699" s="572"/>
      <c r="H2699" s="294"/>
      <c r="I2699" s="169"/>
      <c r="J2699" s="167"/>
      <c r="K2699" s="169"/>
      <c r="L2699" s="167"/>
      <c r="M2699" s="169"/>
      <c r="N2699" s="167"/>
      <c r="O2699" s="169"/>
    </row>
    <row r="2700" spans="2:15" s="453" customFormat="1" ht="14" x14ac:dyDescent="0.2">
      <c r="B2700" s="293"/>
      <c r="C2700" s="572"/>
      <c r="D2700" s="572"/>
      <c r="E2700" s="572"/>
      <c r="F2700" s="572"/>
      <c r="G2700" s="572"/>
      <c r="H2700" s="294"/>
      <c r="I2700" s="169"/>
      <c r="J2700" s="167"/>
      <c r="K2700" s="169"/>
      <c r="L2700" s="167"/>
      <c r="M2700" s="169"/>
      <c r="N2700" s="167"/>
      <c r="O2700" s="169"/>
    </row>
    <row r="2701" spans="2:15" s="453" customFormat="1" ht="14" x14ac:dyDescent="0.2">
      <c r="B2701" s="293"/>
      <c r="C2701" s="572" t="s">
        <v>1312</v>
      </c>
      <c r="D2701" s="572"/>
      <c r="E2701" s="572"/>
      <c r="F2701" s="572"/>
      <c r="G2701" s="572"/>
      <c r="H2701" s="296"/>
      <c r="I2701" s="168" t="s">
        <v>211</v>
      </c>
      <c r="J2701" s="166" t="s">
        <v>211</v>
      </c>
      <c r="K2701" s="168" t="s">
        <v>211</v>
      </c>
      <c r="L2701" s="166" t="s">
        <v>211</v>
      </c>
      <c r="M2701" s="168" t="s">
        <v>211</v>
      </c>
      <c r="N2701" s="166" t="s">
        <v>211</v>
      </c>
      <c r="O2701" s="168" t="s">
        <v>211</v>
      </c>
    </row>
    <row r="2702" spans="2:15" s="453" customFormat="1" ht="14" x14ac:dyDescent="0.2">
      <c r="B2702" s="293"/>
      <c r="C2702" s="572"/>
      <c r="D2702" s="572"/>
      <c r="E2702" s="572"/>
      <c r="F2702" s="572"/>
      <c r="G2702" s="572"/>
      <c r="H2702" s="294"/>
      <c r="I2702" s="169"/>
      <c r="J2702" s="167"/>
      <c r="K2702" s="169"/>
      <c r="L2702" s="167"/>
      <c r="M2702" s="169"/>
      <c r="N2702" s="167"/>
      <c r="O2702" s="169"/>
    </row>
    <row r="2703" spans="2:15" s="453" customFormat="1" ht="14" x14ac:dyDescent="0.2">
      <c r="B2703" s="293"/>
      <c r="C2703" s="573" t="s">
        <v>760</v>
      </c>
      <c r="D2703" s="573"/>
      <c r="E2703" s="573"/>
      <c r="F2703" s="573"/>
      <c r="G2703" s="573"/>
      <c r="H2703" s="296"/>
      <c r="I2703" s="168" t="s">
        <v>211</v>
      </c>
      <c r="J2703" s="166" t="s">
        <v>211</v>
      </c>
      <c r="K2703" s="168" t="s">
        <v>211</v>
      </c>
      <c r="L2703" s="166" t="s">
        <v>211</v>
      </c>
      <c r="M2703" s="168" t="s">
        <v>211</v>
      </c>
      <c r="N2703" s="166" t="s">
        <v>211</v>
      </c>
      <c r="O2703" s="168" t="s">
        <v>211</v>
      </c>
    </row>
    <row r="2704" spans="2:15" s="453" customFormat="1" ht="14" x14ac:dyDescent="0.2">
      <c r="B2704" s="293"/>
      <c r="F2704" s="586" t="s">
        <v>756</v>
      </c>
      <c r="G2704" s="586"/>
      <c r="H2704" s="587"/>
      <c r="I2704" s="169"/>
      <c r="J2704" s="167"/>
      <c r="K2704" s="169"/>
      <c r="L2704" s="167"/>
      <c r="M2704" s="169"/>
      <c r="N2704" s="167"/>
      <c r="O2704" s="169"/>
    </row>
    <row r="2705" spans="2:15" s="453" customFormat="1" ht="14" x14ac:dyDescent="0.2">
      <c r="B2705" s="293"/>
      <c r="F2705" s="604" t="s">
        <v>876</v>
      </c>
      <c r="G2705" s="604"/>
      <c r="H2705" s="767"/>
      <c r="I2705" s="169"/>
      <c r="J2705" s="167"/>
      <c r="K2705" s="169"/>
      <c r="L2705" s="167"/>
      <c r="M2705" s="169"/>
      <c r="N2705" s="167"/>
      <c r="O2705" s="169"/>
    </row>
    <row r="2706" spans="2:15" s="453" customFormat="1" ht="14" x14ac:dyDescent="0.2">
      <c r="B2706" s="302"/>
      <c r="C2706" s="303"/>
      <c r="D2706" s="303"/>
      <c r="E2706" s="303"/>
      <c r="F2706" s="599" t="s">
        <v>474</v>
      </c>
      <c r="G2706" s="599"/>
      <c r="H2706" s="615"/>
      <c r="I2706" s="169"/>
      <c r="J2706" s="167"/>
      <c r="K2706" s="169"/>
      <c r="L2706" s="167"/>
      <c r="M2706" s="169"/>
      <c r="N2706" s="167"/>
      <c r="O2706" s="169"/>
    </row>
    <row r="2707" spans="2:15" s="453" customFormat="1" ht="14" x14ac:dyDescent="0.2">
      <c r="B2707" s="291">
        <v>10</v>
      </c>
      <c r="C2707" s="602" t="s">
        <v>884</v>
      </c>
      <c r="D2707" s="602"/>
      <c r="E2707" s="602"/>
      <c r="F2707" s="602"/>
      <c r="G2707" s="602"/>
      <c r="H2707" s="292"/>
      <c r="I2707" s="168" t="s">
        <v>211</v>
      </c>
      <c r="J2707" s="166" t="s">
        <v>211</v>
      </c>
      <c r="K2707" s="168" t="s">
        <v>211</v>
      </c>
      <c r="L2707" s="166" t="s">
        <v>211</v>
      </c>
      <c r="M2707" s="168" t="s">
        <v>211</v>
      </c>
      <c r="N2707" s="166" t="s">
        <v>211</v>
      </c>
      <c r="O2707" s="168" t="s">
        <v>211</v>
      </c>
    </row>
    <row r="2708" spans="2:15" s="453" customFormat="1" ht="14" x14ac:dyDescent="0.2">
      <c r="B2708" s="293"/>
      <c r="C2708" s="572"/>
      <c r="D2708" s="572"/>
      <c r="E2708" s="572"/>
      <c r="F2708" s="572"/>
      <c r="G2708" s="572"/>
      <c r="H2708" s="294"/>
      <c r="I2708" s="169"/>
      <c r="J2708" s="167"/>
      <c r="K2708" s="169"/>
      <c r="L2708" s="167"/>
      <c r="M2708" s="169"/>
      <c r="N2708" s="167"/>
      <c r="O2708" s="169"/>
    </row>
    <row r="2709" spans="2:15" s="453" customFormat="1" ht="14" x14ac:dyDescent="0.2">
      <c r="B2709" s="293"/>
      <c r="C2709" s="572" t="s">
        <v>1313</v>
      </c>
      <c r="D2709" s="572"/>
      <c r="E2709" s="572"/>
      <c r="F2709" s="572"/>
      <c r="G2709" s="572"/>
      <c r="H2709" s="296"/>
      <c r="I2709" s="168" t="s">
        <v>211</v>
      </c>
      <c r="J2709" s="166" t="s">
        <v>211</v>
      </c>
      <c r="K2709" s="168" t="s">
        <v>211</v>
      </c>
      <c r="L2709" s="166" t="s">
        <v>211</v>
      </c>
      <c r="M2709" s="168" t="s">
        <v>211</v>
      </c>
      <c r="N2709" s="166" t="s">
        <v>211</v>
      </c>
      <c r="O2709" s="168" t="s">
        <v>211</v>
      </c>
    </row>
    <row r="2710" spans="2:15" s="453" customFormat="1" ht="14" x14ac:dyDescent="0.2">
      <c r="B2710" s="293"/>
      <c r="C2710" s="572"/>
      <c r="D2710" s="572"/>
      <c r="E2710" s="572"/>
      <c r="F2710" s="572"/>
      <c r="G2710" s="572"/>
      <c r="H2710" s="294"/>
      <c r="I2710" s="169"/>
      <c r="J2710" s="167"/>
      <c r="K2710" s="169"/>
      <c r="L2710" s="167"/>
      <c r="M2710" s="169"/>
      <c r="N2710" s="167"/>
      <c r="O2710" s="169"/>
    </row>
    <row r="2711" spans="2:15" s="453" customFormat="1" ht="14" x14ac:dyDescent="0.2">
      <c r="B2711" s="293"/>
      <c r="C2711" s="573" t="s">
        <v>1314</v>
      </c>
      <c r="D2711" s="573"/>
      <c r="E2711" s="573"/>
      <c r="F2711" s="573"/>
      <c r="G2711" s="573"/>
      <c r="H2711" s="296"/>
      <c r="I2711" s="168" t="s">
        <v>211</v>
      </c>
      <c r="J2711" s="166" t="s">
        <v>211</v>
      </c>
      <c r="K2711" s="168" t="s">
        <v>211</v>
      </c>
      <c r="L2711" s="166" t="s">
        <v>211</v>
      </c>
      <c r="M2711" s="168" t="s">
        <v>211</v>
      </c>
      <c r="N2711" s="166" t="s">
        <v>211</v>
      </c>
      <c r="O2711" s="168" t="s">
        <v>211</v>
      </c>
    </row>
    <row r="2712" spans="2:15" s="453" customFormat="1" ht="14" x14ac:dyDescent="0.2">
      <c r="B2712" s="293"/>
      <c r="C2712" s="573" t="s">
        <v>944</v>
      </c>
      <c r="D2712" s="573"/>
      <c r="E2712" s="573"/>
      <c r="F2712" s="573"/>
      <c r="G2712" s="573"/>
      <c r="H2712" s="296"/>
      <c r="I2712" s="168" t="s">
        <v>211</v>
      </c>
      <c r="J2712" s="166" t="s">
        <v>211</v>
      </c>
      <c r="K2712" s="168" t="s">
        <v>211</v>
      </c>
      <c r="L2712" s="166" t="s">
        <v>211</v>
      </c>
      <c r="M2712" s="168" t="s">
        <v>211</v>
      </c>
      <c r="N2712" s="166" t="s">
        <v>211</v>
      </c>
      <c r="O2712" s="168" t="s">
        <v>211</v>
      </c>
    </row>
    <row r="2713" spans="2:15" s="453" customFormat="1" ht="14" x14ac:dyDescent="0.2">
      <c r="B2713" s="293"/>
      <c r="C2713" s="595" t="s">
        <v>887</v>
      </c>
      <c r="D2713" s="595"/>
      <c r="E2713" s="595"/>
      <c r="F2713" s="595"/>
      <c r="G2713" s="595"/>
      <c r="H2713" s="296"/>
      <c r="I2713" s="168" t="s">
        <v>211</v>
      </c>
      <c r="J2713" s="166" t="s">
        <v>211</v>
      </c>
      <c r="K2713" s="168" t="s">
        <v>211</v>
      </c>
      <c r="L2713" s="166" t="s">
        <v>211</v>
      </c>
      <c r="M2713" s="168" t="s">
        <v>211</v>
      </c>
      <c r="N2713" s="166" t="s">
        <v>211</v>
      </c>
      <c r="O2713" s="168" t="s">
        <v>211</v>
      </c>
    </row>
    <row r="2714" spans="2:15" s="453" customFormat="1" ht="14" x14ac:dyDescent="0.2">
      <c r="B2714" s="293"/>
      <c r="F2714" s="586" t="s">
        <v>604</v>
      </c>
      <c r="G2714" s="586"/>
      <c r="H2714" s="587"/>
      <c r="I2714" s="169"/>
      <c r="J2714" s="167"/>
      <c r="K2714" s="169"/>
      <c r="L2714" s="167"/>
      <c r="M2714" s="169"/>
      <c r="N2714" s="167"/>
      <c r="O2714" s="169"/>
    </row>
    <row r="2715" spans="2:15" s="453" customFormat="1" ht="14" x14ac:dyDescent="0.2">
      <c r="B2715" s="302"/>
      <c r="C2715" s="303"/>
      <c r="D2715" s="303"/>
      <c r="E2715" s="603" t="s">
        <v>1315</v>
      </c>
      <c r="F2715" s="603"/>
      <c r="G2715" s="603"/>
      <c r="H2715" s="769"/>
      <c r="I2715" s="169"/>
      <c r="J2715" s="167"/>
      <c r="K2715" s="169"/>
      <c r="L2715" s="167"/>
      <c r="M2715" s="169"/>
      <c r="N2715" s="167"/>
      <c r="O2715" s="169"/>
    </row>
    <row r="2716" spans="2:15" s="453" customFormat="1" ht="14" x14ac:dyDescent="0.2">
      <c r="B2716" s="389">
        <v>11</v>
      </c>
      <c r="C2716" s="602" t="s">
        <v>1316</v>
      </c>
      <c r="D2716" s="602"/>
      <c r="E2716" s="602"/>
      <c r="F2716" s="602"/>
      <c r="G2716" s="602"/>
      <c r="H2716" s="292"/>
      <c r="I2716" s="168" t="s">
        <v>211</v>
      </c>
      <c r="J2716" s="166" t="s">
        <v>211</v>
      </c>
      <c r="K2716" s="168" t="s">
        <v>211</v>
      </c>
      <c r="L2716" s="166" t="s">
        <v>211</v>
      </c>
      <c r="M2716" s="168" t="s">
        <v>211</v>
      </c>
      <c r="N2716" s="166" t="s">
        <v>211</v>
      </c>
      <c r="O2716" s="168" t="s">
        <v>211</v>
      </c>
    </row>
    <row r="2717" spans="2:15" s="453" customFormat="1" ht="14" x14ac:dyDescent="0.2">
      <c r="B2717" s="293"/>
      <c r="C2717" s="572" t="s">
        <v>1317</v>
      </c>
      <c r="D2717" s="572"/>
      <c r="E2717" s="572"/>
      <c r="F2717" s="572"/>
      <c r="G2717" s="572"/>
      <c r="H2717" s="296"/>
      <c r="I2717" s="168" t="s">
        <v>211</v>
      </c>
      <c r="J2717" s="166" t="s">
        <v>211</v>
      </c>
      <c r="K2717" s="168" t="s">
        <v>211</v>
      </c>
      <c r="L2717" s="166" t="s">
        <v>211</v>
      </c>
      <c r="M2717" s="168" t="s">
        <v>211</v>
      </c>
      <c r="N2717" s="166" t="s">
        <v>211</v>
      </c>
      <c r="O2717" s="168" t="s">
        <v>211</v>
      </c>
    </row>
    <row r="2718" spans="2:15" s="453" customFormat="1" ht="14" x14ac:dyDescent="0.2">
      <c r="B2718" s="293"/>
      <c r="C2718" s="572"/>
      <c r="D2718" s="572"/>
      <c r="E2718" s="572"/>
      <c r="F2718" s="572"/>
      <c r="G2718" s="572"/>
      <c r="H2718" s="294"/>
      <c r="I2718" s="169"/>
      <c r="J2718" s="167"/>
      <c r="K2718" s="169"/>
      <c r="L2718" s="167"/>
      <c r="M2718" s="169"/>
      <c r="N2718" s="167"/>
      <c r="O2718" s="169"/>
    </row>
    <row r="2719" spans="2:15" s="453" customFormat="1" ht="14" x14ac:dyDescent="0.2">
      <c r="B2719" s="293"/>
      <c r="C2719" s="572"/>
      <c r="D2719" s="572"/>
      <c r="E2719" s="572"/>
      <c r="F2719" s="572"/>
      <c r="G2719" s="572"/>
      <c r="H2719" s="294"/>
      <c r="I2719" s="169"/>
      <c r="J2719" s="167"/>
      <c r="K2719" s="169"/>
      <c r="L2719" s="167"/>
      <c r="M2719" s="169"/>
      <c r="N2719" s="167"/>
      <c r="O2719" s="169"/>
    </row>
    <row r="2720" spans="2:15" s="453" customFormat="1" ht="14" x14ac:dyDescent="0.2">
      <c r="B2720" s="293"/>
      <c r="C2720" s="573" t="s">
        <v>845</v>
      </c>
      <c r="D2720" s="573"/>
      <c r="E2720" s="573"/>
      <c r="F2720" s="573"/>
      <c r="G2720" s="573"/>
      <c r="H2720" s="296"/>
      <c r="I2720" s="168" t="s">
        <v>211</v>
      </c>
      <c r="J2720" s="166" t="s">
        <v>211</v>
      </c>
      <c r="K2720" s="168" t="s">
        <v>211</v>
      </c>
      <c r="L2720" s="166" t="s">
        <v>211</v>
      </c>
      <c r="M2720" s="168" t="s">
        <v>211</v>
      </c>
      <c r="N2720" s="166" t="s">
        <v>211</v>
      </c>
      <c r="O2720" s="168" t="s">
        <v>211</v>
      </c>
    </row>
    <row r="2721" spans="2:15" s="453" customFormat="1" ht="14" x14ac:dyDescent="0.2">
      <c r="B2721" s="293"/>
      <c r="F2721" s="586" t="s">
        <v>746</v>
      </c>
      <c r="G2721" s="586"/>
      <c r="H2721" s="587"/>
      <c r="I2721" s="169"/>
      <c r="J2721" s="167"/>
      <c r="K2721" s="169"/>
      <c r="L2721" s="167"/>
      <c r="M2721" s="169"/>
      <c r="N2721" s="167"/>
      <c r="O2721" s="169"/>
    </row>
    <row r="2722" spans="2:15" s="453" customFormat="1" ht="14" x14ac:dyDescent="0.2">
      <c r="B2722" s="302"/>
      <c r="C2722" s="303"/>
      <c r="D2722" s="303"/>
      <c r="E2722" s="303"/>
      <c r="F2722" s="599" t="s">
        <v>1318</v>
      </c>
      <c r="G2722" s="599"/>
      <c r="H2722" s="615"/>
      <c r="I2722" s="169"/>
      <c r="J2722" s="167"/>
      <c r="K2722" s="169"/>
      <c r="L2722" s="167"/>
      <c r="M2722" s="169"/>
      <c r="N2722" s="167"/>
      <c r="O2722" s="169"/>
    </row>
    <row r="2723" spans="2:15" s="453" customFormat="1" ht="14" x14ac:dyDescent="0.2">
      <c r="B2723" s="389">
        <v>12</v>
      </c>
      <c r="C2723" s="602" t="s">
        <v>1319</v>
      </c>
      <c r="D2723" s="602"/>
      <c r="E2723" s="602"/>
      <c r="F2723" s="602"/>
      <c r="G2723" s="602"/>
      <c r="H2723" s="292"/>
      <c r="I2723" s="168" t="s">
        <v>211</v>
      </c>
      <c r="J2723" s="166" t="s">
        <v>211</v>
      </c>
      <c r="K2723" s="168" t="s">
        <v>211</v>
      </c>
      <c r="L2723" s="166" t="s">
        <v>211</v>
      </c>
      <c r="M2723" s="168" t="s">
        <v>211</v>
      </c>
      <c r="N2723" s="166" t="s">
        <v>211</v>
      </c>
      <c r="O2723" s="168" t="s">
        <v>211</v>
      </c>
    </row>
    <row r="2724" spans="2:15" s="453" customFormat="1" ht="14" x14ac:dyDescent="0.2">
      <c r="B2724" s="320"/>
      <c r="C2724" s="572"/>
      <c r="D2724" s="572"/>
      <c r="E2724" s="572"/>
      <c r="F2724" s="572"/>
      <c r="G2724" s="572"/>
      <c r="H2724" s="294"/>
      <c r="I2724" s="169"/>
      <c r="J2724" s="167"/>
      <c r="K2724" s="169"/>
      <c r="L2724" s="167"/>
      <c r="M2724" s="169"/>
      <c r="N2724" s="167"/>
      <c r="O2724" s="169"/>
    </row>
    <row r="2725" spans="2:15" s="453" customFormat="1" ht="14" x14ac:dyDescent="0.2">
      <c r="B2725" s="390" t="s">
        <v>333</v>
      </c>
      <c r="C2725" s="810" t="s">
        <v>1320</v>
      </c>
      <c r="D2725" s="810"/>
      <c r="E2725" s="810"/>
      <c r="F2725" s="810"/>
      <c r="G2725" s="810"/>
      <c r="H2725" s="294"/>
      <c r="I2725" s="169"/>
      <c r="J2725" s="167"/>
      <c r="K2725" s="169"/>
      <c r="L2725" s="167"/>
      <c r="M2725" s="169"/>
      <c r="N2725" s="167"/>
      <c r="O2725" s="169"/>
    </row>
    <row r="2726" spans="2:15" s="453" customFormat="1" ht="14" x14ac:dyDescent="0.2">
      <c r="B2726" s="390"/>
      <c r="C2726" s="810"/>
      <c r="D2726" s="810"/>
      <c r="E2726" s="810"/>
      <c r="F2726" s="810"/>
      <c r="G2726" s="810"/>
      <c r="H2726" s="294"/>
      <c r="I2726" s="169"/>
      <c r="J2726" s="167"/>
      <c r="K2726" s="169"/>
      <c r="L2726" s="167"/>
      <c r="M2726" s="169"/>
      <c r="N2726" s="167"/>
      <c r="O2726" s="169"/>
    </row>
    <row r="2727" spans="2:15" s="453" customFormat="1" ht="14" x14ac:dyDescent="0.2">
      <c r="B2727" s="293"/>
      <c r="F2727" s="586" t="s">
        <v>775</v>
      </c>
      <c r="G2727" s="586"/>
      <c r="H2727" s="587"/>
      <c r="I2727" s="169"/>
      <c r="J2727" s="167"/>
      <c r="K2727" s="169"/>
      <c r="L2727" s="167"/>
      <c r="M2727" s="169"/>
      <c r="N2727" s="167"/>
      <c r="O2727" s="169"/>
    </row>
    <row r="2728" spans="2:15" s="453" customFormat="1" ht="14" x14ac:dyDescent="0.2">
      <c r="B2728" s="293"/>
      <c r="F2728" s="604" t="s">
        <v>776</v>
      </c>
      <c r="G2728" s="604"/>
      <c r="H2728" s="767"/>
      <c r="I2728" s="169"/>
      <c r="J2728" s="167"/>
      <c r="K2728" s="169"/>
      <c r="L2728" s="167"/>
      <c r="M2728" s="169"/>
      <c r="N2728" s="167"/>
      <c r="O2728" s="169"/>
    </row>
    <row r="2729" spans="2:15" s="453" customFormat="1" ht="14" x14ac:dyDescent="0.2">
      <c r="B2729" s="302"/>
      <c r="C2729" s="303"/>
      <c r="D2729" s="303"/>
      <c r="E2729" s="303"/>
      <c r="F2729" s="599" t="s">
        <v>777</v>
      </c>
      <c r="G2729" s="599"/>
      <c r="H2729" s="615"/>
      <c r="I2729" s="169"/>
      <c r="J2729" s="167"/>
      <c r="K2729" s="169"/>
      <c r="L2729" s="167"/>
      <c r="M2729" s="169"/>
      <c r="N2729" s="167"/>
      <c r="O2729" s="169"/>
    </row>
    <row r="2730" spans="2:15" s="453" customFormat="1" ht="14" x14ac:dyDescent="0.2">
      <c r="B2730" s="389">
        <v>13</v>
      </c>
      <c r="C2730" s="598" t="s">
        <v>1321</v>
      </c>
      <c r="D2730" s="598"/>
      <c r="E2730" s="598"/>
      <c r="F2730" s="598"/>
      <c r="G2730" s="598"/>
      <c r="H2730" s="292"/>
      <c r="I2730" s="168" t="s">
        <v>211</v>
      </c>
      <c r="J2730" s="166" t="s">
        <v>211</v>
      </c>
      <c r="K2730" s="168" t="s">
        <v>211</v>
      </c>
      <c r="L2730" s="166" t="s">
        <v>211</v>
      </c>
      <c r="M2730" s="168" t="s">
        <v>211</v>
      </c>
      <c r="N2730" s="166" t="s">
        <v>211</v>
      </c>
      <c r="O2730" s="168" t="s">
        <v>211</v>
      </c>
    </row>
    <row r="2731" spans="2:15" s="453" customFormat="1" ht="14" x14ac:dyDescent="0.2">
      <c r="B2731" s="293"/>
      <c r="C2731" s="573" t="s">
        <v>779</v>
      </c>
      <c r="D2731" s="573"/>
      <c r="E2731" s="573"/>
      <c r="F2731" s="573"/>
      <c r="G2731" s="573"/>
      <c r="H2731" s="296"/>
      <c r="I2731" s="168" t="s">
        <v>211</v>
      </c>
      <c r="J2731" s="166" t="s">
        <v>211</v>
      </c>
      <c r="K2731" s="168" t="s">
        <v>211</v>
      </c>
      <c r="L2731" s="166" t="s">
        <v>211</v>
      </c>
      <c r="M2731" s="168" t="s">
        <v>211</v>
      </c>
      <c r="N2731" s="166" t="s">
        <v>211</v>
      </c>
      <c r="O2731" s="168" t="s">
        <v>211</v>
      </c>
    </row>
    <row r="2732" spans="2:15" s="453" customFormat="1" ht="14" x14ac:dyDescent="0.2">
      <c r="B2732" s="293"/>
      <c r="C2732" s="573" t="s">
        <v>780</v>
      </c>
      <c r="D2732" s="573"/>
      <c r="E2732" s="573"/>
      <c r="F2732" s="573"/>
      <c r="G2732" s="573"/>
      <c r="H2732" s="296"/>
      <c r="I2732" s="168" t="s">
        <v>211</v>
      </c>
      <c r="J2732" s="166" t="s">
        <v>211</v>
      </c>
      <c r="K2732" s="168" t="s">
        <v>211</v>
      </c>
      <c r="L2732" s="166" t="s">
        <v>211</v>
      </c>
      <c r="M2732" s="168" t="s">
        <v>211</v>
      </c>
      <c r="N2732" s="166" t="s">
        <v>211</v>
      </c>
      <c r="O2732" s="168" t="s">
        <v>211</v>
      </c>
    </row>
    <row r="2733" spans="2:15" s="453" customFormat="1" ht="14" x14ac:dyDescent="0.2">
      <c r="B2733" s="302"/>
      <c r="C2733" s="303"/>
      <c r="D2733" s="303"/>
      <c r="E2733" s="303"/>
      <c r="F2733" s="580" t="s">
        <v>781</v>
      </c>
      <c r="G2733" s="580"/>
      <c r="H2733" s="585"/>
      <c r="I2733" s="169"/>
      <c r="J2733" s="167"/>
      <c r="K2733" s="169"/>
      <c r="L2733" s="167"/>
      <c r="M2733" s="169"/>
      <c r="N2733" s="167"/>
      <c r="O2733" s="169"/>
    </row>
    <row r="2734" spans="2:15" s="453" customFormat="1" ht="14" x14ac:dyDescent="0.2">
      <c r="B2734" s="389" t="s">
        <v>1322</v>
      </c>
      <c r="C2734" s="602" t="s">
        <v>1323</v>
      </c>
      <c r="D2734" s="602"/>
      <c r="E2734" s="602"/>
      <c r="F2734" s="602"/>
      <c r="G2734" s="602"/>
      <c r="H2734" s="292"/>
      <c r="I2734" s="168" t="s">
        <v>211</v>
      </c>
      <c r="J2734" s="166" t="s">
        <v>211</v>
      </c>
      <c r="K2734" s="168" t="s">
        <v>211</v>
      </c>
      <c r="L2734" s="166" t="s">
        <v>211</v>
      </c>
      <c r="M2734" s="168" t="s">
        <v>211</v>
      </c>
      <c r="N2734" s="166" t="s">
        <v>211</v>
      </c>
      <c r="O2734" s="168" t="s">
        <v>211</v>
      </c>
    </row>
    <row r="2735" spans="2:15" s="453" customFormat="1" ht="14" x14ac:dyDescent="0.2">
      <c r="B2735" s="302"/>
      <c r="C2735" s="303"/>
      <c r="D2735" s="303"/>
      <c r="E2735" s="303"/>
      <c r="F2735" s="580" t="s">
        <v>1324</v>
      </c>
      <c r="G2735" s="580"/>
      <c r="H2735" s="585"/>
      <c r="I2735" s="169"/>
      <c r="J2735" s="167"/>
      <c r="K2735" s="169"/>
      <c r="L2735" s="167"/>
      <c r="M2735" s="169"/>
      <c r="N2735" s="167"/>
      <c r="O2735" s="169"/>
    </row>
    <row r="2736" spans="2:15" s="453" customFormat="1" ht="14" x14ac:dyDescent="0.2">
      <c r="B2736" s="291">
        <v>14</v>
      </c>
      <c r="C2736" s="602" t="s">
        <v>1325</v>
      </c>
      <c r="D2736" s="602"/>
      <c r="E2736" s="602"/>
      <c r="F2736" s="602"/>
      <c r="G2736" s="602"/>
      <c r="H2736" s="292"/>
      <c r="I2736" s="168" t="s">
        <v>211</v>
      </c>
      <c r="J2736" s="166" t="s">
        <v>211</v>
      </c>
      <c r="K2736" s="168" t="s">
        <v>211</v>
      </c>
      <c r="L2736" s="166" t="s">
        <v>211</v>
      </c>
      <c r="M2736" s="168" t="s">
        <v>211</v>
      </c>
      <c r="N2736" s="166" t="s">
        <v>211</v>
      </c>
      <c r="O2736" s="168" t="s">
        <v>211</v>
      </c>
    </row>
    <row r="2737" spans="2:16" s="453" customFormat="1" ht="14" x14ac:dyDescent="0.2">
      <c r="B2737" s="293"/>
      <c r="C2737" s="572" t="s">
        <v>1326</v>
      </c>
      <c r="D2737" s="572"/>
      <c r="E2737" s="572"/>
      <c r="F2737" s="572"/>
      <c r="G2737" s="572"/>
      <c r="H2737" s="296"/>
      <c r="I2737" s="168" t="s">
        <v>211</v>
      </c>
      <c r="J2737" s="166" t="s">
        <v>211</v>
      </c>
      <c r="K2737" s="168" t="s">
        <v>211</v>
      </c>
      <c r="L2737" s="166" t="s">
        <v>211</v>
      </c>
      <c r="M2737" s="168" t="s">
        <v>211</v>
      </c>
      <c r="N2737" s="166" t="s">
        <v>211</v>
      </c>
      <c r="O2737" s="168" t="s">
        <v>211</v>
      </c>
    </row>
    <row r="2738" spans="2:16" s="453" customFormat="1" ht="14" x14ac:dyDescent="0.2">
      <c r="B2738" s="293"/>
      <c r="C2738" s="572"/>
      <c r="D2738" s="572"/>
      <c r="E2738" s="572"/>
      <c r="F2738" s="572"/>
      <c r="G2738" s="572"/>
      <c r="H2738" s="294"/>
      <c r="I2738" s="169"/>
      <c r="J2738" s="167"/>
      <c r="K2738" s="169"/>
      <c r="L2738" s="167"/>
      <c r="M2738" s="169"/>
      <c r="N2738" s="167"/>
      <c r="O2738" s="169"/>
    </row>
    <row r="2739" spans="2:16" s="453" customFormat="1" ht="14" x14ac:dyDescent="0.2">
      <c r="B2739" s="293"/>
      <c r="C2739" s="573" t="s">
        <v>897</v>
      </c>
      <c r="D2739" s="573"/>
      <c r="E2739" s="573"/>
      <c r="F2739" s="573"/>
      <c r="G2739" s="573"/>
      <c r="H2739" s="296"/>
      <c r="I2739" s="168" t="s">
        <v>211</v>
      </c>
      <c r="J2739" s="166" t="s">
        <v>211</v>
      </c>
      <c r="K2739" s="168" t="s">
        <v>211</v>
      </c>
      <c r="L2739" s="166" t="s">
        <v>211</v>
      </c>
      <c r="M2739" s="168" t="s">
        <v>211</v>
      </c>
      <c r="N2739" s="166" t="s">
        <v>211</v>
      </c>
      <c r="O2739" s="168" t="s">
        <v>211</v>
      </c>
    </row>
    <row r="2740" spans="2:16" s="453" customFormat="1" ht="14" x14ac:dyDescent="0.2">
      <c r="B2740" s="293"/>
      <c r="C2740" s="572" t="s">
        <v>898</v>
      </c>
      <c r="D2740" s="572"/>
      <c r="E2740" s="572"/>
      <c r="F2740" s="572"/>
      <c r="G2740" s="572"/>
      <c r="H2740" s="296"/>
      <c r="I2740" s="168" t="s">
        <v>211</v>
      </c>
      <c r="J2740" s="166" t="s">
        <v>211</v>
      </c>
      <c r="K2740" s="168" t="s">
        <v>211</v>
      </c>
      <c r="L2740" s="166" t="s">
        <v>211</v>
      </c>
      <c r="M2740" s="168" t="s">
        <v>211</v>
      </c>
      <c r="N2740" s="166" t="s">
        <v>211</v>
      </c>
      <c r="O2740" s="168" t="s">
        <v>211</v>
      </c>
    </row>
    <row r="2741" spans="2:16" s="453" customFormat="1" ht="14" x14ac:dyDescent="0.2">
      <c r="B2741" s="293"/>
      <c r="C2741" s="572"/>
      <c r="D2741" s="572"/>
      <c r="E2741" s="572"/>
      <c r="F2741" s="572"/>
      <c r="G2741" s="572"/>
      <c r="H2741" s="294"/>
      <c r="I2741" s="172">
        <f>COUNTIF(I2170:I2740,Data!$A$1)</f>
        <v>0</v>
      </c>
      <c r="J2741" s="203">
        <f>COUNTIF(J2170:J2740,Data!$A$1)</f>
        <v>0</v>
      </c>
      <c r="K2741" s="172">
        <f>COUNTIF(K2170:K2740,Data!$A$1)</f>
        <v>0</v>
      </c>
      <c r="L2741" s="203">
        <f>COUNTIF(L2170:L2740,Data!$A$1)</f>
        <v>0</v>
      </c>
      <c r="M2741" s="172">
        <f>COUNTIF(M2170:M2740,Data!$A$1)</f>
        <v>0</v>
      </c>
      <c r="N2741" s="203">
        <f>COUNTIF(N2170:N2740,Data!$A$1)</f>
        <v>0</v>
      </c>
      <c r="O2741" s="172">
        <f>COUNTIF(O2170:O2740,Data!$A$1)</f>
        <v>0</v>
      </c>
      <c r="P2741" s="107">
        <f>SUM(I2741:K2741,M2741:N2741)</f>
        <v>0</v>
      </c>
    </row>
    <row r="2742" spans="2:16" s="453" customFormat="1" ht="14" x14ac:dyDescent="0.2">
      <c r="B2742" s="293"/>
      <c r="F2742" s="770" t="s">
        <v>785</v>
      </c>
      <c r="G2742" s="770"/>
      <c r="H2742" s="771"/>
      <c r="I2742" s="172">
        <f>SUM(I2741*5)</f>
        <v>0</v>
      </c>
      <c r="J2742" s="202"/>
      <c r="K2742" s="172">
        <f>SUM(K2741*4)</f>
        <v>0</v>
      </c>
      <c r="L2742" s="202"/>
      <c r="M2742" s="172">
        <f>SUM(M2741*5)</f>
        <v>0</v>
      </c>
      <c r="N2742" s="202">
        <f>SUM(N2741*5)</f>
        <v>0</v>
      </c>
      <c r="O2742" s="172">
        <f>SUM(I2742:N2742)</f>
        <v>0</v>
      </c>
      <c r="P2742" s="107">
        <f>SUM(P2741*5)</f>
        <v>0</v>
      </c>
    </row>
    <row r="2743" spans="2:16" s="453" customFormat="1" ht="14" x14ac:dyDescent="0.2">
      <c r="B2743" s="293"/>
      <c r="D2743" s="808" t="s">
        <v>899</v>
      </c>
      <c r="E2743" s="808"/>
      <c r="F2743" s="808"/>
      <c r="G2743" s="808"/>
      <c r="H2743" s="809"/>
      <c r="I2743" s="169"/>
      <c r="J2743" s="167"/>
      <c r="K2743" s="169"/>
      <c r="L2743" s="167"/>
      <c r="M2743" s="169"/>
      <c r="N2743" s="167"/>
      <c r="O2743" s="169"/>
    </row>
    <row r="2744" spans="2:16" s="453" customFormat="1" ht="14" x14ac:dyDescent="0.2">
      <c r="B2744" s="293"/>
      <c r="F2744" s="586" t="s">
        <v>604</v>
      </c>
      <c r="G2744" s="586"/>
      <c r="H2744" s="587"/>
      <c r="I2744" s="169"/>
      <c r="J2744" s="167"/>
      <c r="K2744" s="169"/>
      <c r="L2744" s="167"/>
      <c r="M2744" s="169"/>
      <c r="N2744" s="167"/>
      <c r="O2744" s="169"/>
    </row>
    <row r="2745" spans="2:16" s="453" customFormat="1" ht="14" x14ac:dyDescent="0.2">
      <c r="B2745" s="302"/>
      <c r="C2745" s="303"/>
      <c r="D2745" s="303"/>
      <c r="E2745" s="303"/>
      <c r="F2745" s="603" t="s">
        <v>786</v>
      </c>
      <c r="G2745" s="603"/>
      <c r="H2745" s="769"/>
      <c r="I2745" s="169"/>
      <c r="J2745" s="167"/>
      <c r="K2745" s="169"/>
      <c r="L2745" s="167"/>
      <c r="M2745" s="169"/>
      <c r="N2745" s="167"/>
      <c r="O2745" s="169"/>
    </row>
    <row r="2746" spans="2:16" s="453" customFormat="1" ht="14" x14ac:dyDescent="0.2">
      <c r="B2746" s="897" t="s">
        <v>901</v>
      </c>
      <c r="C2746" s="898"/>
      <c r="D2746" s="898"/>
      <c r="E2746" s="898"/>
      <c r="F2746" s="440"/>
      <c r="G2746" s="440"/>
      <c r="H2746" s="329"/>
      <c r="I2746" s="169"/>
      <c r="J2746" s="167"/>
      <c r="K2746" s="169"/>
      <c r="L2746" s="167"/>
      <c r="M2746" s="169"/>
      <c r="N2746" s="167"/>
      <c r="O2746" s="169"/>
    </row>
    <row r="2747" spans="2:16" s="453" customFormat="1" ht="14" x14ac:dyDescent="0.2">
      <c r="B2747" s="293"/>
      <c r="C2747" s="572" t="s">
        <v>902</v>
      </c>
      <c r="D2747" s="572"/>
      <c r="E2747" s="572"/>
      <c r="F2747" s="572"/>
      <c r="G2747" s="572"/>
      <c r="H2747" s="296"/>
      <c r="I2747" s="168" t="s">
        <v>211</v>
      </c>
      <c r="J2747" s="166" t="s">
        <v>211</v>
      </c>
      <c r="K2747" s="168" t="s">
        <v>211</v>
      </c>
      <c r="L2747" s="166" t="s">
        <v>211</v>
      </c>
      <c r="M2747" s="168" t="s">
        <v>211</v>
      </c>
      <c r="N2747" s="166" t="s">
        <v>211</v>
      </c>
      <c r="O2747" s="168" t="s">
        <v>211</v>
      </c>
    </row>
    <row r="2748" spans="2:16" s="453" customFormat="1" ht="14" x14ac:dyDescent="0.2">
      <c r="B2748" s="293"/>
      <c r="C2748" s="572"/>
      <c r="D2748" s="572"/>
      <c r="E2748" s="572"/>
      <c r="F2748" s="572"/>
      <c r="G2748" s="572"/>
      <c r="H2748" s="294"/>
      <c r="I2748" s="172">
        <f>COUNTIF(I2747,Data!$A$1)</f>
        <v>0</v>
      </c>
      <c r="J2748" s="203">
        <f>COUNTIF(J2747,Data!$A$1)</f>
        <v>0</v>
      </c>
      <c r="K2748" s="172">
        <f>COUNTIF(K2747,Data!$A$1)</f>
        <v>0</v>
      </c>
      <c r="L2748" s="203">
        <f>COUNTIF(L2747,Data!$A$1)</f>
        <v>0</v>
      </c>
      <c r="M2748" s="172">
        <f>COUNTIF(M2747,Data!$A$1)</f>
        <v>0</v>
      </c>
      <c r="N2748" s="203">
        <f>COUNTIF(N2747,Data!$A$1)</f>
        <v>0</v>
      </c>
      <c r="O2748" s="172">
        <f>COUNTIF(O2747,Data!$A$1)</f>
        <v>0</v>
      </c>
      <c r="P2748" s="107">
        <f>SUM(I2748:K2748,M2748:N2748)</f>
        <v>0</v>
      </c>
    </row>
    <row r="2749" spans="2:16" s="453" customFormat="1" ht="14" x14ac:dyDescent="0.2">
      <c r="B2749" s="293"/>
      <c r="C2749" s="573" t="s">
        <v>1327</v>
      </c>
      <c r="D2749" s="573"/>
      <c r="E2749" s="573"/>
      <c r="F2749" s="573"/>
      <c r="G2749" s="573"/>
      <c r="H2749" s="294"/>
      <c r="I2749" s="172">
        <f>SUM(I2748*15)</f>
        <v>0</v>
      </c>
      <c r="J2749" s="208"/>
      <c r="K2749" s="172">
        <f>SUM(K2748*10)</f>
        <v>0</v>
      </c>
      <c r="L2749" s="208"/>
      <c r="M2749" s="172">
        <f>SUM(M2748*15)</f>
        <v>0</v>
      </c>
      <c r="N2749" s="208">
        <f>SUM(N2748*15)</f>
        <v>0</v>
      </c>
      <c r="O2749" s="172">
        <f>SUM(I2749:N2749)</f>
        <v>0</v>
      </c>
      <c r="P2749" s="107">
        <f>SUM(P2748*15)</f>
        <v>0</v>
      </c>
    </row>
    <row r="2750" spans="2:16" s="453" customFormat="1" ht="14" x14ac:dyDescent="0.2">
      <c r="B2750" s="391" t="s">
        <v>333</v>
      </c>
      <c r="C2750" s="807" t="s">
        <v>1328</v>
      </c>
      <c r="D2750" s="807"/>
      <c r="E2750" s="807"/>
      <c r="F2750" s="807"/>
      <c r="G2750" s="807"/>
      <c r="H2750" s="294"/>
      <c r="I2750" s="169"/>
      <c r="J2750" s="173"/>
      <c r="K2750" s="169"/>
      <c r="L2750" s="173"/>
      <c r="M2750" s="169"/>
      <c r="N2750" s="173"/>
      <c r="O2750" s="169"/>
    </row>
    <row r="2751" spans="2:16" s="453" customFormat="1" ht="14" x14ac:dyDescent="0.2">
      <c r="B2751" s="391"/>
      <c r="C2751" s="807"/>
      <c r="D2751" s="807"/>
      <c r="E2751" s="807"/>
      <c r="F2751" s="807"/>
      <c r="G2751" s="807"/>
      <c r="H2751" s="294"/>
      <c r="I2751" s="169"/>
      <c r="J2751" s="167"/>
      <c r="K2751" s="169"/>
      <c r="L2751" s="167"/>
      <c r="M2751" s="169"/>
      <c r="N2751" s="167"/>
      <c r="O2751" s="169"/>
    </row>
    <row r="2752" spans="2:16" s="453" customFormat="1" ht="14" x14ac:dyDescent="0.2">
      <c r="B2752" s="391"/>
      <c r="C2752" s="807"/>
      <c r="D2752" s="807"/>
      <c r="E2752" s="807"/>
      <c r="F2752" s="807"/>
      <c r="G2752" s="807"/>
      <c r="H2752" s="294"/>
      <c r="I2752" s="169"/>
      <c r="J2752" s="167"/>
      <c r="K2752" s="169"/>
      <c r="L2752" s="167"/>
      <c r="M2752" s="169"/>
      <c r="N2752" s="167"/>
      <c r="O2752" s="169"/>
    </row>
    <row r="2753" spans="2:15" s="453" customFormat="1" ht="14" x14ac:dyDescent="0.2">
      <c r="B2753" s="302"/>
      <c r="C2753" s="303"/>
      <c r="D2753" s="303"/>
      <c r="E2753" s="303"/>
      <c r="F2753" s="580" t="s">
        <v>791</v>
      </c>
      <c r="G2753" s="580"/>
      <c r="H2753" s="585"/>
      <c r="I2753" s="169"/>
      <c r="J2753" s="167"/>
      <c r="K2753" s="169"/>
      <c r="L2753" s="167"/>
      <c r="M2753" s="169"/>
      <c r="N2753" s="167"/>
      <c r="O2753" s="169"/>
    </row>
    <row r="2754" spans="2:15" s="453" customFormat="1" ht="14" x14ac:dyDescent="0.2">
      <c r="B2754" s="291">
        <v>16</v>
      </c>
      <c r="C2754" s="142"/>
      <c r="D2754" s="142"/>
      <c r="E2754" s="142"/>
      <c r="F2754" s="780" t="s">
        <v>1329</v>
      </c>
      <c r="G2754" s="780"/>
      <c r="H2754" s="781"/>
      <c r="I2754" s="169"/>
      <c r="J2754" s="167"/>
      <c r="K2754" s="169"/>
      <c r="L2754" s="167"/>
      <c r="M2754" s="169"/>
      <c r="N2754" s="167"/>
      <c r="O2754" s="169"/>
    </row>
    <row r="2755" spans="2:15" s="453" customFormat="1" ht="14" x14ac:dyDescent="0.2">
      <c r="B2755" s="293"/>
      <c r="C2755" s="573" t="s">
        <v>1298</v>
      </c>
      <c r="D2755" s="573"/>
      <c r="E2755" s="573"/>
      <c r="F2755" s="573"/>
      <c r="G2755" s="573"/>
      <c r="H2755" s="296"/>
      <c r="I2755" s="168" t="s">
        <v>211</v>
      </c>
      <c r="J2755" s="166" t="s">
        <v>211</v>
      </c>
      <c r="K2755" s="168" t="s">
        <v>211</v>
      </c>
      <c r="L2755" s="166" t="s">
        <v>211</v>
      </c>
      <c r="M2755" s="168" t="s">
        <v>211</v>
      </c>
      <c r="N2755" s="166" t="s">
        <v>211</v>
      </c>
      <c r="O2755" s="168" t="s">
        <v>211</v>
      </c>
    </row>
    <row r="2756" spans="2:15" s="453" customFormat="1" ht="14" x14ac:dyDescent="0.2">
      <c r="B2756" s="293"/>
      <c r="C2756" s="572" t="s">
        <v>1317</v>
      </c>
      <c r="D2756" s="572"/>
      <c r="E2756" s="572"/>
      <c r="F2756" s="572"/>
      <c r="G2756" s="572"/>
      <c r="H2756" s="296"/>
      <c r="I2756" s="168" t="s">
        <v>211</v>
      </c>
      <c r="J2756" s="166" t="s">
        <v>211</v>
      </c>
      <c r="K2756" s="168" t="s">
        <v>211</v>
      </c>
      <c r="L2756" s="166" t="s">
        <v>211</v>
      </c>
      <c r="M2756" s="168" t="s">
        <v>211</v>
      </c>
      <c r="N2756" s="166" t="s">
        <v>211</v>
      </c>
      <c r="O2756" s="168" t="s">
        <v>211</v>
      </c>
    </row>
    <row r="2757" spans="2:15" s="453" customFormat="1" ht="14" x14ac:dyDescent="0.2">
      <c r="B2757" s="293"/>
      <c r="C2757" s="572"/>
      <c r="D2757" s="572"/>
      <c r="E2757" s="572"/>
      <c r="F2757" s="572"/>
      <c r="G2757" s="572"/>
      <c r="H2757" s="294"/>
      <c r="I2757" s="169"/>
      <c r="J2757" s="167"/>
      <c r="K2757" s="169"/>
      <c r="L2757" s="167"/>
      <c r="M2757" s="169"/>
      <c r="N2757" s="167"/>
      <c r="O2757" s="169"/>
    </row>
    <row r="2758" spans="2:15" s="453" customFormat="1" ht="14" x14ac:dyDescent="0.2">
      <c r="B2758" s="293"/>
      <c r="C2758" s="572"/>
      <c r="D2758" s="572"/>
      <c r="E2758" s="572"/>
      <c r="F2758" s="572"/>
      <c r="G2758" s="572"/>
      <c r="H2758" s="294"/>
      <c r="I2758" s="169"/>
      <c r="J2758" s="167"/>
      <c r="K2758" s="169"/>
      <c r="L2758" s="167"/>
      <c r="M2758" s="169"/>
      <c r="N2758" s="167"/>
      <c r="O2758" s="169"/>
    </row>
    <row r="2759" spans="2:15" s="453" customFormat="1" ht="14" x14ac:dyDescent="0.2">
      <c r="B2759" s="302"/>
      <c r="C2759" s="303"/>
      <c r="D2759" s="303"/>
      <c r="E2759" s="303"/>
      <c r="F2759" s="580" t="s">
        <v>794</v>
      </c>
      <c r="G2759" s="580"/>
      <c r="H2759" s="585"/>
      <c r="I2759" s="169"/>
      <c r="J2759" s="167"/>
      <c r="K2759" s="169"/>
      <c r="L2759" s="167"/>
      <c r="M2759" s="169"/>
      <c r="N2759" s="167"/>
      <c r="O2759" s="169"/>
    </row>
    <row r="2760" spans="2:15" s="453" customFormat="1" ht="14" x14ac:dyDescent="0.2">
      <c r="B2760" s="291">
        <v>17</v>
      </c>
      <c r="C2760" s="598" t="s">
        <v>905</v>
      </c>
      <c r="D2760" s="598"/>
      <c r="E2760" s="598"/>
      <c r="F2760" s="598"/>
      <c r="G2760" s="598"/>
      <c r="H2760" s="292"/>
      <c r="I2760" s="168" t="s">
        <v>211</v>
      </c>
      <c r="J2760" s="166" t="s">
        <v>211</v>
      </c>
      <c r="K2760" s="168" t="s">
        <v>211</v>
      </c>
      <c r="L2760" s="166" t="s">
        <v>211</v>
      </c>
      <c r="M2760" s="168" t="s">
        <v>211</v>
      </c>
      <c r="N2760" s="166" t="s">
        <v>211</v>
      </c>
      <c r="O2760" s="168" t="s">
        <v>211</v>
      </c>
    </row>
    <row r="2761" spans="2:15" s="453" customFormat="1" ht="14" x14ac:dyDescent="0.2">
      <c r="B2761" s="293"/>
      <c r="C2761" s="573" t="s">
        <v>823</v>
      </c>
      <c r="D2761" s="573"/>
      <c r="E2761" s="573"/>
      <c r="F2761" s="573"/>
      <c r="G2761" s="573"/>
      <c r="H2761" s="296"/>
      <c r="I2761" s="168" t="s">
        <v>211</v>
      </c>
      <c r="J2761" s="166" t="s">
        <v>211</v>
      </c>
      <c r="K2761" s="168" t="s">
        <v>211</v>
      </c>
      <c r="L2761" s="166" t="s">
        <v>211</v>
      </c>
      <c r="M2761" s="168" t="s">
        <v>211</v>
      </c>
      <c r="N2761" s="166" t="s">
        <v>211</v>
      </c>
      <c r="O2761" s="168" t="s">
        <v>211</v>
      </c>
    </row>
    <row r="2762" spans="2:15" s="453" customFormat="1" ht="14" x14ac:dyDescent="0.2">
      <c r="B2762" s="293"/>
      <c r="C2762" s="573" t="s">
        <v>897</v>
      </c>
      <c r="D2762" s="573"/>
      <c r="E2762" s="573"/>
      <c r="F2762" s="573"/>
      <c r="G2762" s="573"/>
      <c r="H2762" s="296"/>
      <c r="I2762" s="168" t="s">
        <v>211</v>
      </c>
      <c r="J2762" s="166" t="s">
        <v>211</v>
      </c>
      <c r="K2762" s="168" t="s">
        <v>211</v>
      </c>
      <c r="L2762" s="166" t="s">
        <v>211</v>
      </c>
      <c r="M2762" s="168" t="s">
        <v>211</v>
      </c>
      <c r="N2762" s="166" t="s">
        <v>211</v>
      </c>
      <c r="O2762" s="168" t="s">
        <v>211</v>
      </c>
    </row>
    <row r="2763" spans="2:15" s="453" customFormat="1" ht="14" x14ac:dyDescent="0.2">
      <c r="B2763" s="293"/>
      <c r="C2763" s="572" t="s">
        <v>906</v>
      </c>
      <c r="D2763" s="572"/>
      <c r="E2763" s="572"/>
      <c r="F2763" s="572"/>
      <c r="G2763" s="572"/>
      <c r="H2763" s="296"/>
      <c r="I2763" s="168" t="s">
        <v>211</v>
      </c>
      <c r="J2763" s="166" t="s">
        <v>211</v>
      </c>
      <c r="K2763" s="168" t="s">
        <v>211</v>
      </c>
      <c r="L2763" s="166" t="s">
        <v>211</v>
      </c>
      <c r="M2763" s="168" t="s">
        <v>211</v>
      </c>
      <c r="N2763" s="166" t="s">
        <v>211</v>
      </c>
      <c r="O2763" s="168" t="s">
        <v>211</v>
      </c>
    </row>
    <row r="2764" spans="2:15" s="453" customFormat="1" ht="14" x14ac:dyDescent="0.2">
      <c r="B2764" s="293"/>
      <c r="F2764" s="586" t="s">
        <v>945</v>
      </c>
      <c r="G2764" s="586"/>
      <c r="H2764" s="587"/>
      <c r="I2764" s="169"/>
      <c r="J2764" s="167"/>
      <c r="K2764" s="169"/>
      <c r="L2764" s="167"/>
      <c r="M2764" s="169"/>
      <c r="N2764" s="167"/>
      <c r="O2764" s="169"/>
    </row>
    <row r="2765" spans="2:15" s="453" customFormat="1" ht="14" x14ac:dyDescent="0.2">
      <c r="B2765" s="293"/>
      <c r="F2765" s="593" t="s">
        <v>907</v>
      </c>
      <c r="G2765" s="593"/>
      <c r="H2765" s="768"/>
      <c r="I2765" s="169"/>
      <c r="J2765" s="167"/>
      <c r="K2765" s="169"/>
      <c r="L2765" s="167"/>
      <c r="M2765" s="169"/>
      <c r="N2765" s="167"/>
      <c r="O2765" s="169"/>
    </row>
    <row r="2766" spans="2:15" s="453" customFormat="1" ht="14" x14ac:dyDescent="0.2">
      <c r="B2766" s="302"/>
      <c r="C2766" s="303"/>
      <c r="D2766" s="303"/>
      <c r="E2766" s="303"/>
      <c r="F2766" s="580" t="s">
        <v>908</v>
      </c>
      <c r="G2766" s="580"/>
      <c r="H2766" s="585"/>
      <c r="I2766" s="169"/>
      <c r="J2766" s="167"/>
      <c r="K2766" s="169"/>
      <c r="L2766" s="167"/>
      <c r="M2766" s="169"/>
      <c r="N2766" s="167"/>
      <c r="O2766" s="169"/>
    </row>
    <row r="2767" spans="2:15" s="453" customFormat="1" ht="14" x14ac:dyDescent="0.2">
      <c r="B2767" s="291">
        <v>18</v>
      </c>
      <c r="C2767" s="142"/>
      <c r="D2767" s="142"/>
      <c r="E2767" s="142"/>
      <c r="F2767" s="612" t="s">
        <v>775</v>
      </c>
      <c r="G2767" s="612"/>
      <c r="H2767" s="782"/>
      <c r="I2767" s="169"/>
      <c r="J2767" s="167"/>
      <c r="K2767" s="169"/>
      <c r="L2767" s="167"/>
      <c r="M2767" s="169"/>
      <c r="N2767" s="167"/>
      <c r="O2767" s="169"/>
    </row>
    <row r="2768" spans="2:15" s="453" customFormat="1" ht="14" x14ac:dyDescent="0.2">
      <c r="B2768" s="293"/>
      <c r="D2768" s="593" t="s">
        <v>801</v>
      </c>
      <c r="E2768" s="593"/>
      <c r="F2768" s="593"/>
      <c r="G2768" s="593"/>
      <c r="H2768" s="768"/>
      <c r="I2768" s="169"/>
      <c r="J2768" s="167"/>
      <c r="K2768" s="169"/>
      <c r="L2768" s="167"/>
      <c r="M2768" s="169"/>
      <c r="N2768" s="167"/>
      <c r="O2768" s="169"/>
    </row>
    <row r="2769" spans="2:15" s="453" customFormat="1" ht="14" x14ac:dyDescent="0.2">
      <c r="B2769" s="293"/>
      <c r="D2769" s="604" t="s">
        <v>957</v>
      </c>
      <c r="E2769" s="604"/>
      <c r="F2769" s="604"/>
      <c r="G2769" s="604"/>
      <c r="H2769" s="767"/>
      <c r="I2769" s="169"/>
      <c r="J2769" s="167"/>
      <c r="K2769" s="169"/>
      <c r="L2769" s="167"/>
      <c r="M2769" s="169"/>
      <c r="N2769" s="167"/>
      <c r="O2769" s="169"/>
    </row>
    <row r="2770" spans="2:15" s="453" customFormat="1" ht="14" x14ac:dyDescent="0.2">
      <c r="B2770" s="302"/>
      <c r="C2770" s="303"/>
      <c r="D2770" s="580" t="s">
        <v>1330</v>
      </c>
      <c r="E2770" s="580"/>
      <c r="F2770" s="580"/>
      <c r="G2770" s="580"/>
      <c r="H2770" s="585"/>
      <c r="I2770" s="169"/>
      <c r="J2770" s="167"/>
      <c r="K2770" s="169"/>
      <c r="L2770" s="167"/>
      <c r="M2770" s="169"/>
      <c r="N2770" s="167"/>
      <c r="O2770" s="169"/>
    </row>
    <row r="2771" spans="2:15" s="453" customFormat="1" ht="14" x14ac:dyDescent="0.2">
      <c r="B2771" s="291" t="s">
        <v>804</v>
      </c>
      <c r="C2771" s="598" t="s">
        <v>912</v>
      </c>
      <c r="D2771" s="598"/>
      <c r="E2771" s="598"/>
      <c r="F2771" s="598"/>
      <c r="G2771" s="598"/>
      <c r="H2771" s="292"/>
      <c r="I2771" s="168" t="s">
        <v>211</v>
      </c>
      <c r="J2771" s="166" t="s">
        <v>211</v>
      </c>
      <c r="K2771" s="168" t="s">
        <v>211</v>
      </c>
      <c r="L2771" s="166" t="s">
        <v>211</v>
      </c>
      <c r="M2771" s="168" t="s">
        <v>211</v>
      </c>
      <c r="N2771" s="166" t="s">
        <v>211</v>
      </c>
      <c r="O2771" s="168" t="s">
        <v>211</v>
      </c>
    </row>
    <row r="2772" spans="2:15" s="453" customFormat="1" ht="14" x14ac:dyDescent="0.2">
      <c r="B2772" s="293"/>
      <c r="C2772" s="573" t="s">
        <v>913</v>
      </c>
      <c r="D2772" s="573"/>
      <c r="E2772" s="573"/>
      <c r="F2772" s="573"/>
      <c r="G2772" s="573"/>
      <c r="H2772" s="296"/>
      <c r="I2772" s="168" t="s">
        <v>211</v>
      </c>
      <c r="J2772" s="166" t="s">
        <v>211</v>
      </c>
      <c r="K2772" s="168" t="s">
        <v>211</v>
      </c>
      <c r="L2772" s="166" t="s">
        <v>211</v>
      </c>
      <c r="M2772" s="168" t="s">
        <v>211</v>
      </c>
      <c r="N2772" s="166" t="s">
        <v>211</v>
      </c>
      <c r="O2772" s="168" t="s">
        <v>211</v>
      </c>
    </row>
    <row r="2773" spans="2:15" s="453" customFormat="1" ht="14" x14ac:dyDescent="0.2">
      <c r="B2773" s="293"/>
      <c r="C2773" s="573" t="s">
        <v>1331</v>
      </c>
      <c r="D2773" s="573"/>
      <c r="E2773" s="573"/>
      <c r="F2773" s="573"/>
      <c r="G2773" s="573"/>
      <c r="H2773" s="296"/>
      <c r="I2773" s="168" t="s">
        <v>211</v>
      </c>
      <c r="J2773" s="166" t="s">
        <v>211</v>
      </c>
      <c r="K2773" s="168" t="s">
        <v>211</v>
      </c>
      <c r="L2773" s="166" t="s">
        <v>211</v>
      </c>
      <c r="M2773" s="168" t="s">
        <v>211</v>
      </c>
      <c r="N2773" s="166" t="s">
        <v>211</v>
      </c>
      <c r="O2773" s="168" t="s">
        <v>211</v>
      </c>
    </row>
    <row r="2774" spans="2:15" s="453" customFormat="1" ht="14" x14ac:dyDescent="0.2">
      <c r="B2774" s="293"/>
      <c r="C2774" s="573" t="s">
        <v>915</v>
      </c>
      <c r="D2774" s="573"/>
      <c r="E2774" s="573"/>
      <c r="F2774" s="573"/>
      <c r="G2774" s="573"/>
      <c r="H2774" s="296"/>
      <c r="I2774" s="168" t="s">
        <v>211</v>
      </c>
      <c r="J2774" s="166" t="s">
        <v>211</v>
      </c>
      <c r="K2774" s="168" t="s">
        <v>211</v>
      </c>
      <c r="L2774" s="166" t="s">
        <v>211</v>
      </c>
      <c r="M2774" s="168" t="s">
        <v>211</v>
      </c>
      <c r="N2774" s="166" t="s">
        <v>211</v>
      </c>
      <c r="O2774" s="168" t="s">
        <v>211</v>
      </c>
    </row>
    <row r="2775" spans="2:15" s="453" customFormat="1" ht="14" x14ac:dyDescent="0.2">
      <c r="B2775" s="302"/>
      <c r="C2775" s="303"/>
      <c r="D2775" s="303"/>
      <c r="E2775" s="303"/>
      <c r="F2775" s="580" t="s">
        <v>495</v>
      </c>
      <c r="G2775" s="580"/>
      <c r="H2775" s="585"/>
      <c r="I2775" s="169"/>
      <c r="J2775" s="167"/>
      <c r="K2775" s="169"/>
      <c r="L2775" s="167"/>
      <c r="M2775" s="169"/>
      <c r="N2775" s="167"/>
      <c r="O2775" s="169"/>
    </row>
    <row r="2776" spans="2:15" s="453" customFormat="1" ht="14" x14ac:dyDescent="0.2">
      <c r="B2776" s="112"/>
      <c r="I2776" s="135"/>
      <c r="J2776" s="105"/>
      <c r="K2776" s="135"/>
      <c r="L2776" s="105"/>
      <c r="M2776" s="135"/>
      <c r="N2776" s="105"/>
      <c r="O2776" s="135"/>
    </row>
    <row r="2777" spans="2:15" s="453" customFormat="1" ht="14" x14ac:dyDescent="0.2">
      <c r="B2777" s="392" t="s">
        <v>1590</v>
      </c>
      <c r="C2777" s="393"/>
      <c r="D2777" s="393"/>
      <c r="E2777" s="394"/>
      <c r="F2777" s="394"/>
      <c r="G2777" s="394"/>
      <c r="H2777" s="395"/>
      <c r="I2777" s="135"/>
      <c r="J2777" s="105"/>
      <c r="K2777" s="135"/>
      <c r="L2777" s="105"/>
      <c r="M2777" s="135"/>
      <c r="N2777" s="105"/>
      <c r="O2777" s="135"/>
    </row>
    <row r="2778" spans="2:15" s="453" customFormat="1" ht="14" x14ac:dyDescent="0.2">
      <c r="B2778" s="291">
        <v>1</v>
      </c>
      <c r="C2778" s="602" t="s">
        <v>1332</v>
      </c>
      <c r="D2778" s="602"/>
      <c r="E2778" s="602"/>
      <c r="F2778" s="602"/>
      <c r="G2778" s="602"/>
      <c r="H2778" s="292"/>
      <c r="I2778" s="168" t="s">
        <v>211</v>
      </c>
      <c r="J2778" s="166" t="s">
        <v>211</v>
      </c>
      <c r="K2778" s="168" t="s">
        <v>211</v>
      </c>
      <c r="L2778" s="166" t="s">
        <v>211</v>
      </c>
      <c r="M2778" s="168" t="s">
        <v>211</v>
      </c>
      <c r="N2778" s="166" t="s">
        <v>211</v>
      </c>
      <c r="O2778" s="168" t="s">
        <v>211</v>
      </c>
    </row>
    <row r="2779" spans="2:15" s="453" customFormat="1" ht="14" x14ac:dyDescent="0.2">
      <c r="B2779" s="293"/>
      <c r="C2779" s="572"/>
      <c r="D2779" s="572"/>
      <c r="E2779" s="572"/>
      <c r="F2779" s="572"/>
      <c r="G2779" s="572"/>
      <c r="H2779" s="294"/>
      <c r="I2779" s="169"/>
      <c r="J2779" s="167"/>
      <c r="K2779" s="169"/>
      <c r="L2779" s="167"/>
      <c r="M2779" s="169"/>
      <c r="N2779" s="167"/>
      <c r="O2779" s="169"/>
    </row>
    <row r="2780" spans="2:15" s="453" customFormat="1" ht="14" x14ac:dyDescent="0.2">
      <c r="B2780" s="293"/>
      <c r="C2780" s="573" t="s">
        <v>961</v>
      </c>
      <c r="D2780" s="573"/>
      <c r="E2780" s="573"/>
      <c r="F2780" s="573"/>
      <c r="G2780" s="573"/>
      <c r="H2780" s="296"/>
      <c r="I2780" s="168" t="s">
        <v>211</v>
      </c>
      <c r="J2780" s="166" t="s">
        <v>211</v>
      </c>
      <c r="K2780" s="168" t="s">
        <v>211</v>
      </c>
      <c r="L2780" s="166" t="s">
        <v>211</v>
      </c>
      <c r="M2780" s="168" t="s">
        <v>211</v>
      </c>
      <c r="N2780" s="166" t="s">
        <v>211</v>
      </c>
      <c r="O2780" s="168" t="s">
        <v>211</v>
      </c>
    </row>
    <row r="2781" spans="2:15" s="453" customFormat="1" ht="14" x14ac:dyDescent="0.2">
      <c r="B2781" s="293"/>
      <c r="F2781" s="586" t="s">
        <v>727</v>
      </c>
      <c r="G2781" s="586"/>
      <c r="H2781" s="587"/>
      <c r="I2781" s="169"/>
      <c r="J2781" s="167"/>
      <c r="K2781" s="169"/>
      <c r="L2781" s="167"/>
      <c r="M2781" s="169"/>
      <c r="N2781" s="167"/>
      <c r="O2781" s="169"/>
    </row>
    <row r="2782" spans="2:15" s="453" customFormat="1" ht="14" x14ac:dyDescent="0.2">
      <c r="B2782" s="293"/>
      <c r="C2782" s="573" t="s">
        <v>919</v>
      </c>
      <c r="D2782" s="573"/>
      <c r="E2782" s="573"/>
      <c r="F2782" s="573"/>
      <c r="G2782" s="573"/>
      <c r="H2782" s="296"/>
      <c r="I2782" s="168" t="s">
        <v>211</v>
      </c>
      <c r="J2782" s="166" t="s">
        <v>211</v>
      </c>
      <c r="K2782" s="168" t="s">
        <v>211</v>
      </c>
      <c r="L2782" s="166" t="s">
        <v>211</v>
      </c>
      <c r="M2782" s="168" t="s">
        <v>211</v>
      </c>
      <c r="N2782" s="166" t="s">
        <v>211</v>
      </c>
      <c r="O2782" s="168" t="s">
        <v>211</v>
      </c>
    </row>
    <row r="2783" spans="2:15" s="453" customFormat="1" ht="14" x14ac:dyDescent="0.2">
      <c r="B2783" s="293"/>
      <c r="C2783" s="573" t="s">
        <v>856</v>
      </c>
      <c r="D2783" s="573"/>
      <c r="E2783" s="573"/>
      <c r="F2783" s="573"/>
      <c r="G2783" s="573"/>
      <c r="H2783" s="296"/>
      <c r="I2783" s="168" t="s">
        <v>211</v>
      </c>
      <c r="J2783" s="166" t="s">
        <v>211</v>
      </c>
      <c r="K2783" s="168" t="s">
        <v>211</v>
      </c>
      <c r="L2783" s="166" t="s">
        <v>211</v>
      </c>
      <c r="M2783" s="168" t="s">
        <v>211</v>
      </c>
      <c r="N2783" s="166" t="s">
        <v>211</v>
      </c>
      <c r="O2783" s="168" t="s">
        <v>211</v>
      </c>
    </row>
    <row r="2784" spans="2:15" s="453" customFormat="1" ht="14" x14ac:dyDescent="0.2">
      <c r="B2784" s="293"/>
      <c r="C2784" s="573" t="s">
        <v>729</v>
      </c>
      <c r="D2784" s="573"/>
      <c r="E2784" s="573"/>
      <c r="F2784" s="573"/>
      <c r="G2784" s="573"/>
      <c r="H2784" s="296"/>
      <c r="I2784" s="168" t="s">
        <v>211</v>
      </c>
      <c r="J2784" s="166" t="s">
        <v>211</v>
      </c>
      <c r="K2784" s="168" t="s">
        <v>211</v>
      </c>
      <c r="L2784" s="166" t="s">
        <v>211</v>
      </c>
      <c r="M2784" s="168" t="s">
        <v>211</v>
      </c>
      <c r="N2784" s="166" t="s">
        <v>211</v>
      </c>
      <c r="O2784" s="168" t="s">
        <v>211</v>
      </c>
    </row>
    <row r="2785" spans="2:15" s="453" customFormat="1" ht="14" x14ac:dyDescent="0.2">
      <c r="B2785" s="302"/>
      <c r="C2785" s="303"/>
      <c r="D2785" s="303"/>
      <c r="E2785" s="303"/>
      <c r="F2785" s="580" t="s">
        <v>920</v>
      </c>
      <c r="G2785" s="580"/>
      <c r="H2785" s="585"/>
      <c r="I2785" s="169"/>
      <c r="J2785" s="167"/>
      <c r="K2785" s="169"/>
      <c r="L2785" s="167"/>
      <c r="M2785" s="169"/>
      <c r="N2785" s="167"/>
      <c r="O2785" s="169"/>
    </row>
    <row r="2786" spans="2:15" s="453" customFormat="1" ht="14" x14ac:dyDescent="0.2">
      <c r="B2786" s="291">
        <v>2</v>
      </c>
      <c r="C2786" s="598" t="s">
        <v>730</v>
      </c>
      <c r="D2786" s="598"/>
      <c r="E2786" s="598"/>
      <c r="F2786" s="598"/>
      <c r="G2786" s="598"/>
      <c r="H2786" s="292"/>
      <c r="I2786" s="168" t="s">
        <v>211</v>
      </c>
      <c r="J2786" s="166" t="s">
        <v>211</v>
      </c>
      <c r="K2786" s="168" t="s">
        <v>211</v>
      </c>
      <c r="L2786" s="166" t="s">
        <v>211</v>
      </c>
      <c r="M2786" s="168" t="s">
        <v>211</v>
      </c>
      <c r="N2786" s="166" t="s">
        <v>211</v>
      </c>
      <c r="O2786" s="168" t="s">
        <v>211</v>
      </c>
    </row>
    <row r="2787" spans="2:15" s="453" customFormat="1" ht="14" x14ac:dyDescent="0.2">
      <c r="B2787" s="293"/>
      <c r="C2787" s="572" t="s">
        <v>1333</v>
      </c>
      <c r="D2787" s="572"/>
      <c r="E2787" s="572"/>
      <c r="F2787" s="572"/>
      <c r="G2787" s="572"/>
      <c r="H2787" s="296"/>
      <c r="I2787" s="168" t="s">
        <v>211</v>
      </c>
      <c r="J2787" s="166" t="s">
        <v>211</v>
      </c>
      <c r="K2787" s="168" t="s">
        <v>211</v>
      </c>
      <c r="L2787" s="166" t="s">
        <v>211</v>
      </c>
      <c r="M2787" s="168" t="s">
        <v>211</v>
      </c>
      <c r="N2787" s="166" t="s">
        <v>211</v>
      </c>
      <c r="O2787" s="168" t="s">
        <v>211</v>
      </c>
    </row>
    <row r="2788" spans="2:15" s="453" customFormat="1" ht="14" x14ac:dyDescent="0.2">
      <c r="B2788" s="293"/>
      <c r="C2788" s="572"/>
      <c r="D2788" s="572"/>
      <c r="E2788" s="572"/>
      <c r="F2788" s="572"/>
      <c r="G2788" s="572"/>
      <c r="H2788" s="294"/>
      <c r="I2788" s="169"/>
      <c r="J2788" s="167"/>
      <c r="K2788" s="169"/>
      <c r="L2788" s="167"/>
      <c r="M2788" s="169"/>
      <c r="N2788" s="167"/>
      <c r="O2788" s="169"/>
    </row>
    <row r="2789" spans="2:15" s="453" customFormat="1" ht="14" x14ac:dyDescent="0.2">
      <c r="B2789" s="293"/>
      <c r="C2789" s="572" t="s">
        <v>1334</v>
      </c>
      <c r="D2789" s="572"/>
      <c r="E2789" s="572"/>
      <c r="F2789" s="572"/>
      <c r="G2789" s="572"/>
      <c r="H2789" s="296"/>
      <c r="I2789" s="168" t="s">
        <v>211</v>
      </c>
      <c r="J2789" s="166" t="s">
        <v>211</v>
      </c>
      <c r="K2789" s="168" t="s">
        <v>211</v>
      </c>
      <c r="L2789" s="166" t="s">
        <v>211</v>
      </c>
      <c r="M2789" s="168" t="s">
        <v>211</v>
      </c>
      <c r="N2789" s="166" t="s">
        <v>211</v>
      </c>
      <c r="O2789" s="168" t="s">
        <v>211</v>
      </c>
    </row>
    <row r="2790" spans="2:15" s="453" customFormat="1" ht="14" x14ac:dyDescent="0.2">
      <c r="B2790" s="293"/>
      <c r="C2790" s="572"/>
      <c r="D2790" s="572"/>
      <c r="E2790" s="572"/>
      <c r="F2790" s="572"/>
      <c r="G2790" s="572"/>
      <c r="H2790" s="294"/>
      <c r="I2790" s="169"/>
      <c r="J2790" s="167"/>
      <c r="K2790" s="169"/>
      <c r="L2790" s="167"/>
      <c r="M2790" s="169"/>
      <c r="N2790" s="167"/>
      <c r="O2790" s="169"/>
    </row>
    <row r="2791" spans="2:15" s="453" customFormat="1" ht="14" x14ac:dyDescent="0.2">
      <c r="B2791" s="293"/>
      <c r="C2791" s="573" t="s">
        <v>1293</v>
      </c>
      <c r="D2791" s="573"/>
      <c r="E2791" s="573"/>
      <c r="F2791" s="573"/>
      <c r="G2791" s="573"/>
      <c r="H2791" s="296"/>
      <c r="I2791" s="168" t="s">
        <v>211</v>
      </c>
      <c r="J2791" s="166" t="s">
        <v>211</v>
      </c>
      <c r="K2791" s="168" t="s">
        <v>211</v>
      </c>
      <c r="L2791" s="166" t="s">
        <v>211</v>
      </c>
      <c r="M2791" s="168" t="s">
        <v>211</v>
      </c>
      <c r="N2791" s="166" t="s">
        <v>211</v>
      </c>
      <c r="O2791" s="168" t="s">
        <v>211</v>
      </c>
    </row>
    <row r="2792" spans="2:15" s="453" customFormat="1" ht="14" x14ac:dyDescent="0.2">
      <c r="B2792" s="293"/>
      <c r="F2792" s="586" t="s">
        <v>733</v>
      </c>
      <c r="G2792" s="586"/>
      <c r="H2792" s="587"/>
      <c r="I2792" s="169"/>
      <c r="J2792" s="167"/>
      <c r="K2792" s="169"/>
      <c r="L2792" s="167"/>
      <c r="M2792" s="169"/>
      <c r="N2792" s="167"/>
      <c r="O2792" s="169"/>
    </row>
    <row r="2793" spans="2:15" s="453" customFormat="1" ht="14" x14ac:dyDescent="0.2">
      <c r="B2793" s="293"/>
      <c r="F2793" s="770" t="s">
        <v>858</v>
      </c>
      <c r="G2793" s="770"/>
      <c r="H2793" s="771"/>
      <c r="I2793" s="169"/>
      <c r="J2793" s="167"/>
      <c r="K2793" s="169"/>
      <c r="L2793" s="167"/>
      <c r="M2793" s="169"/>
      <c r="N2793" s="167"/>
      <c r="O2793" s="169"/>
    </row>
    <row r="2794" spans="2:15" s="453" customFormat="1" ht="14" x14ac:dyDescent="0.2">
      <c r="B2794" s="302"/>
      <c r="C2794" s="303"/>
      <c r="D2794" s="303"/>
      <c r="E2794" s="603" t="s">
        <v>734</v>
      </c>
      <c r="F2794" s="603"/>
      <c r="G2794" s="603"/>
      <c r="H2794" s="769"/>
      <c r="I2794" s="169"/>
      <c r="J2794" s="167"/>
      <c r="K2794" s="169"/>
      <c r="L2794" s="167"/>
      <c r="M2794" s="169"/>
      <c r="N2794" s="167"/>
      <c r="O2794" s="169"/>
    </row>
    <row r="2795" spans="2:15" s="453" customFormat="1" ht="14" x14ac:dyDescent="0.2">
      <c r="B2795" s="291">
        <v>3</v>
      </c>
      <c r="C2795" s="142"/>
      <c r="D2795" s="142"/>
      <c r="E2795" s="142"/>
      <c r="F2795" s="783" t="s">
        <v>736</v>
      </c>
      <c r="G2795" s="783"/>
      <c r="H2795" s="784"/>
      <c r="I2795" s="169"/>
      <c r="J2795" s="167"/>
      <c r="K2795" s="169"/>
      <c r="L2795" s="167"/>
      <c r="M2795" s="169"/>
      <c r="N2795" s="167"/>
      <c r="O2795" s="169"/>
    </row>
    <row r="2796" spans="2:15" s="453" customFormat="1" ht="14" x14ac:dyDescent="0.2">
      <c r="B2796" s="293"/>
      <c r="E2796" s="604" t="s">
        <v>1335</v>
      </c>
      <c r="F2796" s="604"/>
      <c r="G2796" s="604"/>
      <c r="H2796" s="767"/>
      <c r="I2796" s="169"/>
      <c r="J2796" s="167"/>
      <c r="K2796" s="169"/>
      <c r="L2796" s="167"/>
      <c r="M2796" s="169"/>
      <c r="N2796" s="167"/>
      <c r="O2796" s="169"/>
    </row>
    <row r="2797" spans="2:15" s="453" customFormat="1" ht="14" x14ac:dyDescent="0.2">
      <c r="B2797" s="293"/>
      <c r="C2797" s="573" t="s">
        <v>1336</v>
      </c>
      <c r="D2797" s="573"/>
      <c r="E2797" s="573"/>
      <c r="F2797" s="573"/>
      <c r="G2797" s="573"/>
      <c r="H2797" s="296"/>
      <c r="I2797" s="168" t="s">
        <v>211</v>
      </c>
      <c r="J2797" s="166" t="s">
        <v>211</v>
      </c>
      <c r="K2797" s="168" t="s">
        <v>211</v>
      </c>
      <c r="L2797" s="166" t="s">
        <v>211</v>
      </c>
      <c r="M2797" s="168" t="s">
        <v>211</v>
      </c>
      <c r="N2797" s="166" t="s">
        <v>211</v>
      </c>
      <c r="O2797" s="168" t="s">
        <v>211</v>
      </c>
    </row>
    <row r="2798" spans="2:15" s="453" customFormat="1" ht="14" x14ac:dyDescent="0.2">
      <c r="B2798" s="293"/>
      <c r="C2798" s="573" t="s">
        <v>1337</v>
      </c>
      <c r="D2798" s="573"/>
      <c r="E2798" s="573"/>
      <c r="F2798" s="573"/>
      <c r="G2798" s="573"/>
      <c r="H2798" s="296"/>
      <c r="I2798" s="168" t="s">
        <v>211</v>
      </c>
      <c r="J2798" s="166" t="s">
        <v>211</v>
      </c>
      <c r="K2798" s="168" t="s">
        <v>211</v>
      </c>
      <c r="L2798" s="166" t="s">
        <v>211</v>
      </c>
      <c r="M2798" s="168" t="s">
        <v>211</v>
      </c>
      <c r="N2798" s="166" t="s">
        <v>211</v>
      </c>
      <c r="O2798" s="168" t="s">
        <v>211</v>
      </c>
    </row>
    <row r="2799" spans="2:15" s="453" customFormat="1" ht="14" x14ac:dyDescent="0.2">
      <c r="B2799" s="293"/>
      <c r="F2799" s="770" t="s">
        <v>861</v>
      </c>
      <c r="G2799" s="770"/>
      <c r="H2799" s="771"/>
      <c r="I2799" s="169"/>
      <c r="J2799" s="167"/>
      <c r="K2799" s="169"/>
      <c r="L2799" s="167"/>
      <c r="M2799" s="169"/>
      <c r="N2799" s="167"/>
      <c r="O2799" s="169"/>
    </row>
    <row r="2800" spans="2:15" s="453" customFormat="1" ht="14" x14ac:dyDescent="0.2">
      <c r="B2800" s="293"/>
      <c r="F2800" s="770" t="s">
        <v>862</v>
      </c>
      <c r="G2800" s="770"/>
      <c r="H2800" s="771"/>
      <c r="I2800" s="169"/>
      <c r="J2800" s="167"/>
      <c r="K2800" s="169"/>
      <c r="L2800" s="167"/>
      <c r="M2800" s="169"/>
      <c r="N2800" s="167"/>
      <c r="O2800" s="169"/>
    </row>
    <row r="2801" spans="2:15" s="453" customFormat="1" ht="14" x14ac:dyDescent="0.2">
      <c r="B2801" s="302"/>
      <c r="C2801" s="303"/>
      <c r="D2801" s="303"/>
      <c r="E2801" s="303"/>
      <c r="F2801" s="613" t="s">
        <v>863</v>
      </c>
      <c r="G2801" s="613"/>
      <c r="H2801" s="775"/>
      <c r="I2801" s="169"/>
      <c r="J2801" s="167"/>
      <c r="K2801" s="169"/>
      <c r="L2801" s="167"/>
      <c r="M2801" s="169"/>
      <c r="N2801" s="167"/>
      <c r="O2801" s="169"/>
    </row>
    <row r="2802" spans="2:15" s="453" customFormat="1" ht="14" x14ac:dyDescent="0.2">
      <c r="B2802" s="291">
        <v>4</v>
      </c>
      <c r="C2802" s="598" t="s">
        <v>1338</v>
      </c>
      <c r="D2802" s="598"/>
      <c r="E2802" s="598"/>
      <c r="F2802" s="598"/>
      <c r="G2802" s="598"/>
      <c r="H2802" s="292"/>
      <c r="I2802" s="168" t="s">
        <v>211</v>
      </c>
      <c r="J2802" s="166" t="s">
        <v>211</v>
      </c>
      <c r="K2802" s="168" t="s">
        <v>211</v>
      </c>
      <c r="L2802" s="166" t="s">
        <v>211</v>
      </c>
      <c r="M2802" s="168" t="s">
        <v>211</v>
      </c>
      <c r="N2802" s="166" t="s">
        <v>211</v>
      </c>
      <c r="O2802" s="168" t="s">
        <v>211</v>
      </c>
    </row>
    <row r="2803" spans="2:15" s="453" customFormat="1" ht="14" x14ac:dyDescent="0.2">
      <c r="B2803" s="293"/>
      <c r="C2803" s="604" t="s">
        <v>1296</v>
      </c>
      <c r="D2803" s="604"/>
      <c r="E2803" s="604" t="s">
        <v>1297</v>
      </c>
      <c r="F2803" s="604"/>
      <c r="G2803" s="604"/>
      <c r="H2803" s="294"/>
      <c r="I2803" s="169"/>
      <c r="J2803" s="167"/>
      <c r="K2803" s="169"/>
      <c r="L2803" s="167"/>
      <c r="M2803" s="169"/>
      <c r="N2803" s="167"/>
      <c r="O2803" s="169"/>
    </row>
    <row r="2804" spans="2:15" s="453" customFormat="1" ht="14" x14ac:dyDescent="0.2">
      <c r="B2804" s="293"/>
      <c r="C2804" s="572" t="s">
        <v>1339</v>
      </c>
      <c r="D2804" s="572"/>
      <c r="E2804" s="572"/>
      <c r="F2804" s="572"/>
      <c r="G2804" s="572"/>
      <c r="H2804" s="296"/>
      <c r="I2804" s="168" t="s">
        <v>211</v>
      </c>
      <c r="J2804" s="166" t="s">
        <v>211</v>
      </c>
      <c r="K2804" s="168" t="s">
        <v>211</v>
      </c>
      <c r="L2804" s="166" t="s">
        <v>211</v>
      </c>
      <c r="M2804" s="168" t="s">
        <v>211</v>
      </c>
      <c r="N2804" s="166" t="s">
        <v>211</v>
      </c>
      <c r="O2804" s="168" t="s">
        <v>211</v>
      </c>
    </row>
    <row r="2805" spans="2:15" s="453" customFormat="1" ht="14" x14ac:dyDescent="0.2">
      <c r="B2805" s="293"/>
      <c r="C2805" s="572" t="s">
        <v>1340</v>
      </c>
      <c r="D2805" s="572"/>
      <c r="E2805" s="572"/>
      <c r="F2805" s="572"/>
      <c r="G2805" s="572"/>
      <c r="H2805" s="296"/>
      <c r="I2805" s="168" t="s">
        <v>211</v>
      </c>
      <c r="J2805" s="166" t="s">
        <v>211</v>
      </c>
      <c r="K2805" s="168" t="s">
        <v>211</v>
      </c>
      <c r="L2805" s="166" t="s">
        <v>211</v>
      </c>
      <c r="M2805" s="168" t="s">
        <v>211</v>
      </c>
      <c r="N2805" s="166" t="s">
        <v>211</v>
      </c>
      <c r="O2805" s="168" t="s">
        <v>211</v>
      </c>
    </row>
    <row r="2806" spans="2:15" s="453" customFormat="1" ht="14" x14ac:dyDescent="0.2">
      <c r="B2806" s="293"/>
      <c r="C2806" s="572"/>
      <c r="D2806" s="572"/>
      <c r="E2806" s="572"/>
      <c r="F2806" s="572"/>
      <c r="G2806" s="572"/>
      <c r="H2806" s="294"/>
      <c r="I2806" s="169"/>
      <c r="J2806" s="167"/>
      <c r="K2806" s="169"/>
      <c r="L2806" s="167"/>
      <c r="M2806" s="169"/>
      <c r="N2806" s="167"/>
      <c r="O2806" s="169"/>
    </row>
    <row r="2807" spans="2:15" s="453" customFormat="1" ht="14" x14ac:dyDescent="0.2">
      <c r="B2807" s="293"/>
      <c r="C2807" s="572"/>
      <c r="D2807" s="572"/>
      <c r="E2807" s="572"/>
      <c r="F2807" s="572"/>
      <c r="G2807" s="572"/>
      <c r="H2807" s="294"/>
      <c r="I2807" s="169"/>
      <c r="J2807" s="167"/>
      <c r="K2807" s="169"/>
      <c r="L2807" s="167"/>
      <c r="M2807" s="169"/>
      <c r="N2807" s="167"/>
      <c r="O2807" s="169"/>
    </row>
    <row r="2808" spans="2:15" s="453" customFormat="1" ht="14" x14ac:dyDescent="0.2">
      <c r="B2808" s="293"/>
      <c r="C2808" s="573" t="s">
        <v>1341</v>
      </c>
      <c r="D2808" s="573"/>
      <c r="E2808" s="573"/>
      <c r="F2808" s="573"/>
      <c r="G2808" s="573"/>
      <c r="H2808" s="296"/>
      <c r="I2808" s="168" t="s">
        <v>211</v>
      </c>
      <c r="J2808" s="166" t="s">
        <v>211</v>
      </c>
      <c r="K2808" s="168" t="s">
        <v>211</v>
      </c>
      <c r="L2808" s="166" t="s">
        <v>211</v>
      </c>
      <c r="M2808" s="168" t="s">
        <v>211</v>
      </c>
      <c r="N2808" s="166" t="s">
        <v>211</v>
      </c>
      <c r="O2808" s="168" t="s">
        <v>211</v>
      </c>
    </row>
    <row r="2809" spans="2:15" s="453" customFormat="1" ht="14" x14ac:dyDescent="0.2">
      <c r="B2809" s="293"/>
      <c r="F2809" s="586" t="s">
        <v>746</v>
      </c>
      <c r="G2809" s="586"/>
      <c r="H2809" s="587"/>
      <c r="I2809" s="169"/>
      <c r="J2809" s="167"/>
      <c r="K2809" s="169"/>
      <c r="L2809" s="167"/>
      <c r="M2809" s="169"/>
      <c r="N2809" s="167"/>
      <c r="O2809" s="169"/>
    </row>
    <row r="2810" spans="2:15" s="453" customFormat="1" ht="14" x14ac:dyDescent="0.2">
      <c r="B2810" s="293"/>
      <c r="F2810" s="604" t="s">
        <v>747</v>
      </c>
      <c r="G2810" s="604"/>
      <c r="H2810" s="767"/>
      <c r="I2810" s="169"/>
      <c r="J2810" s="167"/>
      <c r="K2810" s="169"/>
      <c r="L2810" s="167"/>
      <c r="M2810" s="169"/>
      <c r="N2810" s="167"/>
      <c r="O2810" s="169"/>
    </row>
    <row r="2811" spans="2:15" s="453" customFormat="1" ht="14" x14ac:dyDescent="0.2">
      <c r="B2811" s="293"/>
      <c r="F2811" s="770" t="s">
        <v>867</v>
      </c>
      <c r="G2811" s="770"/>
      <c r="H2811" s="771"/>
      <c r="I2811" s="169"/>
      <c r="J2811" s="167"/>
      <c r="K2811" s="169"/>
      <c r="L2811" s="167"/>
      <c r="M2811" s="169"/>
      <c r="N2811" s="167"/>
      <c r="O2811" s="169"/>
    </row>
    <row r="2812" spans="2:15" s="453" customFormat="1" ht="14" x14ac:dyDescent="0.2">
      <c r="B2812" s="302"/>
      <c r="C2812" s="303"/>
      <c r="D2812" s="303"/>
      <c r="E2812" s="303"/>
      <c r="F2812" s="603" t="s">
        <v>868</v>
      </c>
      <c r="G2812" s="603"/>
      <c r="H2812" s="769"/>
      <c r="I2812" s="169"/>
      <c r="J2812" s="167"/>
      <c r="K2812" s="169"/>
      <c r="L2812" s="167"/>
      <c r="M2812" s="169"/>
      <c r="N2812" s="167"/>
      <c r="O2812" s="169"/>
    </row>
    <row r="2813" spans="2:15" s="453" customFormat="1" ht="14" x14ac:dyDescent="0.2">
      <c r="B2813" s="291">
        <v>5</v>
      </c>
      <c r="C2813" s="602" t="s">
        <v>749</v>
      </c>
      <c r="D2813" s="602"/>
      <c r="E2813" s="602"/>
      <c r="F2813" s="602"/>
      <c r="G2813" s="602"/>
      <c r="H2813" s="292"/>
      <c r="I2813" s="168" t="s">
        <v>211</v>
      </c>
      <c r="J2813" s="166" t="s">
        <v>211</v>
      </c>
      <c r="K2813" s="168" t="s">
        <v>211</v>
      </c>
      <c r="L2813" s="166" t="s">
        <v>211</v>
      </c>
      <c r="M2813" s="168" t="s">
        <v>211</v>
      </c>
      <c r="N2813" s="166" t="s">
        <v>211</v>
      </c>
      <c r="O2813" s="168" t="s">
        <v>211</v>
      </c>
    </row>
    <row r="2814" spans="2:15" s="453" customFormat="1" ht="14" x14ac:dyDescent="0.2">
      <c r="B2814" s="293"/>
      <c r="C2814" s="572" t="s">
        <v>929</v>
      </c>
      <c r="D2814" s="572"/>
      <c r="E2814" s="572"/>
      <c r="F2814" s="572"/>
      <c r="G2814" s="572"/>
      <c r="H2814" s="296"/>
      <c r="I2814" s="168" t="s">
        <v>211</v>
      </c>
      <c r="J2814" s="166" t="s">
        <v>211</v>
      </c>
      <c r="K2814" s="168" t="s">
        <v>211</v>
      </c>
      <c r="L2814" s="166" t="s">
        <v>211</v>
      </c>
      <c r="M2814" s="168" t="s">
        <v>211</v>
      </c>
      <c r="N2814" s="166" t="s">
        <v>211</v>
      </c>
      <c r="O2814" s="168" t="s">
        <v>211</v>
      </c>
    </row>
    <row r="2815" spans="2:15" s="453" customFormat="1" ht="14" x14ac:dyDescent="0.2">
      <c r="B2815" s="293"/>
      <c r="C2815" s="572" t="s">
        <v>994</v>
      </c>
      <c r="D2815" s="572"/>
      <c r="E2815" s="572"/>
      <c r="F2815" s="572"/>
      <c r="G2815" s="572"/>
      <c r="H2815" s="296"/>
      <c r="I2815" s="168" t="s">
        <v>211</v>
      </c>
      <c r="J2815" s="166" t="s">
        <v>211</v>
      </c>
      <c r="K2815" s="168" t="s">
        <v>211</v>
      </c>
      <c r="L2815" s="166" t="s">
        <v>211</v>
      </c>
      <c r="M2815" s="168" t="s">
        <v>211</v>
      </c>
      <c r="N2815" s="166" t="s">
        <v>211</v>
      </c>
      <c r="O2815" s="168" t="s">
        <v>211</v>
      </c>
    </row>
    <row r="2816" spans="2:15" s="453" customFormat="1" ht="14" x14ac:dyDescent="0.2">
      <c r="B2816" s="293"/>
      <c r="C2816" s="572"/>
      <c r="D2816" s="572"/>
      <c r="E2816" s="572"/>
      <c r="F2816" s="572"/>
      <c r="G2816" s="572"/>
      <c r="H2816" s="294"/>
      <c r="I2816" s="169"/>
      <c r="J2816" s="167"/>
      <c r="K2816" s="169"/>
      <c r="L2816" s="167"/>
      <c r="M2816" s="169"/>
      <c r="N2816" s="167"/>
      <c r="O2816" s="169"/>
    </row>
    <row r="2817" spans="2:15" s="453" customFormat="1" ht="14" x14ac:dyDescent="0.2">
      <c r="B2817" s="293"/>
      <c r="F2817" s="593" t="s">
        <v>870</v>
      </c>
      <c r="G2817" s="593"/>
      <c r="H2817" s="768"/>
      <c r="I2817" s="169"/>
      <c r="J2817" s="167"/>
      <c r="K2817" s="169"/>
      <c r="L2817" s="167"/>
      <c r="M2817" s="169"/>
      <c r="N2817" s="167"/>
      <c r="O2817" s="169"/>
    </row>
    <row r="2818" spans="2:15" s="453" customFormat="1" ht="14" x14ac:dyDescent="0.2">
      <c r="B2818" s="302"/>
      <c r="C2818" s="303"/>
      <c r="D2818" s="303"/>
      <c r="E2818" s="303"/>
      <c r="F2818" s="603" t="s">
        <v>1302</v>
      </c>
      <c r="G2818" s="603"/>
      <c r="H2818" s="769"/>
      <c r="I2818" s="169"/>
      <c r="J2818" s="167"/>
      <c r="K2818" s="169"/>
      <c r="L2818" s="167"/>
      <c r="M2818" s="169"/>
      <c r="N2818" s="167"/>
      <c r="O2818" s="169"/>
    </row>
    <row r="2819" spans="2:15" s="453" customFormat="1" ht="14" x14ac:dyDescent="0.2">
      <c r="B2819" s="291">
        <v>6</v>
      </c>
      <c r="C2819" s="602" t="s">
        <v>939</v>
      </c>
      <c r="D2819" s="602"/>
      <c r="E2819" s="602"/>
      <c r="F2819" s="602"/>
      <c r="G2819" s="602"/>
      <c r="H2819" s="292"/>
      <c r="I2819" s="168" t="s">
        <v>211</v>
      </c>
      <c r="J2819" s="166" t="s">
        <v>211</v>
      </c>
      <c r="K2819" s="168" t="s">
        <v>211</v>
      </c>
      <c r="L2819" s="166" t="s">
        <v>211</v>
      </c>
      <c r="M2819" s="168" t="s">
        <v>211</v>
      </c>
      <c r="N2819" s="166" t="s">
        <v>211</v>
      </c>
      <c r="O2819" s="168" t="s">
        <v>211</v>
      </c>
    </row>
    <row r="2820" spans="2:15" s="453" customFormat="1" ht="14" x14ac:dyDescent="0.2">
      <c r="B2820" s="293"/>
      <c r="C2820" s="572"/>
      <c r="D2820" s="572"/>
      <c r="E2820" s="572"/>
      <c r="F2820" s="572"/>
      <c r="G2820" s="572"/>
      <c r="H2820" s="294"/>
      <c r="I2820" s="169"/>
      <c r="J2820" s="167"/>
      <c r="K2820" s="169"/>
      <c r="L2820" s="167"/>
      <c r="M2820" s="169"/>
      <c r="N2820" s="167"/>
      <c r="O2820" s="169"/>
    </row>
    <row r="2821" spans="2:15" s="453" customFormat="1" ht="14" x14ac:dyDescent="0.2">
      <c r="B2821" s="293"/>
      <c r="C2821" s="785" t="s">
        <v>1304</v>
      </c>
      <c r="D2821" s="785"/>
      <c r="E2821" s="785"/>
      <c r="F2821" s="785"/>
      <c r="G2821" s="785"/>
      <c r="H2821" s="296"/>
      <c r="I2821" s="168" t="s">
        <v>211</v>
      </c>
      <c r="J2821" s="166" t="s">
        <v>211</v>
      </c>
      <c r="K2821" s="168" t="s">
        <v>211</v>
      </c>
      <c r="L2821" s="166" t="s">
        <v>211</v>
      </c>
      <c r="M2821" s="168" t="s">
        <v>211</v>
      </c>
      <c r="N2821" s="166" t="s">
        <v>211</v>
      </c>
      <c r="O2821" s="168" t="s">
        <v>211</v>
      </c>
    </row>
    <row r="2822" spans="2:15" s="453" customFormat="1" ht="14" x14ac:dyDescent="0.2">
      <c r="B2822" s="293"/>
      <c r="C2822" s="785"/>
      <c r="D2822" s="785"/>
      <c r="E2822" s="785"/>
      <c r="F2822" s="785"/>
      <c r="G2822" s="785"/>
      <c r="H2822" s="294"/>
      <c r="I2822" s="169"/>
      <c r="J2822" s="167"/>
      <c r="K2822" s="169"/>
      <c r="L2822" s="167"/>
      <c r="M2822" s="169"/>
      <c r="N2822" s="167"/>
      <c r="O2822" s="169"/>
    </row>
    <row r="2823" spans="2:15" s="453" customFormat="1" ht="14" x14ac:dyDescent="0.2">
      <c r="B2823" s="293"/>
      <c r="C2823" s="573" t="s">
        <v>873</v>
      </c>
      <c r="D2823" s="573"/>
      <c r="E2823" s="573"/>
      <c r="F2823" s="573"/>
      <c r="G2823" s="573"/>
      <c r="H2823" s="296"/>
      <c r="I2823" s="168" t="s">
        <v>211</v>
      </c>
      <c r="J2823" s="166" t="s">
        <v>211</v>
      </c>
      <c r="K2823" s="168" t="s">
        <v>211</v>
      </c>
      <c r="L2823" s="166" t="s">
        <v>211</v>
      </c>
      <c r="M2823" s="168" t="s">
        <v>211</v>
      </c>
      <c r="N2823" s="166" t="s">
        <v>211</v>
      </c>
      <c r="O2823" s="168" t="s">
        <v>211</v>
      </c>
    </row>
    <row r="2824" spans="2:15" s="453" customFormat="1" ht="14" x14ac:dyDescent="0.2">
      <c r="B2824" s="293"/>
      <c r="C2824" s="573" t="s">
        <v>874</v>
      </c>
      <c r="D2824" s="573"/>
      <c r="E2824" s="573"/>
      <c r="F2824" s="573"/>
      <c r="G2824" s="573"/>
      <c r="H2824" s="296"/>
      <c r="I2824" s="168" t="s">
        <v>211</v>
      </c>
      <c r="J2824" s="166" t="s">
        <v>211</v>
      </c>
      <c r="K2824" s="168" t="s">
        <v>211</v>
      </c>
      <c r="L2824" s="166" t="s">
        <v>211</v>
      </c>
      <c r="M2824" s="168" t="s">
        <v>211</v>
      </c>
      <c r="N2824" s="166" t="s">
        <v>211</v>
      </c>
      <c r="O2824" s="168" t="s">
        <v>211</v>
      </c>
    </row>
    <row r="2825" spans="2:15" s="453" customFormat="1" ht="14" x14ac:dyDescent="0.2">
      <c r="B2825" s="293"/>
      <c r="C2825" s="572" t="s">
        <v>1342</v>
      </c>
      <c r="D2825" s="572"/>
      <c r="E2825" s="572"/>
      <c r="F2825" s="572"/>
      <c r="G2825" s="572"/>
      <c r="H2825" s="296"/>
      <c r="I2825" s="168" t="s">
        <v>211</v>
      </c>
      <c r="J2825" s="166" t="s">
        <v>211</v>
      </c>
      <c r="K2825" s="168" t="s">
        <v>211</v>
      </c>
      <c r="L2825" s="166" t="s">
        <v>211</v>
      </c>
      <c r="M2825" s="168" t="s">
        <v>211</v>
      </c>
      <c r="N2825" s="166" t="s">
        <v>211</v>
      </c>
      <c r="O2825" s="168" t="s">
        <v>211</v>
      </c>
    </row>
    <row r="2826" spans="2:15" s="453" customFormat="1" ht="14" x14ac:dyDescent="0.2">
      <c r="B2826" s="293"/>
      <c r="C2826" s="572"/>
      <c r="D2826" s="572"/>
      <c r="E2826" s="572"/>
      <c r="F2826" s="572"/>
      <c r="G2826" s="572"/>
      <c r="H2826" s="294"/>
      <c r="I2826" s="169"/>
      <c r="J2826" s="167"/>
      <c r="K2826" s="169"/>
      <c r="L2826" s="167"/>
      <c r="M2826" s="169"/>
      <c r="N2826" s="167"/>
      <c r="O2826" s="169"/>
    </row>
    <row r="2827" spans="2:15" s="453" customFormat="1" ht="14" x14ac:dyDescent="0.2">
      <c r="B2827" s="293"/>
      <c r="C2827" s="573" t="s">
        <v>473</v>
      </c>
      <c r="D2827" s="573"/>
      <c r="E2827" s="573"/>
      <c r="F2827" s="573"/>
      <c r="G2827" s="573"/>
      <c r="H2827" s="296"/>
      <c r="I2827" s="168" t="s">
        <v>211</v>
      </c>
      <c r="J2827" s="166" t="s">
        <v>211</v>
      </c>
      <c r="K2827" s="168" t="s">
        <v>211</v>
      </c>
      <c r="L2827" s="166" t="s">
        <v>211</v>
      </c>
      <c r="M2827" s="168" t="s">
        <v>211</v>
      </c>
      <c r="N2827" s="166" t="s">
        <v>211</v>
      </c>
      <c r="O2827" s="168" t="s">
        <v>211</v>
      </c>
    </row>
    <row r="2828" spans="2:15" s="453" customFormat="1" ht="14" x14ac:dyDescent="0.2">
      <c r="B2828" s="293"/>
      <c r="F2828" s="586" t="s">
        <v>756</v>
      </c>
      <c r="G2828" s="586"/>
      <c r="H2828" s="587"/>
      <c r="I2828" s="169"/>
      <c r="J2828" s="167"/>
      <c r="K2828" s="169"/>
      <c r="L2828" s="167"/>
      <c r="M2828" s="169"/>
      <c r="N2828" s="167"/>
      <c r="O2828" s="169"/>
    </row>
    <row r="2829" spans="2:15" s="453" customFormat="1" ht="14" x14ac:dyDescent="0.2">
      <c r="B2829" s="293"/>
      <c r="F2829" s="604" t="s">
        <v>1343</v>
      </c>
      <c r="G2829" s="604"/>
      <c r="H2829" s="767"/>
      <c r="I2829" s="169"/>
      <c r="J2829" s="167"/>
      <c r="K2829" s="169"/>
      <c r="L2829" s="167"/>
      <c r="M2829" s="169"/>
      <c r="N2829" s="167"/>
      <c r="O2829" s="169"/>
    </row>
    <row r="2830" spans="2:15" s="453" customFormat="1" ht="14" x14ac:dyDescent="0.2">
      <c r="B2830" s="302"/>
      <c r="C2830" s="303"/>
      <c r="D2830" s="303"/>
      <c r="E2830" s="303"/>
      <c r="F2830" s="599" t="s">
        <v>474</v>
      </c>
      <c r="G2830" s="599"/>
      <c r="H2830" s="615"/>
      <c r="I2830" s="169"/>
      <c r="J2830" s="167"/>
      <c r="K2830" s="169"/>
      <c r="L2830" s="167"/>
      <c r="M2830" s="169"/>
      <c r="N2830" s="167"/>
      <c r="O2830" s="169"/>
    </row>
    <row r="2831" spans="2:15" s="453" customFormat="1" ht="14" x14ac:dyDescent="0.2">
      <c r="B2831" s="291">
        <v>7</v>
      </c>
      <c r="C2831" s="602" t="s">
        <v>1339</v>
      </c>
      <c r="D2831" s="602"/>
      <c r="E2831" s="602"/>
      <c r="F2831" s="602"/>
      <c r="G2831" s="602"/>
      <c r="H2831" s="292"/>
      <c r="I2831" s="168" t="s">
        <v>211</v>
      </c>
      <c r="J2831" s="166" t="s">
        <v>211</v>
      </c>
      <c r="K2831" s="168" t="s">
        <v>211</v>
      </c>
      <c r="L2831" s="166" t="s">
        <v>211</v>
      </c>
      <c r="M2831" s="168" t="s">
        <v>211</v>
      </c>
      <c r="N2831" s="166" t="s">
        <v>211</v>
      </c>
      <c r="O2831" s="168" t="s">
        <v>211</v>
      </c>
    </row>
    <row r="2832" spans="2:15" s="453" customFormat="1" ht="14" x14ac:dyDescent="0.2">
      <c r="B2832" s="293"/>
      <c r="C2832" s="573" t="s">
        <v>1306</v>
      </c>
      <c r="D2832" s="573"/>
      <c r="E2832" s="573"/>
      <c r="F2832" s="573"/>
      <c r="G2832" s="573"/>
      <c r="H2832" s="296"/>
      <c r="I2832" s="168" t="s">
        <v>211</v>
      </c>
      <c r="J2832" s="166" t="s">
        <v>211</v>
      </c>
      <c r="K2832" s="168" t="s">
        <v>211</v>
      </c>
      <c r="L2832" s="166" t="s">
        <v>211</v>
      </c>
      <c r="M2832" s="168" t="s">
        <v>211</v>
      </c>
      <c r="N2832" s="166" t="s">
        <v>211</v>
      </c>
      <c r="O2832" s="168" t="s">
        <v>211</v>
      </c>
    </row>
    <row r="2833" spans="2:15" s="453" customFormat="1" ht="14" x14ac:dyDescent="0.2">
      <c r="B2833" s="293"/>
      <c r="C2833" s="572" t="s">
        <v>1344</v>
      </c>
      <c r="D2833" s="572"/>
      <c r="E2833" s="572"/>
      <c r="F2833" s="572"/>
      <c r="G2833" s="572"/>
      <c r="H2833" s="296"/>
      <c r="I2833" s="168" t="s">
        <v>211</v>
      </c>
      <c r="J2833" s="166" t="s">
        <v>211</v>
      </c>
      <c r="K2833" s="168" t="s">
        <v>211</v>
      </c>
      <c r="L2833" s="166" t="s">
        <v>211</v>
      </c>
      <c r="M2833" s="168" t="s">
        <v>211</v>
      </c>
      <c r="N2833" s="166" t="s">
        <v>211</v>
      </c>
      <c r="O2833" s="168" t="s">
        <v>211</v>
      </c>
    </row>
    <row r="2834" spans="2:15" s="453" customFormat="1" ht="14" x14ac:dyDescent="0.2">
      <c r="B2834" s="293"/>
      <c r="C2834" s="572"/>
      <c r="D2834" s="572"/>
      <c r="E2834" s="572"/>
      <c r="F2834" s="572"/>
      <c r="G2834" s="572"/>
      <c r="H2834" s="294"/>
      <c r="I2834" s="169"/>
      <c r="J2834" s="167"/>
      <c r="K2834" s="169"/>
      <c r="L2834" s="167"/>
      <c r="M2834" s="169"/>
      <c r="N2834" s="167"/>
      <c r="O2834" s="169"/>
    </row>
    <row r="2835" spans="2:15" s="453" customFormat="1" ht="14" x14ac:dyDescent="0.2">
      <c r="B2835" s="293"/>
      <c r="C2835" s="572" t="s">
        <v>1001</v>
      </c>
      <c r="D2835" s="572"/>
      <c r="E2835" s="572"/>
      <c r="F2835" s="572"/>
      <c r="G2835" s="572"/>
      <c r="H2835" s="296"/>
      <c r="I2835" s="168" t="s">
        <v>211</v>
      </c>
      <c r="J2835" s="166" t="s">
        <v>211</v>
      </c>
      <c r="K2835" s="168" t="s">
        <v>211</v>
      </c>
      <c r="L2835" s="166" t="s">
        <v>211</v>
      </c>
      <c r="M2835" s="168" t="s">
        <v>211</v>
      </c>
      <c r="N2835" s="166" t="s">
        <v>211</v>
      </c>
      <c r="O2835" s="168" t="s">
        <v>211</v>
      </c>
    </row>
    <row r="2836" spans="2:15" s="453" customFormat="1" ht="14" x14ac:dyDescent="0.2">
      <c r="B2836" s="293"/>
      <c r="C2836" s="572"/>
      <c r="D2836" s="572"/>
      <c r="E2836" s="572"/>
      <c r="F2836" s="572"/>
      <c r="G2836" s="572"/>
      <c r="H2836" s="294"/>
      <c r="I2836" s="169"/>
      <c r="J2836" s="167"/>
      <c r="K2836" s="169"/>
      <c r="L2836" s="167"/>
      <c r="M2836" s="169"/>
      <c r="N2836" s="167"/>
      <c r="O2836" s="169"/>
    </row>
    <row r="2837" spans="2:15" s="453" customFormat="1" ht="14" x14ac:dyDescent="0.2">
      <c r="B2837" s="293"/>
      <c r="C2837" s="573" t="s">
        <v>760</v>
      </c>
      <c r="D2837" s="573"/>
      <c r="E2837" s="573"/>
      <c r="F2837" s="573"/>
      <c r="G2837" s="573"/>
      <c r="H2837" s="296"/>
      <c r="I2837" s="168" t="s">
        <v>211</v>
      </c>
      <c r="J2837" s="166" t="s">
        <v>211</v>
      </c>
      <c r="K2837" s="168" t="s">
        <v>211</v>
      </c>
      <c r="L2837" s="166" t="s">
        <v>211</v>
      </c>
      <c r="M2837" s="168" t="s">
        <v>211</v>
      </c>
      <c r="N2837" s="166" t="s">
        <v>211</v>
      </c>
      <c r="O2837" s="168" t="s">
        <v>211</v>
      </c>
    </row>
    <row r="2838" spans="2:15" s="453" customFormat="1" ht="14" x14ac:dyDescent="0.2">
      <c r="B2838" s="293"/>
      <c r="F2838" s="586" t="s">
        <v>642</v>
      </c>
      <c r="G2838" s="586"/>
      <c r="H2838" s="587"/>
      <c r="I2838" s="169"/>
      <c r="J2838" s="167"/>
      <c r="K2838" s="169"/>
      <c r="L2838" s="167"/>
      <c r="M2838" s="169"/>
      <c r="N2838" s="167"/>
      <c r="O2838" s="169"/>
    </row>
    <row r="2839" spans="2:15" s="453" customFormat="1" ht="14" x14ac:dyDescent="0.2">
      <c r="B2839" s="302"/>
      <c r="C2839" s="303"/>
      <c r="D2839" s="303"/>
      <c r="E2839" s="303"/>
      <c r="F2839" s="599" t="s">
        <v>1345</v>
      </c>
      <c r="G2839" s="599"/>
      <c r="H2839" s="615"/>
      <c r="I2839" s="169"/>
      <c r="J2839" s="167"/>
      <c r="K2839" s="169"/>
      <c r="L2839" s="167"/>
      <c r="M2839" s="169"/>
      <c r="N2839" s="167"/>
      <c r="O2839" s="169"/>
    </row>
    <row r="2840" spans="2:15" s="453" customFormat="1" ht="14" x14ac:dyDescent="0.2">
      <c r="B2840" s="291">
        <v>8</v>
      </c>
      <c r="C2840" s="602" t="s">
        <v>937</v>
      </c>
      <c r="D2840" s="602"/>
      <c r="E2840" s="602"/>
      <c r="F2840" s="602"/>
      <c r="G2840" s="602"/>
      <c r="H2840" s="292"/>
      <c r="I2840" s="168" t="s">
        <v>211</v>
      </c>
      <c r="J2840" s="166" t="s">
        <v>211</v>
      </c>
      <c r="K2840" s="168" t="s">
        <v>211</v>
      </c>
      <c r="L2840" s="166" t="s">
        <v>211</v>
      </c>
      <c r="M2840" s="168" t="s">
        <v>211</v>
      </c>
      <c r="N2840" s="166" t="s">
        <v>211</v>
      </c>
      <c r="O2840" s="168" t="s">
        <v>211</v>
      </c>
    </row>
    <row r="2841" spans="2:15" s="453" customFormat="1" ht="14" x14ac:dyDescent="0.2">
      <c r="B2841" s="293"/>
      <c r="C2841" s="572"/>
      <c r="D2841" s="572"/>
      <c r="E2841" s="572"/>
      <c r="F2841" s="572"/>
      <c r="G2841" s="572"/>
      <c r="H2841" s="294"/>
      <c r="I2841" s="169"/>
      <c r="J2841" s="167"/>
      <c r="K2841" s="169"/>
      <c r="L2841" s="167"/>
      <c r="M2841" s="169"/>
      <c r="N2841" s="167"/>
      <c r="O2841" s="169"/>
    </row>
    <row r="2842" spans="2:15" s="453" customFormat="1" ht="14" x14ac:dyDescent="0.2">
      <c r="B2842" s="293"/>
      <c r="C2842" s="573" t="s">
        <v>848</v>
      </c>
      <c r="D2842" s="573"/>
      <c r="E2842" s="573"/>
      <c r="F2842" s="573"/>
      <c r="G2842" s="573"/>
      <c r="H2842" s="296"/>
      <c r="I2842" s="168" t="s">
        <v>211</v>
      </c>
      <c r="J2842" s="166" t="s">
        <v>211</v>
      </c>
      <c r="K2842" s="168" t="s">
        <v>211</v>
      </c>
      <c r="L2842" s="166" t="s">
        <v>211</v>
      </c>
      <c r="M2842" s="168" t="s">
        <v>211</v>
      </c>
      <c r="N2842" s="166" t="s">
        <v>211</v>
      </c>
      <c r="O2842" s="168" t="s">
        <v>211</v>
      </c>
    </row>
    <row r="2843" spans="2:15" s="453" customFormat="1" ht="14" x14ac:dyDescent="0.2">
      <c r="B2843" s="293"/>
      <c r="C2843" s="573" t="s">
        <v>879</v>
      </c>
      <c r="D2843" s="573"/>
      <c r="E2843" s="573"/>
      <c r="F2843" s="573"/>
      <c r="G2843" s="573"/>
      <c r="H2843" s="296"/>
      <c r="I2843" s="168" t="s">
        <v>211</v>
      </c>
      <c r="J2843" s="166" t="s">
        <v>211</v>
      </c>
      <c r="K2843" s="168" t="s">
        <v>211</v>
      </c>
      <c r="L2843" s="166" t="s">
        <v>211</v>
      </c>
      <c r="M2843" s="168" t="s">
        <v>211</v>
      </c>
      <c r="N2843" s="166" t="s">
        <v>211</v>
      </c>
      <c r="O2843" s="168" t="s">
        <v>211</v>
      </c>
    </row>
    <row r="2844" spans="2:15" s="453" customFormat="1" ht="14" x14ac:dyDescent="0.2">
      <c r="B2844" s="293"/>
      <c r="C2844" s="573" t="s">
        <v>823</v>
      </c>
      <c r="D2844" s="573"/>
      <c r="E2844" s="573"/>
      <c r="F2844" s="573"/>
      <c r="G2844" s="573"/>
      <c r="H2844" s="296"/>
      <c r="I2844" s="168" t="s">
        <v>211</v>
      </c>
      <c r="J2844" s="166" t="s">
        <v>211</v>
      </c>
      <c r="K2844" s="168" t="s">
        <v>211</v>
      </c>
      <c r="L2844" s="166" t="s">
        <v>211</v>
      </c>
      <c r="M2844" s="168" t="s">
        <v>211</v>
      </c>
      <c r="N2844" s="166" t="s">
        <v>211</v>
      </c>
      <c r="O2844" s="168" t="s">
        <v>211</v>
      </c>
    </row>
    <row r="2845" spans="2:15" s="453" customFormat="1" ht="14" x14ac:dyDescent="0.2">
      <c r="B2845" s="293"/>
      <c r="F2845" s="593" t="s">
        <v>1346</v>
      </c>
      <c r="G2845" s="593"/>
      <c r="H2845" s="768"/>
      <c r="I2845" s="169"/>
      <c r="J2845" s="167"/>
      <c r="K2845" s="169"/>
      <c r="L2845" s="167"/>
      <c r="M2845" s="169"/>
      <c r="N2845" s="167"/>
      <c r="O2845" s="169"/>
    </row>
    <row r="2846" spans="2:15" s="453" customFormat="1" ht="14" x14ac:dyDescent="0.2">
      <c r="B2846" s="302"/>
      <c r="C2846" s="303"/>
      <c r="D2846" s="303"/>
      <c r="E2846" s="303"/>
      <c r="F2846" s="603" t="s">
        <v>1302</v>
      </c>
      <c r="G2846" s="603"/>
      <c r="H2846" s="769"/>
      <c r="I2846" s="169"/>
      <c r="J2846" s="167"/>
      <c r="K2846" s="169"/>
      <c r="L2846" s="167"/>
      <c r="M2846" s="169"/>
      <c r="N2846" s="167"/>
      <c r="O2846" s="169"/>
    </row>
    <row r="2847" spans="2:15" s="453" customFormat="1" ht="14" x14ac:dyDescent="0.2">
      <c r="B2847" s="291">
        <v>9</v>
      </c>
      <c r="C2847" s="602" t="s">
        <v>939</v>
      </c>
      <c r="D2847" s="602"/>
      <c r="E2847" s="602"/>
      <c r="F2847" s="602"/>
      <c r="G2847" s="602"/>
      <c r="H2847" s="292"/>
      <c r="I2847" s="168" t="s">
        <v>211</v>
      </c>
      <c r="J2847" s="166" t="s">
        <v>211</v>
      </c>
      <c r="K2847" s="168" t="s">
        <v>211</v>
      </c>
      <c r="L2847" s="166" t="s">
        <v>211</v>
      </c>
      <c r="M2847" s="168" t="s">
        <v>211</v>
      </c>
      <c r="N2847" s="166" t="s">
        <v>211</v>
      </c>
      <c r="O2847" s="168" t="s">
        <v>211</v>
      </c>
    </row>
    <row r="2848" spans="2:15" s="453" customFormat="1" ht="14" x14ac:dyDescent="0.2">
      <c r="B2848" s="293"/>
      <c r="C2848" s="572"/>
      <c r="D2848" s="572"/>
      <c r="E2848" s="572"/>
      <c r="F2848" s="572"/>
      <c r="G2848" s="572"/>
      <c r="H2848" s="294"/>
      <c r="I2848" s="169"/>
      <c r="J2848" s="167"/>
      <c r="K2848" s="169"/>
      <c r="L2848" s="167"/>
      <c r="M2848" s="169"/>
      <c r="N2848" s="167"/>
      <c r="O2848" s="169"/>
    </row>
    <row r="2849" spans="2:15" s="453" customFormat="1" ht="14" x14ac:dyDescent="0.2">
      <c r="B2849" s="293"/>
      <c r="C2849" s="572" t="s">
        <v>940</v>
      </c>
      <c r="D2849" s="572"/>
      <c r="E2849" s="572"/>
      <c r="F2849" s="572"/>
      <c r="G2849" s="572"/>
      <c r="H2849" s="296"/>
      <c r="I2849" s="168" t="s">
        <v>211</v>
      </c>
      <c r="J2849" s="166" t="s">
        <v>211</v>
      </c>
      <c r="K2849" s="168" t="s">
        <v>211</v>
      </c>
      <c r="L2849" s="166" t="s">
        <v>211</v>
      </c>
      <c r="M2849" s="168" t="s">
        <v>211</v>
      </c>
      <c r="N2849" s="166" t="s">
        <v>211</v>
      </c>
      <c r="O2849" s="168" t="s">
        <v>211</v>
      </c>
    </row>
    <row r="2850" spans="2:15" s="453" customFormat="1" ht="14" x14ac:dyDescent="0.2">
      <c r="B2850" s="293"/>
      <c r="C2850" s="572"/>
      <c r="D2850" s="572"/>
      <c r="E2850" s="572"/>
      <c r="F2850" s="572"/>
      <c r="G2850" s="572"/>
      <c r="H2850" s="294"/>
      <c r="I2850" s="169"/>
      <c r="J2850" s="167"/>
      <c r="K2850" s="169"/>
      <c r="L2850" s="167"/>
      <c r="M2850" s="169"/>
      <c r="N2850" s="167"/>
      <c r="O2850" s="169"/>
    </row>
    <row r="2851" spans="2:15" s="453" customFormat="1" ht="14" x14ac:dyDescent="0.2">
      <c r="B2851" s="293"/>
      <c r="C2851" s="573" t="s">
        <v>873</v>
      </c>
      <c r="D2851" s="573"/>
      <c r="E2851" s="573"/>
      <c r="F2851" s="573"/>
      <c r="G2851" s="573"/>
      <c r="H2851" s="296"/>
      <c r="I2851" s="168" t="s">
        <v>211</v>
      </c>
      <c r="J2851" s="166" t="s">
        <v>211</v>
      </c>
      <c r="K2851" s="168" t="s">
        <v>211</v>
      </c>
      <c r="L2851" s="166" t="s">
        <v>211</v>
      </c>
      <c r="M2851" s="168" t="s">
        <v>211</v>
      </c>
      <c r="N2851" s="166" t="s">
        <v>211</v>
      </c>
      <c r="O2851" s="168" t="s">
        <v>211</v>
      </c>
    </row>
    <row r="2852" spans="2:15" s="453" customFormat="1" ht="14" x14ac:dyDescent="0.2">
      <c r="B2852" s="293"/>
      <c r="C2852" s="572" t="s">
        <v>1347</v>
      </c>
      <c r="D2852" s="572"/>
      <c r="E2852" s="572"/>
      <c r="F2852" s="572"/>
      <c r="G2852" s="572"/>
      <c r="H2852" s="296"/>
      <c r="I2852" s="168" t="s">
        <v>211</v>
      </c>
      <c r="J2852" s="166" t="s">
        <v>211</v>
      </c>
      <c r="K2852" s="168" t="s">
        <v>211</v>
      </c>
      <c r="L2852" s="166" t="s">
        <v>211</v>
      </c>
      <c r="M2852" s="168" t="s">
        <v>211</v>
      </c>
      <c r="N2852" s="166" t="s">
        <v>211</v>
      </c>
      <c r="O2852" s="168" t="s">
        <v>211</v>
      </c>
    </row>
    <row r="2853" spans="2:15" s="453" customFormat="1" ht="14" x14ac:dyDescent="0.2">
      <c r="B2853" s="293"/>
      <c r="C2853" s="572"/>
      <c r="D2853" s="572"/>
      <c r="E2853" s="572"/>
      <c r="F2853" s="572"/>
      <c r="G2853" s="572"/>
      <c r="H2853" s="294"/>
      <c r="I2853" s="169"/>
      <c r="J2853" s="167"/>
      <c r="K2853" s="169"/>
      <c r="L2853" s="167"/>
      <c r="M2853" s="169"/>
      <c r="N2853" s="167"/>
      <c r="O2853" s="169"/>
    </row>
    <row r="2854" spans="2:15" s="453" customFormat="1" ht="14" x14ac:dyDescent="0.2">
      <c r="B2854" s="293"/>
      <c r="C2854" s="573" t="s">
        <v>760</v>
      </c>
      <c r="D2854" s="573"/>
      <c r="E2854" s="573"/>
      <c r="F2854" s="573"/>
      <c r="G2854" s="573"/>
      <c r="H2854" s="296"/>
      <c r="I2854" s="168" t="s">
        <v>211</v>
      </c>
      <c r="J2854" s="166" t="s">
        <v>211</v>
      </c>
      <c r="K2854" s="168" t="s">
        <v>211</v>
      </c>
      <c r="L2854" s="166" t="s">
        <v>211</v>
      </c>
      <c r="M2854" s="168" t="s">
        <v>211</v>
      </c>
      <c r="N2854" s="166" t="s">
        <v>211</v>
      </c>
      <c r="O2854" s="168" t="s">
        <v>211</v>
      </c>
    </row>
    <row r="2855" spans="2:15" s="453" customFormat="1" ht="14" x14ac:dyDescent="0.2">
      <c r="B2855" s="293"/>
      <c r="F2855" s="586" t="s">
        <v>765</v>
      </c>
      <c r="G2855" s="586"/>
      <c r="H2855" s="587"/>
      <c r="I2855" s="169"/>
      <c r="J2855" s="167"/>
      <c r="K2855" s="169"/>
      <c r="L2855" s="167"/>
      <c r="M2855" s="169"/>
      <c r="N2855" s="167"/>
      <c r="O2855" s="169"/>
    </row>
    <row r="2856" spans="2:15" s="453" customFormat="1" ht="14" x14ac:dyDescent="0.2">
      <c r="B2856" s="302"/>
      <c r="C2856" s="303"/>
      <c r="D2856" s="303"/>
      <c r="E2856" s="303"/>
      <c r="F2856" s="599" t="s">
        <v>936</v>
      </c>
      <c r="G2856" s="599"/>
      <c r="H2856" s="615"/>
      <c r="I2856" s="169"/>
      <c r="J2856" s="167"/>
      <c r="K2856" s="169"/>
      <c r="L2856" s="167"/>
      <c r="M2856" s="169"/>
      <c r="N2856" s="167"/>
      <c r="O2856" s="169"/>
    </row>
    <row r="2857" spans="2:15" s="453" customFormat="1" ht="14" x14ac:dyDescent="0.2">
      <c r="B2857" s="291">
        <v>10</v>
      </c>
      <c r="C2857" s="602" t="s">
        <v>884</v>
      </c>
      <c r="D2857" s="602"/>
      <c r="E2857" s="602"/>
      <c r="F2857" s="602"/>
      <c r="G2857" s="602"/>
      <c r="H2857" s="292"/>
      <c r="I2857" s="168" t="s">
        <v>211</v>
      </c>
      <c r="J2857" s="166" t="s">
        <v>211</v>
      </c>
      <c r="K2857" s="168" t="s">
        <v>211</v>
      </c>
      <c r="L2857" s="166" t="s">
        <v>211</v>
      </c>
      <c r="M2857" s="168" t="s">
        <v>211</v>
      </c>
      <c r="N2857" s="166" t="s">
        <v>211</v>
      </c>
      <c r="O2857" s="168" t="s">
        <v>211</v>
      </c>
    </row>
    <row r="2858" spans="2:15" s="453" customFormat="1" ht="14" x14ac:dyDescent="0.2">
      <c r="B2858" s="293"/>
      <c r="C2858" s="572"/>
      <c r="D2858" s="572"/>
      <c r="E2858" s="572"/>
      <c r="F2858" s="572"/>
      <c r="G2858" s="572"/>
      <c r="H2858" s="294"/>
      <c r="I2858" s="169"/>
      <c r="J2858" s="167"/>
      <c r="K2858" s="169"/>
      <c r="L2858" s="167"/>
      <c r="M2858" s="169"/>
      <c r="N2858" s="167"/>
      <c r="O2858" s="169"/>
    </row>
    <row r="2859" spans="2:15" s="453" customFormat="1" ht="14" x14ac:dyDescent="0.2">
      <c r="B2859" s="293"/>
      <c r="C2859" s="572" t="s">
        <v>1348</v>
      </c>
      <c r="D2859" s="572"/>
      <c r="E2859" s="572"/>
      <c r="F2859" s="572"/>
      <c r="G2859" s="572"/>
      <c r="H2859" s="296"/>
      <c r="I2859" s="168" t="s">
        <v>211</v>
      </c>
      <c r="J2859" s="166" t="s">
        <v>211</v>
      </c>
      <c r="K2859" s="168" t="s">
        <v>211</v>
      </c>
      <c r="L2859" s="166" t="s">
        <v>211</v>
      </c>
      <c r="M2859" s="168" t="s">
        <v>211</v>
      </c>
      <c r="N2859" s="166" t="s">
        <v>211</v>
      </c>
      <c r="O2859" s="168" t="s">
        <v>211</v>
      </c>
    </row>
    <row r="2860" spans="2:15" s="453" customFormat="1" ht="14" x14ac:dyDescent="0.2">
      <c r="B2860" s="293"/>
      <c r="C2860" s="572"/>
      <c r="D2860" s="572"/>
      <c r="E2860" s="572"/>
      <c r="F2860" s="572"/>
      <c r="G2860" s="572"/>
      <c r="H2860" s="294"/>
      <c r="I2860" s="169"/>
      <c r="J2860" s="167"/>
      <c r="K2860" s="169"/>
      <c r="L2860" s="167"/>
      <c r="M2860" s="169"/>
      <c r="N2860" s="167"/>
      <c r="O2860" s="169"/>
    </row>
    <row r="2861" spans="2:15" s="453" customFormat="1" ht="14" x14ac:dyDescent="0.2">
      <c r="B2861" s="293"/>
      <c r="C2861" s="573" t="s">
        <v>1314</v>
      </c>
      <c r="D2861" s="573"/>
      <c r="E2861" s="573"/>
      <c r="F2861" s="573"/>
      <c r="G2861" s="573"/>
      <c r="H2861" s="296"/>
      <c r="I2861" s="168" t="s">
        <v>211</v>
      </c>
      <c r="J2861" s="166" t="s">
        <v>211</v>
      </c>
      <c r="K2861" s="168" t="s">
        <v>211</v>
      </c>
      <c r="L2861" s="166" t="s">
        <v>211</v>
      </c>
      <c r="M2861" s="168" t="s">
        <v>211</v>
      </c>
      <c r="N2861" s="166" t="s">
        <v>211</v>
      </c>
      <c r="O2861" s="168" t="s">
        <v>211</v>
      </c>
    </row>
    <row r="2862" spans="2:15" s="453" customFormat="1" ht="14" x14ac:dyDescent="0.2">
      <c r="B2862" s="293"/>
      <c r="C2862" s="573" t="s">
        <v>848</v>
      </c>
      <c r="D2862" s="573"/>
      <c r="E2862" s="573"/>
      <c r="F2862" s="573"/>
      <c r="G2862" s="573"/>
      <c r="H2862" s="296"/>
      <c r="I2862" s="168" t="s">
        <v>211</v>
      </c>
      <c r="J2862" s="166" t="s">
        <v>211</v>
      </c>
      <c r="K2862" s="168" t="s">
        <v>211</v>
      </c>
      <c r="L2862" s="166" t="s">
        <v>211</v>
      </c>
      <c r="M2862" s="168" t="s">
        <v>211</v>
      </c>
      <c r="N2862" s="166" t="s">
        <v>211</v>
      </c>
      <c r="O2862" s="168" t="s">
        <v>211</v>
      </c>
    </row>
    <row r="2863" spans="2:15" s="453" customFormat="1" ht="14" x14ac:dyDescent="0.2">
      <c r="B2863" s="293"/>
      <c r="C2863" s="595" t="s">
        <v>1349</v>
      </c>
      <c r="D2863" s="595"/>
      <c r="E2863" s="595"/>
      <c r="F2863" s="595"/>
      <c r="G2863" s="595"/>
      <c r="H2863" s="296"/>
      <c r="I2863" s="168" t="s">
        <v>211</v>
      </c>
      <c r="J2863" s="166" t="s">
        <v>211</v>
      </c>
      <c r="K2863" s="168" t="s">
        <v>211</v>
      </c>
      <c r="L2863" s="166" t="s">
        <v>211</v>
      </c>
      <c r="M2863" s="168" t="s">
        <v>211</v>
      </c>
      <c r="N2863" s="166" t="s">
        <v>211</v>
      </c>
      <c r="O2863" s="168" t="s">
        <v>211</v>
      </c>
    </row>
    <row r="2864" spans="2:15" s="453" customFormat="1" ht="14" x14ac:dyDescent="0.2">
      <c r="B2864" s="293"/>
      <c r="C2864" s="290"/>
      <c r="D2864" s="290"/>
      <c r="E2864" s="290"/>
      <c r="F2864" s="290"/>
      <c r="G2864" s="290"/>
      <c r="H2864" s="294"/>
      <c r="I2864" s="169"/>
      <c r="J2864" s="167"/>
      <c r="K2864" s="169"/>
      <c r="L2864" s="167"/>
      <c r="M2864" s="169"/>
      <c r="N2864" s="167"/>
      <c r="O2864" s="169"/>
    </row>
    <row r="2865" spans="2:15" s="453" customFormat="1" ht="14" x14ac:dyDescent="0.2">
      <c r="B2865" s="293"/>
      <c r="F2865" s="586" t="s">
        <v>1350</v>
      </c>
      <c r="G2865" s="586"/>
      <c r="H2865" s="587"/>
      <c r="I2865" s="169"/>
      <c r="J2865" s="167"/>
      <c r="K2865" s="169"/>
      <c r="L2865" s="167"/>
      <c r="M2865" s="169"/>
      <c r="N2865" s="167"/>
      <c r="O2865" s="169"/>
    </row>
    <row r="2866" spans="2:15" s="453" customFormat="1" ht="14" x14ac:dyDescent="0.2">
      <c r="B2866" s="302"/>
      <c r="C2866" s="303"/>
      <c r="D2866" s="303"/>
      <c r="E2866" s="603" t="s">
        <v>1315</v>
      </c>
      <c r="F2866" s="603"/>
      <c r="G2866" s="603"/>
      <c r="H2866" s="769"/>
      <c r="I2866" s="169"/>
      <c r="J2866" s="167"/>
      <c r="K2866" s="169"/>
      <c r="L2866" s="167"/>
      <c r="M2866" s="169"/>
      <c r="N2866" s="167"/>
      <c r="O2866" s="169"/>
    </row>
    <row r="2867" spans="2:15" s="453" customFormat="1" ht="14" x14ac:dyDescent="0.2">
      <c r="B2867" s="291">
        <v>11</v>
      </c>
      <c r="C2867" s="602" t="s">
        <v>1351</v>
      </c>
      <c r="D2867" s="602"/>
      <c r="E2867" s="602"/>
      <c r="F2867" s="602"/>
      <c r="G2867" s="602"/>
      <c r="H2867" s="292"/>
      <c r="I2867" s="168" t="s">
        <v>211</v>
      </c>
      <c r="J2867" s="166" t="s">
        <v>211</v>
      </c>
      <c r="K2867" s="168" t="s">
        <v>211</v>
      </c>
      <c r="L2867" s="166" t="s">
        <v>211</v>
      </c>
      <c r="M2867" s="168" t="s">
        <v>211</v>
      </c>
      <c r="N2867" s="166" t="s">
        <v>211</v>
      </c>
      <c r="O2867" s="168" t="s">
        <v>211</v>
      </c>
    </row>
    <row r="2868" spans="2:15" s="453" customFormat="1" ht="14" x14ac:dyDescent="0.2">
      <c r="B2868" s="293"/>
      <c r="C2868" s="572"/>
      <c r="D2868" s="572"/>
      <c r="E2868" s="572"/>
      <c r="F2868" s="572"/>
      <c r="G2868" s="572"/>
      <c r="H2868" s="294"/>
      <c r="I2868" s="169"/>
      <c r="J2868" s="167"/>
      <c r="K2868" s="169"/>
      <c r="L2868" s="167"/>
      <c r="M2868" s="169"/>
      <c r="N2868" s="167"/>
      <c r="O2868" s="169"/>
    </row>
    <row r="2869" spans="2:15" s="453" customFormat="1" ht="14" x14ac:dyDescent="0.2">
      <c r="B2869" s="293"/>
      <c r="C2869" s="651" t="s">
        <v>1340</v>
      </c>
      <c r="D2869" s="651"/>
      <c r="E2869" s="651"/>
      <c r="F2869" s="651"/>
      <c r="G2869" s="651"/>
      <c r="H2869" s="296"/>
      <c r="I2869" s="168" t="s">
        <v>211</v>
      </c>
      <c r="J2869" s="166" t="s">
        <v>211</v>
      </c>
      <c r="K2869" s="168" t="s">
        <v>211</v>
      </c>
      <c r="L2869" s="166" t="s">
        <v>211</v>
      </c>
      <c r="M2869" s="168" t="s">
        <v>211</v>
      </c>
      <c r="N2869" s="166" t="s">
        <v>211</v>
      </c>
      <c r="O2869" s="168" t="s">
        <v>211</v>
      </c>
    </row>
    <row r="2870" spans="2:15" s="453" customFormat="1" ht="14" x14ac:dyDescent="0.2">
      <c r="B2870" s="293"/>
      <c r="C2870" s="651"/>
      <c r="D2870" s="651"/>
      <c r="E2870" s="651"/>
      <c r="F2870" s="651"/>
      <c r="G2870" s="651"/>
      <c r="H2870" s="294"/>
      <c r="I2870" s="169"/>
      <c r="J2870" s="167"/>
      <c r="K2870" s="169"/>
      <c r="L2870" s="167"/>
      <c r="M2870" s="169"/>
      <c r="N2870" s="167"/>
      <c r="O2870" s="169"/>
    </row>
    <row r="2871" spans="2:15" s="453" customFormat="1" ht="14" x14ac:dyDescent="0.2">
      <c r="B2871" s="293"/>
      <c r="C2871" s="651"/>
      <c r="D2871" s="651"/>
      <c r="E2871" s="651"/>
      <c r="F2871" s="651"/>
      <c r="G2871" s="651"/>
      <c r="H2871" s="294"/>
      <c r="I2871" s="169"/>
      <c r="J2871" s="167"/>
      <c r="K2871" s="169"/>
      <c r="L2871" s="167"/>
      <c r="M2871" s="169"/>
      <c r="N2871" s="167"/>
      <c r="O2871" s="169"/>
    </row>
    <row r="2872" spans="2:15" s="453" customFormat="1" ht="14" x14ac:dyDescent="0.2">
      <c r="B2872" s="293"/>
      <c r="C2872" s="573" t="s">
        <v>1352</v>
      </c>
      <c r="D2872" s="573"/>
      <c r="E2872" s="573"/>
      <c r="F2872" s="573"/>
      <c r="G2872" s="573"/>
      <c r="H2872" s="296"/>
      <c r="I2872" s="168" t="s">
        <v>211</v>
      </c>
      <c r="J2872" s="166" t="s">
        <v>211</v>
      </c>
      <c r="K2872" s="168" t="s">
        <v>211</v>
      </c>
      <c r="L2872" s="166" t="s">
        <v>211</v>
      </c>
      <c r="M2872" s="168" t="s">
        <v>211</v>
      </c>
      <c r="N2872" s="166" t="s">
        <v>211</v>
      </c>
      <c r="O2872" s="168" t="s">
        <v>211</v>
      </c>
    </row>
    <row r="2873" spans="2:15" s="453" customFormat="1" ht="14" x14ac:dyDescent="0.2">
      <c r="B2873" s="293"/>
      <c r="F2873" s="586" t="s">
        <v>746</v>
      </c>
      <c r="G2873" s="586"/>
      <c r="H2873" s="587"/>
      <c r="I2873" s="169"/>
      <c r="J2873" s="167"/>
      <c r="K2873" s="169"/>
      <c r="L2873" s="167"/>
      <c r="M2873" s="169"/>
      <c r="N2873" s="167"/>
      <c r="O2873" s="169"/>
    </row>
    <row r="2874" spans="2:15" s="453" customFormat="1" ht="14" x14ac:dyDescent="0.2">
      <c r="B2874" s="302"/>
      <c r="C2874" s="303"/>
      <c r="D2874" s="303"/>
      <c r="E2874" s="303"/>
      <c r="F2874" s="599" t="s">
        <v>1318</v>
      </c>
      <c r="G2874" s="599"/>
      <c r="H2874" s="615"/>
      <c r="I2874" s="169"/>
      <c r="J2874" s="167"/>
      <c r="K2874" s="169"/>
      <c r="L2874" s="167"/>
      <c r="M2874" s="169"/>
      <c r="N2874" s="167"/>
      <c r="O2874" s="169"/>
    </row>
    <row r="2875" spans="2:15" s="453" customFormat="1" ht="14" x14ac:dyDescent="0.2">
      <c r="B2875" s="291">
        <v>12</v>
      </c>
      <c r="C2875" s="602" t="s">
        <v>1353</v>
      </c>
      <c r="D2875" s="602"/>
      <c r="E2875" s="602"/>
      <c r="F2875" s="602"/>
      <c r="G2875" s="602"/>
      <c r="H2875" s="292"/>
      <c r="I2875" s="168" t="s">
        <v>211</v>
      </c>
      <c r="J2875" s="166" t="s">
        <v>211</v>
      </c>
      <c r="K2875" s="168" t="s">
        <v>211</v>
      </c>
      <c r="L2875" s="166" t="s">
        <v>211</v>
      </c>
      <c r="M2875" s="168" t="s">
        <v>211</v>
      </c>
      <c r="N2875" s="166" t="s">
        <v>211</v>
      </c>
      <c r="O2875" s="168" t="s">
        <v>211</v>
      </c>
    </row>
    <row r="2876" spans="2:15" s="453" customFormat="1" ht="14" x14ac:dyDescent="0.2">
      <c r="B2876" s="293"/>
      <c r="C2876" s="572"/>
      <c r="D2876" s="572"/>
      <c r="E2876" s="572"/>
      <c r="F2876" s="572"/>
      <c r="G2876" s="572"/>
      <c r="H2876" s="294"/>
      <c r="I2876" s="169"/>
      <c r="J2876" s="167"/>
      <c r="K2876" s="169"/>
      <c r="L2876" s="167"/>
      <c r="M2876" s="169"/>
      <c r="N2876" s="167"/>
      <c r="O2876" s="169"/>
    </row>
    <row r="2877" spans="2:15" s="453" customFormat="1" ht="14" x14ac:dyDescent="0.2">
      <c r="B2877" s="396" t="s">
        <v>333</v>
      </c>
      <c r="C2877" s="810" t="s">
        <v>1320</v>
      </c>
      <c r="D2877" s="810"/>
      <c r="E2877" s="810"/>
      <c r="F2877" s="810"/>
      <c r="G2877" s="810"/>
      <c r="H2877" s="294"/>
      <c r="I2877" s="169"/>
      <c r="J2877" s="167"/>
      <c r="K2877" s="169"/>
      <c r="L2877" s="167"/>
      <c r="M2877" s="169"/>
      <c r="N2877" s="167"/>
      <c r="O2877" s="169"/>
    </row>
    <row r="2878" spans="2:15" s="453" customFormat="1" ht="14" x14ac:dyDescent="0.2">
      <c r="B2878" s="396"/>
      <c r="C2878" s="810"/>
      <c r="D2878" s="810"/>
      <c r="E2878" s="810"/>
      <c r="F2878" s="810"/>
      <c r="G2878" s="810"/>
      <c r="H2878" s="294"/>
      <c r="I2878" s="169"/>
      <c r="J2878" s="167"/>
      <c r="K2878" s="169"/>
      <c r="L2878" s="167"/>
      <c r="M2878" s="169"/>
      <c r="N2878" s="167"/>
      <c r="O2878" s="169"/>
    </row>
    <row r="2879" spans="2:15" s="453" customFormat="1" ht="14" x14ac:dyDescent="0.2">
      <c r="B2879" s="293"/>
      <c r="F2879" s="586" t="s">
        <v>775</v>
      </c>
      <c r="G2879" s="586"/>
      <c r="H2879" s="587"/>
      <c r="I2879" s="169"/>
      <c r="J2879" s="167"/>
      <c r="K2879" s="169"/>
      <c r="L2879" s="167"/>
      <c r="M2879" s="169"/>
      <c r="N2879" s="167"/>
      <c r="O2879" s="169"/>
    </row>
    <row r="2880" spans="2:15" s="453" customFormat="1" ht="14" x14ac:dyDescent="0.2">
      <c r="B2880" s="293"/>
      <c r="F2880" s="604" t="s">
        <v>1354</v>
      </c>
      <c r="G2880" s="604"/>
      <c r="H2880" s="767"/>
      <c r="I2880" s="169"/>
      <c r="J2880" s="167"/>
      <c r="K2880" s="169"/>
      <c r="L2880" s="167"/>
      <c r="M2880" s="169"/>
      <c r="N2880" s="167"/>
      <c r="O2880" s="169"/>
    </row>
    <row r="2881" spans="2:16" s="453" customFormat="1" ht="14" x14ac:dyDescent="0.2">
      <c r="B2881" s="302"/>
      <c r="C2881" s="303"/>
      <c r="D2881" s="303"/>
      <c r="E2881" s="303"/>
      <c r="F2881" s="599" t="s">
        <v>777</v>
      </c>
      <c r="G2881" s="599"/>
      <c r="H2881" s="615"/>
      <c r="I2881" s="169"/>
      <c r="J2881" s="167"/>
      <c r="K2881" s="169"/>
      <c r="L2881" s="167"/>
      <c r="M2881" s="169"/>
      <c r="N2881" s="167"/>
      <c r="O2881" s="169"/>
    </row>
    <row r="2882" spans="2:16" s="453" customFormat="1" ht="14" x14ac:dyDescent="0.2">
      <c r="B2882" s="291">
        <v>13</v>
      </c>
      <c r="C2882" s="598" t="s">
        <v>1321</v>
      </c>
      <c r="D2882" s="598"/>
      <c r="E2882" s="598"/>
      <c r="F2882" s="598"/>
      <c r="G2882" s="598"/>
      <c r="H2882" s="292"/>
      <c r="I2882" s="168" t="s">
        <v>211</v>
      </c>
      <c r="J2882" s="166" t="s">
        <v>211</v>
      </c>
      <c r="K2882" s="168" t="s">
        <v>211</v>
      </c>
      <c r="L2882" s="166" t="s">
        <v>211</v>
      </c>
      <c r="M2882" s="168" t="s">
        <v>211</v>
      </c>
      <c r="N2882" s="166" t="s">
        <v>211</v>
      </c>
      <c r="O2882" s="168" t="s">
        <v>211</v>
      </c>
    </row>
    <row r="2883" spans="2:16" s="453" customFormat="1" ht="14" x14ac:dyDescent="0.2">
      <c r="B2883" s="293"/>
      <c r="C2883" s="573" t="s">
        <v>779</v>
      </c>
      <c r="D2883" s="573"/>
      <c r="E2883" s="573"/>
      <c r="F2883" s="573"/>
      <c r="G2883" s="573"/>
      <c r="H2883" s="296"/>
      <c r="I2883" s="168" t="s">
        <v>211</v>
      </c>
      <c r="J2883" s="166" t="s">
        <v>211</v>
      </c>
      <c r="K2883" s="168" t="s">
        <v>211</v>
      </c>
      <c r="L2883" s="166" t="s">
        <v>211</v>
      </c>
      <c r="M2883" s="168" t="s">
        <v>211</v>
      </c>
      <c r="N2883" s="166" t="s">
        <v>211</v>
      </c>
      <c r="O2883" s="168" t="s">
        <v>211</v>
      </c>
    </row>
    <row r="2884" spans="2:16" s="453" customFormat="1" ht="14" x14ac:dyDescent="0.2">
      <c r="B2884" s="293"/>
      <c r="C2884" s="573" t="s">
        <v>780</v>
      </c>
      <c r="D2884" s="573"/>
      <c r="E2884" s="573"/>
      <c r="F2884" s="573"/>
      <c r="G2884" s="573"/>
      <c r="H2884" s="296"/>
      <c r="I2884" s="168" t="s">
        <v>211</v>
      </c>
      <c r="J2884" s="166" t="s">
        <v>211</v>
      </c>
      <c r="K2884" s="168" t="s">
        <v>211</v>
      </c>
      <c r="L2884" s="166" t="s">
        <v>211</v>
      </c>
      <c r="M2884" s="168" t="s">
        <v>211</v>
      </c>
      <c r="N2884" s="166" t="s">
        <v>211</v>
      </c>
      <c r="O2884" s="168" t="s">
        <v>211</v>
      </c>
    </row>
    <row r="2885" spans="2:16" s="453" customFormat="1" ht="14" x14ac:dyDescent="0.2">
      <c r="B2885" s="302"/>
      <c r="C2885" s="303"/>
      <c r="D2885" s="303"/>
      <c r="E2885" s="303"/>
      <c r="F2885" s="580" t="s">
        <v>1355</v>
      </c>
      <c r="G2885" s="580"/>
      <c r="H2885" s="585"/>
      <c r="I2885" s="169"/>
      <c r="J2885" s="167"/>
      <c r="K2885" s="169"/>
      <c r="L2885" s="167"/>
      <c r="M2885" s="169"/>
      <c r="N2885" s="167"/>
      <c r="O2885" s="169"/>
    </row>
    <row r="2886" spans="2:16" s="453" customFormat="1" ht="14" x14ac:dyDescent="0.2">
      <c r="B2886" s="291" t="s">
        <v>1322</v>
      </c>
      <c r="C2886" s="598" t="s">
        <v>1323</v>
      </c>
      <c r="D2886" s="598"/>
      <c r="E2886" s="598"/>
      <c r="F2886" s="598"/>
      <c r="G2886" s="598"/>
      <c r="H2886" s="292"/>
      <c r="I2886" s="168" t="s">
        <v>211</v>
      </c>
      <c r="J2886" s="166" t="s">
        <v>211</v>
      </c>
      <c r="K2886" s="168" t="s">
        <v>211</v>
      </c>
      <c r="L2886" s="166" t="s">
        <v>211</v>
      </c>
      <c r="M2886" s="168" t="s">
        <v>211</v>
      </c>
      <c r="N2886" s="166" t="s">
        <v>211</v>
      </c>
      <c r="O2886" s="168" t="s">
        <v>211</v>
      </c>
    </row>
    <row r="2887" spans="2:16" s="453" customFormat="1" ht="14" x14ac:dyDescent="0.2">
      <c r="B2887" s="302"/>
      <c r="C2887" s="303"/>
      <c r="D2887" s="303"/>
      <c r="E2887" s="303"/>
      <c r="F2887" s="580" t="s">
        <v>1324</v>
      </c>
      <c r="G2887" s="580"/>
      <c r="H2887" s="585"/>
      <c r="I2887" s="169"/>
      <c r="J2887" s="167"/>
      <c r="K2887" s="169"/>
      <c r="L2887" s="167"/>
      <c r="M2887" s="169"/>
      <c r="N2887" s="167"/>
      <c r="O2887" s="169"/>
    </row>
    <row r="2888" spans="2:16" s="453" customFormat="1" ht="14" x14ac:dyDescent="0.2">
      <c r="B2888" s="291">
        <v>14</v>
      </c>
      <c r="C2888" s="602" t="s">
        <v>1325</v>
      </c>
      <c r="D2888" s="602"/>
      <c r="E2888" s="602"/>
      <c r="F2888" s="602"/>
      <c r="G2888" s="602"/>
      <c r="H2888" s="292"/>
      <c r="I2888" s="168" t="s">
        <v>211</v>
      </c>
      <c r="J2888" s="166" t="s">
        <v>211</v>
      </c>
      <c r="K2888" s="168" t="s">
        <v>211</v>
      </c>
      <c r="L2888" s="166" t="s">
        <v>211</v>
      </c>
      <c r="M2888" s="168" t="s">
        <v>211</v>
      </c>
      <c r="N2888" s="166" t="s">
        <v>211</v>
      </c>
      <c r="O2888" s="168" t="s">
        <v>211</v>
      </c>
    </row>
    <row r="2889" spans="2:16" s="453" customFormat="1" ht="14" x14ac:dyDescent="0.2">
      <c r="B2889" s="293"/>
      <c r="C2889" s="572" t="s">
        <v>1356</v>
      </c>
      <c r="D2889" s="572"/>
      <c r="E2889" s="572"/>
      <c r="F2889" s="572"/>
      <c r="G2889" s="572"/>
      <c r="H2889" s="296"/>
      <c r="I2889" s="168" t="s">
        <v>211</v>
      </c>
      <c r="J2889" s="166" t="s">
        <v>211</v>
      </c>
      <c r="K2889" s="168" t="s">
        <v>211</v>
      </c>
      <c r="L2889" s="166" t="s">
        <v>211</v>
      </c>
      <c r="M2889" s="168" t="s">
        <v>211</v>
      </c>
      <c r="N2889" s="166" t="s">
        <v>211</v>
      </c>
      <c r="O2889" s="168" t="s">
        <v>211</v>
      </c>
    </row>
    <row r="2890" spans="2:16" s="453" customFormat="1" ht="14" x14ac:dyDescent="0.2">
      <c r="B2890" s="293"/>
      <c r="C2890" s="572"/>
      <c r="D2890" s="572"/>
      <c r="E2890" s="572"/>
      <c r="F2890" s="572"/>
      <c r="G2890" s="572"/>
      <c r="H2890" s="294"/>
      <c r="I2890" s="169"/>
      <c r="J2890" s="167"/>
      <c r="K2890" s="169"/>
      <c r="L2890" s="167"/>
      <c r="M2890" s="169"/>
      <c r="N2890" s="167"/>
      <c r="O2890" s="169"/>
    </row>
    <row r="2891" spans="2:16" s="453" customFormat="1" ht="14" x14ac:dyDescent="0.2">
      <c r="B2891" s="293"/>
      <c r="C2891" s="573" t="s">
        <v>897</v>
      </c>
      <c r="D2891" s="573"/>
      <c r="E2891" s="573"/>
      <c r="F2891" s="573"/>
      <c r="G2891" s="573"/>
      <c r="H2891" s="296"/>
      <c r="I2891" s="168" t="s">
        <v>211</v>
      </c>
      <c r="J2891" s="166" t="s">
        <v>211</v>
      </c>
      <c r="K2891" s="168" t="s">
        <v>211</v>
      </c>
      <c r="L2891" s="166" t="s">
        <v>211</v>
      </c>
      <c r="M2891" s="168" t="s">
        <v>211</v>
      </c>
      <c r="N2891" s="166" t="s">
        <v>211</v>
      </c>
      <c r="O2891" s="168" t="s">
        <v>211</v>
      </c>
    </row>
    <row r="2892" spans="2:16" s="453" customFormat="1" ht="14" x14ac:dyDescent="0.2">
      <c r="B2892" s="293"/>
      <c r="C2892" s="572" t="s">
        <v>898</v>
      </c>
      <c r="D2892" s="572"/>
      <c r="E2892" s="572"/>
      <c r="F2892" s="572"/>
      <c r="G2892" s="572"/>
      <c r="H2892" s="296"/>
      <c r="I2892" s="168" t="s">
        <v>211</v>
      </c>
      <c r="J2892" s="166" t="s">
        <v>211</v>
      </c>
      <c r="K2892" s="168" t="s">
        <v>211</v>
      </c>
      <c r="L2892" s="166" t="s">
        <v>211</v>
      </c>
      <c r="M2892" s="168" t="s">
        <v>211</v>
      </c>
      <c r="N2892" s="166" t="s">
        <v>211</v>
      </c>
      <c r="O2892" s="168" t="s">
        <v>211</v>
      </c>
    </row>
    <row r="2893" spans="2:16" s="453" customFormat="1" ht="14" x14ac:dyDescent="0.2">
      <c r="B2893" s="293"/>
      <c r="C2893" s="572"/>
      <c r="D2893" s="572"/>
      <c r="E2893" s="572"/>
      <c r="F2893" s="572"/>
      <c r="G2893" s="572"/>
      <c r="H2893" s="294"/>
      <c r="I2893" s="172">
        <f>COUNTIF(I2755:I2892,Data!$A$1)</f>
        <v>0</v>
      </c>
      <c r="J2893" s="203">
        <f>COUNTIF(J2755:J2892,Data!$A$1)</f>
        <v>0</v>
      </c>
      <c r="K2893" s="172">
        <f>COUNTIF(K2755:K2892,Data!$A$1)</f>
        <v>0</v>
      </c>
      <c r="L2893" s="203">
        <f>COUNTIF(L2755:L2892,Data!$A$1)</f>
        <v>0</v>
      </c>
      <c r="M2893" s="172">
        <f>COUNTIF(M2755:M2892,Data!$A$1)</f>
        <v>0</v>
      </c>
      <c r="N2893" s="203">
        <f>COUNTIF(N2755:N2892,Data!$A$1)</f>
        <v>0</v>
      </c>
      <c r="O2893" s="172">
        <f>COUNTIF(O2755:O2892,Data!$A$1)</f>
        <v>0</v>
      </c>
      <c r="P2893" s="467">
        <f>SUM(I2893:K2893,M2893:N2893)</f>
        <v>0</v>
      </c>
    </row>
    <row r="2894" spans="2:16" s="453" customFormat="1" ht="14" x14ac:dyDescent="0.2">
      <c r="B2894" s="293"/>
      <c r="F2894" s="770" t="s">
        <v>785</v>
      </c>
      <c r="G2894" s="770"/>
      <c r="H2894" s="771"/>
      <c r="I2894" s="172">
        <f>SUM(I2893*5)</f>
        <v>0</v>
      </c>
      <c r="J2894" s="202"/>
      <c r="K2894" s="172">
        <f>SUM(K2893*4)</f>
        <v>0</v>
      </c>
      <c r="L2894" s="202"/>
      <c r="M2894" s="172">
        <f>SUM(M2893*5)</f>
        <v>0</v>
      </c>
      <c r="N2894" s="202">
        <f>SUM(N2893*5)</f>
        <v>0</v>
      </c>
      <c r="O2894" s="172">
        <f>SUM(I2894:N2894)</f>
        <v>0</v>
      </c>
      <c r="P2894" s="467">
        <f>SUM(P2893*5)</f>
        <v>0</v>
      </c>
    </row>
    <row r="2895" spans="2:16" s="453" customFormat="1" ht="14" x14ac:dyDescent="0.2">
      <c r="B2895" s="293"/>
      <c r="D2895" s="808" t="s">
        <v>899</v>
      </c>
      <c r="E2895" s="808"/>
      <c r="F2895" s="808"/>
      <c r="G2895" s="808"/>
      <c r="H2895" s="809"/>
      <c r="I2895" s="169"/>
      <c r="J2895" s="167"/>
      <c r="K2895" s="169"/>
      <c r="L2895" s="167"/>
      <c r="M2895" s="169"/>
      <c r="N2895" s="167"/>
      <c r="O2895" s="169"/>
    </row>
    <row r="2896" spans="2:16" s="453" customFormat="1" ht="14" x14ac:dyDescent="0.2">
      <c r="B2896" s="293"/>
      <c r="F2896" s="586" t="s">
        <v>604</v>
      </c>
      <c r="G2896" s="586"/>
      <c r="H2896" s="587"/>
      <c r="I2896" s="169"/>
      <c r="J2896" s="167"/>
      <c r="K2896" s="169"/>
      <c r="L2896" s="167"/>
      <c r="M2896" s="169"/>
      <c r="N2896" s="167"/>
      <c r="O2896" s="169"/>
    </row>
    <row r="2897" spans="2:16" s="453" customFormat="1" ht="14" x14ac:dyDescent="0.2">
      <c r="B2897" s="302"/>
      <c r="C2897" s="303"/>
      <c r="D2897" s="303"/>
      <c r="E2897" s="303"/>
      <c r="F2897" s="580" t="s">
        <v>786</v>
      </c>
      <c r="G2897" s="580"/>
      <c r="H2897" s="585"/>
      <c r="I2897" s="169"/>
      <c r="J2897" s="167"/>
      <c r="K2897" s="169"/>
      <c r="L2897" s="167"/>
      <c r="M2897" s="169"/>
      <c r="N2897" s="167"/>
      <c r="O2897" s="169"/>
    </row>
    <row r="2898" spans="2:16" s="453" customFormat="1" ht="14" x14ac:dyDescent="0.2">
      <c r="B2898" s="897" t="s">
        <v>901</v>
      </c>
      <c r="C2898" s="898"/>
      <c r="D2898" s="898"/>
      <c r="E2898" s="440"/>
      <c r="F2898" s="440"/>
      <c r="G2898" s="440"/>
      <c r="H2898" s="329"/>
      <c r="I2898" s="169"/>
      <c r="J2898" s="167"/>
      <c r="K2898" s="169"/>
      <c r="L2898" s="167"/>
      <c r="M2898" s="169"/>
      <c r="N2898" s="167"/>
      <c r="O2898" s="169"/>
    </row>
    <row r="2899" spans="2:16" s="453" customFormat="1" ht="14" x14ac:dyDescent="0.2">
      <c r="B2899" s="293"/>
      <c r="C2899" s="572" t="s">
        <v>902</v>
      </c>
      <c r="D2899" s="572"/>
      <c r="E2899" s="572"/>
      <c r="F2899" s="572"/>
      <c r="G2899" s="572"/>
      <c r="H2899" s="296"/>
      <c r="I2899" s="168" t="s">
        <v>211</v>
      </c>
      <c r="J2899" s="166" t="s">
        <v>211</v>
      </c>
      <c r="K2899" s="168" t="s">
        <v>211</v>
      </c>
      <c r="L2899" s="166" t="s">
        <v>211</v>
      </c>
      <c r="M2899" s="168" t="s">
        <v>211</v>
      </c>
      <c r="N2899" s="166" t="s">
        <v>211</v>
      </c>
      <c r="O2899" s="168" t="s">
        <v>211</v>
      </c>
    </row>
    <row r="2900" spans="2:16" s="453" customFormat="1" ht="14" x14ac:dyDescent="0.2">
      <c r="B2900" s="293"/>
      <c r="C2900" s="572"/>
      <c r="D2900" s="572"/>
      <c r="E2900" s="572"/>
      <c r="F2900" s="572"/>
      <c r="G2900" s="572"/>
      <c r="H2900" s="294"/>
      <c r="I2900" s="172">
        <f>COUNTIF(I2899,Data!$A$1)</f>
        <v>0</v>
      </c>
      <c r="J2900" s="203">
        <f>COUNTIF(J2899,Data!$A$1)</f>
        <v>0</v>
      </c>
      <c r="K2900" s="172">
        <f>COUNTIF(K2899,Data!$A$1)</f>
        <v>0</v>
      </c>
      <c r="L2900" s="203">
        <f>COUNTIF(L2899,Data!$A$1)</f>
        <v>0</v>
      </c>
      <c r="M2900" s="172">
        <f>COUNTIF(M2899,Data!$A$1)</f>
        <v>0</v>
      </c>
      <c r="N2900" s="203">
        <f>COUNTIF(N2899,Data!$A$1)</f>
        <v>0</v>
      </c>
      <c r="O2900" s="172">
        <f>COUNTIF(O2899,Data!$A$1)</f>
        <v>0</v>
      </c>
      <c r="P2900" s="107">
        <f>SUM(I2900:K2900,M2900:N2900)</f>
        <v>0</v>
      </c>
    </row>
    <row r="2901" spans="2:16" s="453" customFormat="1" ht="14" x14ac:dyDescent="0.2">
      <c r="B2901" s="293"/>
      <c r="C2901" s="573" t="s">
        <v>1327</v>
      </c>
      <c r="D2901" s="573"/>
      <c r="E2901" s="573"/>
      <c r="F2901" s="573"/>
      <c r="G2901" s="573"/>
      <c r="H2901" s="294"/>
      <c r="I2901" s="172">
        <f>SUM(I2900*15)</f>
        <v>0</v>
      </c>
      <c r="J2901" s="202"/>
      <c r="K2901" s="172">
        <f>SUM(K2900*10)</f>
        <v>0</v>
      </c>
      <c r="L2901" s="202"/>
      <c r="M2901" s="172">
        <f>SUM(M2900*15)</f>
        <v>0</v>
      </c>
      <c r="N2901" s="202">
        <f>SUM(N2900*15)</f>
        <v>0</v>
      </c>
      <c r="O2901" s="172">
        <f>SUM(I2901:N2901)</f>
        <v>0</v>
      </c>
      <c r="P2901" s="107">
        <f>SUM(P2900*15)</f>
        <v>0</v>
      </c>
    </row>
    <row r="2902" spans="2:16" s="453" customFormat="1" ht="14" x14ac:dyDescent="0.2">
      <c r="B2902" s="295" t="s">
        <v>333</v>
      </c>
      <c r="C2902" s="597" t="s">
        <v>1359</v>
      </c>
      <c r="D2902" s="597"/>
      <c r="E2902" s="597"/>
      <c r="F2902" s="597"/>
      <c r="G2902" s="597"/>
      <c r="H2902" s="294"/>
      <c r="I2902" s="169"/>
      <c r="J2902" s="167"/>
      <c r="K2902" s="169"/>
      <c r="L2902" s="167"/>
      <c r="M2902" s="169"/>
      <c r="N2902" s="167"/>
      <c r="O2902" s="169"/>
    </row>
    <row r="2903" spans="2:16" s="453" customFormat="1" ht="14" x14ac:dyDescent="0.2">
      <c r="B2903" s="295"/>
      <c r="C2903" s="597"/>
      <c r="D2903" s="597"/>
      <c r="E2903" s="597"/>
      <c r="F2903" s="597"/>
      <c r="G2903" s="597"/>
      <c r="H2903" s="294"/>
      <c r="I2903" s="169"/>
      <c r="J2903" s="167"/>
      <c r="K2903" s="169"/>
      <c r="L2903" s="167"/>
      <c r="M2903" s="169"/>
      <c r="N2903" s="167"/>
      <c r="O2903" s="169"/>
    </row>
    <row r="2904" spans="2:16" s="453" customFormat="1" ht="14" x14ac:dyDescent="0.2">
      <c r="B2904" s="295"/>
      <c r="C2904" s="597"/>
      <c r="D2904" s="597"/>
      <c r="E2904" s="597"/>
      <c r="F2904" s="597"/>
      <c r="G2904" s="597"/>
      <c r="H2904" s="294"/>
      <c r="I2904" s="169"/>
      <c r="J2904" s="167"/>
      <c r="K2904" s="169"/>
      <c r="L2904" s="167"/>
      <c r="M2904" s="169"/>
      <c r="N2904" s="167"/>
      <c r="O2904" s="169"/>
    </row>
    <row r="2905" spans="2:16" s="453" customFormat="1" ht="14" x14ac:dyDescent="0.2">
      <c r="B2905" s="302"/>
      <c r="C2905" s="303"/>
      <c r="D2905" s="303"/>
      <c r="E2905" s="303"/>
      <c r="F2905" s="580" t="s">
        <v>1346</v>
      </c>
      <c r="G2905" s="580"/>
      <c r="H2905" s="585"/>
      <c r="I2905" s="169"/>
      <c r="J2905" s="167"/>
      <c r="K2905" s="169"/>
      <c r="L2905" s="167"/>
      <c r="M2905" s="169"/>
      <c r="N2905" s="167"/>
      <c r="O2905" s="169"/>
    </row>
    <row r="2906" spans="2:16" s="453" customFormat="1" ht="14" x14ac:dyDescent="0.2">
      <c r="B2906" s="291">
        <v>16</v>
      </c>
      <c r="C2906" s="142"/>
      <c r="D2906" s="142"/>
      <c r="E2906" s="142"/>
      <c r="F2906" s="780" t="s">
        <v>1329</v>
      </c>
      <c r="G2906" s="780"/>
      <c r="H2906" s="781"/>
      <c r="I2906" s="169"/>
      <c r="J2906" s="167"/>
      <c r="K2906" s="169"/>
      <c r="L2906" s="167"/>
      <c r="M2906" s="169"/>
      <c r="N2906" s="167"/>
      <c r="O2906" s="169"/>
    </row>
    <row r="2907" spans="2:16" s="453" customFormat="1" ht="14" x14ac:dyDescent="0.2">
      <c r="B2907" s="293"/>
      <c r="C2907" s="572" t="s">
        <v>1339</v>
      </c>
      <c r="D2907" s="572"/>
      <c r="E2907" s="572"/>
      <c r="F2907" s="572"/>
      <c r="G2907" s="572"/>
      <c r="H2907" s="296"/>
      <c r="I2907" s="168" t="s">
        <v>211</v>
      </c>
      <c r="J2907" s="166" t="s">
        <v>211</v>
      </c>
      <c r="K2907" s="168" t="s">
        <v>211</v>
      </c>
      <c r="L2907" s="166" t="s">
        <v>211</v>
      </c>
      <c r="M2907" s="168" t="s">
        <v>211</v>
      </c>
      <c r="N2907" s="166" t="s">
        <v>211</v>
      </c>
      <c r="O2907" s="168" t="s">
        <v>211</v>
      </c>
    </row>
    <row r="2908" spans="2:16" s="453" customFormat="1" ht="14" x14ac:dyDescent="0.2">
      <c r="B2908" s="293"/>
      <c r="C2908" s="572" t="s">
        <v>1340</v>
      </c>
      <c r="D2908" s="572"/>
      <c r="E2908" s="572"/>
      <c r="F2908" s="572"/>
      <c r="G2908" s="572"/>
      <c r="H2908" s="296"/>
      <c r="I2908" s="168" t="s">
        <v>211</v>
      </c>
      <c r="J2908" s="166" t="s">
        <v>211</v>
      </c>
      <c r="K2908" s="168" t="s">
        <v>211</v>
      </c>
      <c r="L2908" s="166" t="s">
        <v>211</v>
      </c>
      <c r="M2908" s="168" t="s">
        <v>211</v>
      </c>
      <c r="N2908" s="166" t="s">
        <v>211</v>
      </c>
      <c r="O2908" s="168" t="s">
        <v>211</v>
      </c>
    </row>
    <row r="2909" spans="2:16" s="453" customFormat="1" ht="14" x14ac:dyDescent="0.2">
      <c r="B2909" s="293"/>
      <c r="C2909" s="572"/>
      <c r="D2909" s="572"/>
      <c r="E2909" s="572"/>
      <c r="F2909" s="572"/>
      <c r="G2909" s="572"/>
      <c r="H2909" s="294"/>
      <c r="I2909" s="169"/>
      <c r="J2909" s="167"/>
      <c r="K2909" s="169"/>
      <c r="L2909" s="167"/>
      <c r="M2909" s="169"/>
      <c r="N2909" s="167"/>
      <c r="O2909" s="169"/>
    </row>
    <row r="2910" spans="2:16" s="453" customFormat="1" ht="14" x14ac:dyDescent="0.2">
      <c r="B2910" s="293"/>
      <c r="C2910" s="572"/>
      <c r="D2910" s="572"/>
      <c r="E2910" s="572"/>
      <c r="F2910" s="572"/>
      <c r="G2910" s="572"/>
      <c r="H2910" s="294"/>
      <c r="I2910" s="169"/>
      <c r="J2910" s="167"/>
      <c r="K2910" s="169"/>
      <c r="L2910" s="167"/>
      <c r="M2910" s="169"/>
      <c r="N2910" s="167"/>
      <c r="O2910" s="169"/>
    </row>
    <row r="2911" spans="2:16" s="453" customFormat="1" ht="14" x14ac:dyDescent="0.2">
      <c r="B2911" s="302"/>
      <c r="C2911" s="303"/>
      <c r="D2911" s="303"/>
      <c r="E2911" s="303"/>
      <c r="F2911" s="580" t="s">
        <v>794</v>
      </c>
      <c r="G2911" s="580"/>
      <c r="H2911" s="585"/>
      <c r="I2911" s="169"/>
      <c r="J2911" s="167"/>
      <c r="K2911" s="169"/>
      <c r="L2911" s="167"/>
      <c r="M2911" s="169"/>
      <c r="N2911" s="167"/>
      <c r="O2911" s="169"/>
    </row>
    <row r="2912" spans="2:16" s="453" customFormat="1" ht="14" x14ac:dyDescent="0.2">
      <c r="B2912" s="291">
        <v>17</v>
      </c>
      <c r="C2912" s="598" t="s">
        <v>955</v>
      </c>
      <c r="D2912" s="598"/>
      <c r="E2912" s="598"/>
      <c r="F2912" s="598"/>
      <c r="G2912" s="598"/>
      <c r="H2912" s="292"/>
      <c r="I2912" s="168" t="s">
        <v>211</v>
      </c>
      <c r="J2912" s="166" t="s">
        <v>211</v>
      </c>
      <c r="K2912" s="168" t="s">
        <v>211</v>
      </c>
      <c r="L2912" s="166" t="s">
        <v>211</v>
      </c>
      <c r="M2912" s="168" t="s">
        <v>211</v>
      </c>
      <c r="N2912" s="166" t="s">
        <v>211</v>
      </c>
      <c r="O2912" s="168" t="s">
        <v>211</v>
      </c>
    </row>
    <row r="2913" spans="2:15" s="453" customFormat="1" ht="14" x14ac:dyDescent="0.2">
      <c r="B2913" s="293"/>
      <c r="C2913" s="573" t="s">
        <v>823</v>
      </c>
      <c r="D2913" s="573"/>
      <c r="E2913" s="573"/>
      <c r="F2913" s="573"/>
      <c r="G2913" s="573"/>
      <c r="H2913" s="296"/>
      <c r="I2913" s="168" t="s">
        <v>211</v>
      </c>
      <c r="J2913" s="166" t="s">
        <v>211</v>
      </c>
      <c r="K2913" s="168" t="s">
        <v>211</v>
      </c>
      <c r="L2913" s="166" t="s">
        <v>211</v>
      </c>
      <c r="M2913" s="168" t="s">
        <v>211</v>
      </c>
      <c r="N2913" s="166" t="s">
        <v>211</v>
      </c>
      <c r="O2913" s="168" t="s">
        <v>211</v>
      </c>
    </row>
    <row r="2914" spans="2:15" s="453" customFormat="1" ht="14" x14ac:dyDescent="0.2">
      <c r="B2914" s="293"/>
      <c r="C2914" s="573" t="s">
        <v>897</v>
      </c>
      <c r="D2914" s="573"/>
      <c r="E2914" s="573"/>
      <c r="F2914" s="573"/>
      <c r="G2914" s="573"/>
      <c r="H2914" s="296"/>
      <c r="I2914" s="168" t="s">
        <v>211</v>
      </c>
      <c r="J2914" s="166" t="s">
        <v>211</v>
      </c>
      <c r="K2914" s="168" t="s">
        <v>211</v>
      </c>
      <c r="L2914" s="166" t="s">
        <v>211</v>
      </c>
      <c r="M2914" s="168" t="s">
        <v>211</v>
      </c>
      <c r="N2914" s="166" t="s">
        <v>211</v>
      </c>
      <c r="O2914" s="168" t="s">
        <v>211</v>
      </c>
    </row>
    <row r="2915" spans="2:15" s="453" customFormat="1" ht="14" x14ac:dyDescent="0.2">
      <c r="B2915" s="293"/>
      <c r="C2915" s="572" t="s">
        <v>906</v>
      </c>
      <c r="D2915" s="572"/>
      <c r="E2915" s="572"/>
      <c r="F2915" s="572"/>
      <c r="G2915" s="572"/>
      <c r="H2915" s="296"/>
      <c r="I2915" s="168" t="s">
        <v>211</v>
      </c>
      <c r="J2915" s="166" t="s">
        <v>211</v>
      </c>
      <c r="K2915" s="168" t="s">
        <v>211</v>
      </c>
      <c r="L2915" s="166" t="s">
        <v>211</v>
      </c>
      <c r="M2915" s="168" t="s">
        <v>211</v>
      </c>
      <c r="N2915" s="166" t="s">
        <v>211</v>
      </c>
      <c r="O2915" s="168" t="s">
        <v>211</v>
      </c>
    </row>
    <row r="2916" spans="2:15" s="453" customFormat="1" ht="14" x14ac:dyDescent="0.2">
      <c r="B2916" s="293"/>
      <c r="F2916" s="586" t="s">
        <v>604</v>
      </c>
      <c r="G2916" s="586"/>
      <c r="H2916" s="587"/>
      <c r="I2916" s="169"/>
      <c r="J2916" s="167"/>
      <c r="K2916" s="169"/>
      <c r="L2916" s="167"/>
      <c r="M2916" s="169"/>
      <c r="N2916" s="167"/>
      <c r="O2916" s="169"/>
    </row>
    <row r="2917" spans="2:15" s="453" customFormat="1" ht="14" x14ac:dyDescent="0.2">
      <c r="B2917" s="293"/>
      <c r="F2917" s="593" t="s">
        <v>907</v>
      </c>
      <c r="G2917" s="593"/>
      <c r="H2917" s="768"/>
      <c r="I2917" s="169"/>
      <c r="J2917" s="167"/>
      <c r="K2917" s="169"/>
      <c r="L2917" s="167"/>
      <c r="M2917" s="169"/>
      <c r="N2917" s="167"/>
      <c r="O2917" s="169"/>
    </row>
    <row r="2918" spans="2:15" s="453" customFormat="1" ht="14" x14ac:dyDescent="0.2">
      <c r="B2918" s="302"/>
      <c r="C2918" s="303"/>
      <c r="D2918" s="303"/>
      <c r="E2918" s="303"/>
      <c r="F2918" s="580" t="s">
        <v>1360</v>
      </c>
      <c r="G2918" s="580"/>
      <c r="H2918" s="585"/>
      <c r="I2918" s="169"/>
      <c r="J2918" s="167"/>
      <c r="K2918" s="169"/>
      <c r="L2918" s="167"/>
      <c r="M2918" s="169"/>
      <c r="N2918" s="167"/>
      <c r="O2918" s="169"/>
    </row>
    <row r="2919" spans="2:15" s="453" customFormat="1" ht="14" x14ac:dyDescent="0.2">
      <c r="B2919" s="291">
        <v>18</v>
      </c>
      <c r="C2919" s="142"/>
      <c r="D2919" s="142"/>
      <c r="E2919" s="142"/>
      <c r="F2919" s="612" t="s">
        <v>775</v>
      </c>
      <c r="G2919" s="612"/>
      <c r="H2919" s="782"/>
      <c r="I2919" s="169"/>
      <c r="J2919" s="167"/>
      <c r="K2919" s="169"/>
      <c r="L2919" s="167"/>
      <c r="M2919" s="169"/>
      <c r="N2919" s="167"/>
      <c r="O2919" s="169"/>
    </row>
    <row r="2920" spans="2:15" s="453" customFormat="1" ht="14" x14ac:dyDescent="0.2">
      <c r="B2920" s="293"/>
      <c r="D2920" s="593" t="s">
        <v>801</v>
      </c>
      <c r="E2920" s="593"/>
      <c r="F2920" s="593"/>
      <c r="G2920" s="593"/>
      <c r="H2920" s="768"/>
      <c r="I2920" s="169"/>
      <c r="J2920" s="167"/>
      <c r="K2920" s="169"/>
      <c r="L2920" s="167"/>
      <c r="M2920" s="169"/>
      <c r="N2920" s="167"/>
      <c r="O2920" s="169"/>
    </row>
    <row r="2921" spans="2:15" s="453" customFormat="1" ht="14" x14ac:dyDescent="0.2">
      <c r="B2921" s="293"/>
      <c r="D2921" s="604" t="s">
        <v>957</v>
      </c>
      <c r="E2921" s="604"/>
      <c r="F2921" s="604"/>
      <c r="G2921" s="604"/>
      <c r="H2921" s="767"/>
      <c r="I2921" s="169"/>
      <c r="J2921" s="167"/>
      <c r="K2921" s="169"/>
      <c r="L2921" s="167"/>
      <c r="M2921" s="169"/>
      <c r="N2921" s="167"/>
      <c r="O2921" s="169"/>
    </row>
    <row r="2922" spans="2:15" s="453" customFormat="1" ht="14" x14ac:dyDescent="0.2">
      <c r="B2922" s="302"/>
      <c r="C2922" s="303"/>
      <c r="D2922" s="580" t="s">
        <v>803</v>
      </c>
      <c r="E2922" s="580"/>
      <c r="F2922" s="580"/>
      <c r="G2922" s="580"/>
      <c r="H2922" s="585"/>
      <c r="I2922" s="169"/>
      <c r="J2922" s="167"/>
      <c r="K2922" s="169"/>
      <c r="L2922" s="167"/>
      <c r="M2922" s="169"/>
      <c r="N2922" s="167"/>
      <c r="O2922" s="169"/>
    </row>
    <row r="2923" spans="2:15" s="453" customFormat="1" ht="14" x14ac:dyDescent="0.2">
      <c r="B2923" s="291" t="s">
        <v>804</v>
      </c>
      <c r="C2923" s="598" t="s">
        <v>912</v>
      </c>
      <c r="D2923" s="598"/>
      <c r="E2923" s="598"/>
      <c r="F2923" s="598"/>
      <c r="G2923" s="598"/>
      <c r="H2923" s="292"/>
      <c r="I2923" s="168" t="s">
        <v>211</v>
      </c>
      <c r="J2923" s="166" t="s">
        <v>211</v>
      </c>
      <c r="K2923" s="168" t="s">
        <v>211</v>
      </c>
      <c r="L2923" s="166" t="s">
        <v>211</v>
      </c>
      <c r="M2923" s="168" t="s">
        <v>211</v>
      </c>
      <c r="N2923" s="166" t="s">
        <v>211</v>
      </c>
      <c r="O2923" s="168" t="s">
        <v>211</v>
      </c>
    </row>
    <row r="2924" spans="2:15" s="453" customFormat="1" ht="14" x14ac:dyDescent="0.2">
      <c r="B2924" s="293"/>
      <c r="C2924" s="573" t="s">
        <v>913</v>
      </c>
      <c r="D2924" s="573"/>
      <c r="E2924" s="573"/>
      <c r="F2924" s="573"/>
      <c r="G2924" s="573"/>
      <c r="H2924" s="296"/>
      <c r="I2924" s="168" t="s">
        <v>211</v>
      </c>
      <c r="J2924" s="166" t="s">
        <v>211</v>
      </c>
      <c r="K2924" s="168" t="s">
        <v>211</v>
      </c>
      <c r="L2924" s="166" t="s">
        <v>211</v>
      </c>
      <c r="M2924" s="168" t="s">
        <v>211</v>
      </c>
      <c r="N2924" s="166" t="s">
        <v>211</v>
      </c>
      <c r="O2924" s="168" t="s">
        <v>211</v>
      </c>
    </row>
    <row r="2925" spans="2:15" s="453" customFormat="1" ht="14" x14ac:dyDescent="0.2">
      <c r="B2925" s="293"/>
      <c r="C2925" s="573" t="s">
        <v>914</v>
      </c>
      <c r="D2925" s="573"/>
      <c r="E2925" s="573"/>
      <c r="F2925" s="573"/>
      <c r="G2925" s="573"/>
      <c r="H2925" s="296"/>
      <c r="I2925" s="168" t="s">
        <v>211</v>
      </c>
      <c r="J2925" s="166" t="s">
        <v>211</v>
      </c>
      <c r="K2925" s="168" t="s">
        <v>211</v>
      </c>
      <c r="L2925" s="166" t="s">
        <v>211</v>
      </c>
      <c r="M2925" s="168" t="s">
        <v>211</v>
      </c>
      <c r="N2925" s="166" t="s">
        <v>211</v>
      </c>
      <c r="O2925" s="168" t="s">
        <v>211</v>
      </c>
    </row>
    <row r="2926" spans="2:15" s="453" customFormat="1" ht="14" x14ac:dyDescent="0.2">
      <c r="B2926" s="293"/>
      <c r="C2926" s="573" t="s">
        <v>915</v>
      </c>
      <c r="D2926" s="573"/>
      <c r="E2926" s="573"/>
      <c r="F2926" s="573"/>
      <c r="G2926" s="573"/>
      <c r="H2926" s="296"/>
      <c r="I2926" s="168" t="s">
        <v>211</v>
      </c>
      <c r="J2926" s="166" t="s">
        <v>211</v>
      </c>
      <c r="K2926" s="168" t="s">
        <v>211</v>
      </c>
      <c r="L2926" s="166" t="s">
        <v>211</v>
      </c>
      <c r="M2926" s="168" t="s">
        <v>211</v>
      </c>
      <c r="N2926" s="166" t="s">
        <v>211</v>
      </c>
      <c r="O2926" s="168" t="s">
        <v>211</v>
      </c>
    </row>
    <row r="2927" spans="2:15" s="453" customFormat="1" ht="14" x14ac:dyDescent="0.2">
      <c r="B2927" s="302"/>
      <c r="C2927" s="303"/>
      <c r="D2927" s="303"/>
      <c r="E2927" s="303"/>
      <c r="F2927" s="580" t="s">
        <v>482</v>
      </c>
      <c r="G2927" s="580"/>
      <c r="H2927" s="585"/>
      <c r="I2927" s="169"/>
      <c r="J2927" s="167"/>
      <c r="K2927" s="169"/>
      <c r="L2927" s="167"/>
      <c r="M2927" s="169"/>
      <c r="N2927" s="167"/>
      <c r="O2927" s="169"/>
    </row>
    <row r="2928" spans="2:15" s="453" customFormat="1" ht="14" x14ac:dyDescent="0.2">
      <c r="B2928" s="112"/>
      <c r="I2928" s="135"/>
      <c r="J2928" s="105"/>
      <c r="K2928" s="135"/>
      <c r="L2928" s="105"/>
      <c r="M2928" s="135"/>
      <c r="N2928" s="105"/>
      <c r="O2928" s="135"/>
    </row>
    <row r="2929" spans="2:15" s="453" customFormat="1" ht="14" x14ac:dyDescent="0.2">
      <c r="B2929" s="392" t="s">
        <v>1361</v>
      </c>
      <c r="C2929" s="393"/>
      <c r="D2929" s="393"/>
      <c r="E2929" s="394"/>
      <c r="F2929" s="394"/>
      <c r="G2929" s="394"/>
      <c r="H2929" s="395"/>
      <c r="I2929" s="135"/>
      <c r="J2929" s="105"/>
      <c r="K2929" s="135"/>
      <c r="L2929" s="105"/>
      <c r="M2929" s="135"/>
      <c r="N2929" s="105"/>
      <c r="O2929" s="135"/>
    </row>
    <row r="2930" spans="2:15" s="453" customFormat="1" ht="14" x14ac:dyDescent="0.2">
      <c r="B2930" s="291">
        <v>1</v>
      </c>
      <c r="C2930" s="602" t="s">
        <v>1332</v>
      </c>
      <c r="D2930" s="602"/>
      <c r="E2930" s="602"/>
      <c r="F2930" s="602"/>
      <c r="G2930" s="602"/>
      <c r="H2930" s="333"/>
      <c r="I2930" s="168" t="s">
        <v>211</v>
      </c>
      <c r="J2930" s="166" t="s">
        <v>211</v>
      </c>
      <c r="K2930" s="168" t="s">
        <v>211</v>
      </c>
      <c r="L2930" s="166" t="s">
        <v>211</v>
      </c>
      <c r="M2930" s="168" t="s">
        <v>211</v>
      </c>
      <c r="N2930" s="166" t="s">
        <v>211</v>
      </c>
      <c r="O2930" s="168" t="s">
        <v>211</v>
      </c>
    </row>
    <row r="2931" spans="2:15" s="453" customFormat="1" ht="14" x14ac:dyDescent="0.2">
      <c r="B2931" s="293"/>
      <c r="C2931" s="572"/>
      <c r="D2931" s="572"/>
      <c r="E2931" s="572"/>
      <c r="F2931" s="572"/>
      <c r="G2931" s="572"/>
      <c r="H2931" s="322"/>
      <c r="I2931" s="169"/>
      <c r="J2931" s="167"/>
      <c r="K2931" s="169"/>
      <c r="L2931" s="167"/>
      <c r="M2931" s="169"/>
      <c r="N2931" s="167"/>
      <c r="O2931" s="169"/>
    </row>
    <row r="2932" spans="2:15" s="453" customFormat="1" ht="14" x14ac:dyDescent="0.2">
      <c r="B2932" s="293"/>
      <c r="C2932" s="573" t="s">
        <v>961</v>
      </c>
      <c r="D2932" s="573"/>
      <c r="E2932" s="573"/>
      <c r="F2932" s="573"/>
      <c r="G2932" s="573"/>
      <c r="H2932" s="334"/>
      <c r="I2932" s="168" t="s">
        <v>211</v>
      </c>
      <c r="J2932" s="166" t="s">
        <v>211</v>
      </c>
      <c r="K2932" s="168" t="s">
        <v>211</v>
      </c>
      <c r="L2932" s="166" t="s">
        <v>211</v>
      </c>
      <c r="M2932" s="168" t="s">
        <v>211</v>
      </c>
      <c r="N2932" s="166" t="s">
        <v>211</v>
      </c>
      <c r="O2932" s="168" t="s">
        <v>211</v>
      </c>
    </row>
    <row r="2933" spans="2:15" s="453" customFormat="1" ht="14" x14ac:dyDescent="0.2">
      <c r="B2933" s="293"/>
      <c r="F2933" s="586" t="s">
        <v>727</v>
      </c>
      <c r="G2933" s="586"/>
      <c r="H2933" s="592"/>
      <c r="I2933" s="169"/>
      <c r="J2933" s="167"/>
      <c r="K2933" s="169"/>
      <c r="L2933" s="167"/>
      <c r="M2933" s="169"/>
      <c r="N2933" s="167"/>
      <c r="O2933" s="169"/>
    </row>
    <row r="2934" spans="2:15" s="453" customFormat="1" ht="14" x14ac:dyDescent="0.2">
      <c r="B2934" s="293"/>
      <c r="C2934" s="573" t="s">
        <v>919</v>
      </c>
      <c r="D2934" s="573"/>
      <c r="E2934" s="573"/>
      <c r="F2934" s="573"/>
      <c r="G2934" s="573"/>
      <c r="H2934" s="334"/>
      <c r="I2934" s="168" t="s">
        <v>211</v>
      </c>
      <c r="J2934" s="166" t="s">
        <v>211</v>
      </c>
      <c r="K2934" s="168" t="s">
        <v>211</v>
      </c>
      <c r="L2934" s="166" t="s">
        <v>211</v>
      </c>
      <c r="M2934" s="168" t="s">
        <v>211</v>
      </c>
      <c r="N2934" s="166" t="s">
        <v>211</v>
      </c>
      <c r="O2934" s="168" t="s">
        <v>211</v>
      </c>
    </row>
    <row r="2935" spans="2:15" s="453" customFormat="1" ht="14" x14ac:dyDescent="0.2">
      <c r="B2935" s="293"/>
      <c r="C2935" s="573" t="s">
        <v>856</v>
      </c>
      <c r="D2935" s="573"/>
      <c r="E2935" s="573"/>
      <c r="F2935" s="573"/>
      <c r="G2935" s="573"/>
      <c r="H2935" s="334"/>
      <c r="I2935" s="168" t="s">
        <v>211</v>
      </c>
      <c r="J2935" s="166" t="s">
        <v>211</v>
      </c>
      <c r="K2935" s="168" t="s">
        <v>211</v>
      </c>
      <c r="L2935" s="166" t="s">
        <v>211</v>
      </c>
      <c r="M2935" s="168" t="s">
        <v>211</v>
      </c>
      <c r="N2935" s="166" t="s">
        <v>211</v>
      </c>
      <c r="O2935" s="168" t="s">
        <v>211</v>
      </c>
    </row>
    <row r="2936" spans="2:15" s="453" customFormat="1" ht="14" x14ac:dyDescent="0.2">
      <c r="B2936" s="293"/>
      <c r="C2936" s="573" t="s">
        <v>729</v>
      </c>
      <c r="D2936" s="573"/>
      <c r="E2936" s="573"/>
      <c r="F2936" s="573"/>
      <c r="G2936" s="573"/>
      <c r="H2936" s="334"/>
      <c r="I2936" s="168" t="s">
        <v>211</v>
      </c>
      <c r="J2936" s="166" t="s">
        <v>211</v>
      </c>
      <c r="K2936" s="168" t="s">
        <v>211</v>
      </c>
      <c r="L2936" s="166" t="s">
        <v>211</v>
      </c>
      <c r="M2936" s="168" t="s">
        <v>211</v>
      </c>
      <c r="N2936" s="166" t="s">
        <v>211</v>
      </c>
      <c r="O2936" s="168" t="s">
        <v>211</v>
      </c>
    </row>
    <row r="2937" spans="2:15" s="453" customFormat="1" ht="14" x14ac:dyDescent="0.2">
      <c r="B2937" s="302"/>
      <c r="C2937" s="303"/>
      <c r="D2937" s="303"/>
      <c r="E2937" s="303"/>
      <c r="F2937" s="580" t="s">
        <v>920</v>
      </c>
      <c r="G2937" s="580"/>
      <c r="H2937" s="580"/>
      <c r="I2937" s="169"/>
      <c r="J2937" s="167"/>
      <c r="K2937" s="169"/>
      <c r="L2937" s="167"/>
      <c r="M2937" s="169"/>
      <c r="N2937" s="167"/>
      <c r="O2937" s="169"/>
    </row>
    <row r="2938" spans="2:15" s="453" customFormat="1" ht="14" x14ac:dyDescent="0.2">
      <c r="B2938" s="291">
        <v>2</v>
      </c>
      <c r="C2938" s="598" t="s">
        <v>730</v>
      </c>
      <c r="D2938" s="598"/>
      <c r="E2938" s="598"/>
      <c r="F2938" s="598"/>
      <c r="G2938" s="598"/>
      <c r="H2938" s="333"/>
      <c r="I2938" s="168" t="s">
        <v>211</v>
      </c>
      <c r="J2938" s="166" t="s">
        <v>211</v>
      </c>
      <c r="K2938" s="168" t="s">
        <v>211</v>
      </c>
      <c r="L2938" s="166" t="s">
        <v>211</v>
      </c>
      <c r="M2938" s="168" t="s">
        <v>211</v>
      </c>
      <c r="N2938" s="166" t="s">
        <v>211</v>
      </c>
      <c r="O2938" s="168" t="s">
        <v>211</v>
      </c>
    </row>
    <row r="2939" spans="2:15" s="453" customFormat="1" ht="14" x14ac:dyDescent="0.2">
      <c r="B2939" s="293"/>
      <c r="C2939" s="572" t="s">
        <v>1362</v>
      </c>
      <c r="D2939" s="572"/>
      <c r="E2939" s="572"/>
      <c r="F2939" s="572"/>
      <c r="G2939" s="572"/>
      <c r="H2939" s="334"/>
      <c r="I2939" s="168" t="s">
        <v>211</v>
      </c>
      <c r="J2939" s="166" t="s">
        <v>211</v>
      </c>
      <c r="K2939" s="168" t="s">
        <v>211</v>
      </c>
      <c r="L2939" s="166" t="s">
        <v>211</v>
      </c>
      <c r="M2939" s="168" t="s">
        <v>211</v>
      </c>
      <c r="N2939" s="166" t="s">
        <v>211</v>
      </c>
      <c r="O2939" s="168" t="s">
        <v>211</v>
      </c>
    </row>
    <row r="2940" spans="2:15" s="453" customFormat="1" ht="14" x14ac:dyDescent="0.2">
      <c r="B2940" s="293"/>
      <c r="C2940" s="572"/>
      <c r="D2940" s="572"/>
      <c r="E2940" s="572"/>
      <c r="F2940" s="572"/>
      <c r="G2940" s="572"/>
      <c r="H2940" s="322"/>
      <c r="I2940" s="169"/>
      <c r="J2940" s="167"/>
      <c r="K2940" s="169"/>
      <c r="L2940" s="167"/>
      <c r="M2940" s="169"/>
      <c r="N2940" s="167"/>
      <c r="O2940" s="169"/>
    </row>
    <row r="2941" spans="2:15" s="453" customFormat="1" ht="14" x14ac:dyDescent="0.2">
      <c r="B2941" s="293"/>
      <c r="C2941" s="572" t="s">
        <v>963</v>
      </c>
      <c r="D2941" s="572"/>
      <c r="E2941" s="572"/>
      <c r="F2941" s="572"/>
      <c r="G2941" s="572"/>
      <c r="H2941" s="334"/>
      <c r="I2941" s="168" t="s">
        <v>211</v>
      </c>
      <c r="J2941" s="166" t="s">
        <v>211</v>
      </c>
      <c r="K2941" s="168" t="s">
        <v>211</v>
      </c>
      <c r="L2941" s="166" t="s">
        <v>211</v>
      </c>
      <c r="M2941" s="168" t="s">
        <v>211</v>
      </c>
      <c r="N2941" s="166" t="s">
        <v>211</v>
      </c>
      <c r="O2941" s="168" t="s">
        <v>211</v>
      </c>
    </row>
    <row r="2942" spans="2:15" s="453" customFormat="1" ht="14" x14ac:dyDescent="0.2">
      <c r="B2942" s="293"/>
      <c r="C2942" s="572"/>
      <c r="D2942" s="572"/>
      <c r="E2942" s="572"/>
      <c r="F2942" s="572"/>
      <c r="G2942" s="572"/>
      <c r="H2942" s="322"/>
      <c r="I2942" s="169"/>
      <c r="J2942" s="167"/>
      <c r="K2942" s="169"/>
      <c r="L2942" s="167"/>
      <c r="M2942" s="169"/>
      <c r="N2942" s="167"/>
      <c r="O2942" s="169"/>
    </row>
    <row r="2943" spans="2:15" s="453" customFormat="1" ht="14" x14ac:dyDescent="0.2">
      <c r="B2943" s="293"/>
      <c r="C2943" s="595" t="s">
        <v>964</v>
      </c>
      <c r="D2943" s="595"/>
      <c r="E2943" s="595"/>
      <c r="F2943" s="595"/>
      <c r="G2943" s="595"/>
      <c r="H2943" s="334"/>
      <c r="I2943" s="168" t="s">
        <v>211</v>
      </c>
      <c r="J2943" s="166" t="s">
        <v>211</v>
      </c>
      <c r="K2943" s="168" t="s">
        <v>211</v>
      </c>
      <c r="L2943" s="166" t="s">
        <v>211</v>
      </c>
      <c r="M2943" s="168" t="s">
        <v>211</v>
      </c>
      <c r="N2943" s="166" t="s">
        <v>211</v>
      </c>
      <c r="O2943" s="168" t="s">
        <v>211</v>
      </c>
    </row>
    <row r="2944" spans="2:15" s="453" customFormat="1" ht="14" x14ac:dyDescent="0.2">
      <c r="B2944" s="293"/>
      <c r="C2944" s="595"/>
      <c r="D2944" s="595"/>
      <c r="E2944" s="595"/>
      <c r="F2944" s="595"/>
      <c r="G2944" s="595"/>
      <c r="H2944" s="322"/>
      <c r="I2944" s="169"/>
      <c r="J2944" s="167"/>
      <c r="K2944" s="169"/>
      <c r="L2944" s="167"/>
      <c r="M2944" s="169"/>
      <c r="N2944" s="167"/>
      <c r="O2944" s="169"/>
    </row>
    <row r="2945" spans="2:15" s="453" customFormat="1" ht="14" x14ac:dyDescent="0.2">
      <c r="B2945" s="293"/>
      <c r="D2945" s="770" t="s">
        <v>1363</v>
      </c>
      <c r="E2945" s="770"/>
      <c r="F2945" s="770"/>
      <c r="G2945" s="770"/>
      <c r="H2945" s="811"/>
      <c r="I2945" s="169"/>
      <c r="J2945" s="167"/>
      <c r="K2945" s="169"/>
      <c r="L2945" s="167"/>
      <c r="M2945" s="169"/>
      <c r="N2945" s="167"/>
      <c r="O2945" s="169"/>
    </row>
    <row r="2946" spans="2:15" s="453" customFormat="1" ht="14" x14ac:dyDescent="0.2">
      <c r="B2946" s="302"/>
      <c r="C2946" s="303"/>
      <c r="D2946" s="303"/>
      <c r="E2946" s="303"/>
      <c r="F2946" s="613" t="s">
        <v>966</v>
      </c>
      <c r="G2946" s="613"/>
      <c r="H2946" s="613"/>
      <c r="I2946" s="169"/>
      <c r="J2946" s="167"/>
      <c r="K2946" s="169"/>
      <c r="L2946" s="167"/>
      <c r="M2946" s="169"/>
      <c r="N2946" s="167"/>
      <c r="O2946" s="169"/>
    </row>
    <row r="2947" spans="2:15" s="453" customFormat="1" ht="14" x14ac:dyDescent="0.2">
      <c r="B2947" s="291">
        <v>3</v>
      </c>
      <c r="C2947" s="598" t="s">
        <v>1336</v>
      </c>
      <c r="D2947" s="598"/>
      <c r="E2947" s="598"/>
      <c r="F2947" s="598"/>
      <c r="G2947" s="598"/>
      <c r="H2947" s="333"/>
      <c r="I2947" s="168" t="s">
        <v>211</v>
      </c>
      <c r="J2947" s="166" t="s">
        <v>211</v>
      </c>
      <c r="K2947" s="168" t="s">
        <v>211</v>
      </c>
      <c r="L2947" s="166" t="s">
        <v>211</v>
      </c>
      <c r="M2947" s="168" t="s">
        <v>211</v>
      </c>
      <c r="N2947" s="166" t="s">
        <v>211</v>
      </c>
      <c r="O2947" s="168" t="s">
        <v>211</v>
      </c>
    </row>
    <row r="2948" spans="2:15" s="453" customFormat="1" ht="14" x14ac:dyDescent="0.2">
      <c r="B2948" s="293"/>
      <c r="C2948" s="573" t="s">
        <v>1337</v>
      </c>
      <c r="D2948" s="573"/>
      <c r="E2948" s="573"/>
      <c r="F2948" s="573"/>
      <c r="G2948" s="573"/>
      <c r="H2948" s="334"/>
      <c r="I2948" s="168" t="s">
        <v>211</v>
      </c>
      <c r="J2948" s="166" t="s">
        <v>211</v>
      </c>
      <c r="K2948" s="168" t="s">
        <v>211</v>
      </c>
      <c r="L2948" s="166" t="s">
        <v>211</v>
      </c>
      <c r="M2948" s="168" t="s">
        <v>211</v>
      </c>
      <c r="N2948" s="166" t="s">
        <v>211</v>
      </c>
      <c r="O2948" s="168" t="s">
        <v>211</v>
      </c>
    </row>
    <row r="2949" spans="2:15" s="453" customFormat="1" ht="14" x14ac:dyDescent="0.2">
      <c r="B2949" s="293"/>
      <c r="F2949" s="770" t="s">
        <v>861</v>
      </c>
      <c r="G2949" s="770"/>
      <c r="H2949" s="811"/>
      <c r="I2949" s="169"/>
      <c r="J2949" s="167"/>
      <c r="K2949" s="169"/>
      <c r="L2949" s="167"/>
      <c r="M2949" s="169"/>
      <c r="N2949" s="167"/>
      <c r="O2949" s="169"/>
    </row>
    <row r="2950" spans="2:15" s="453" customFormat="1" ht="14" x14ac:dyDescent="0.2">
      <c r="B2950" s="293"/>
      <c r="F2950" s="770" t="s">
        <v>862</v>
      </c>
      <c r="G2950" s="770"/>
      <c r="H2950" s="811"/>
      <c r="I2950" s="169"/>
      <c r="J2950" s="167"/>
      <c r="K2950" s="169"/>
      <c r="L2950" s="167"/>
      <c r="M2950" s="169"/>
      <c r="N2950" s="167"/>
      <c r="O2950" s="169"/>
    </row>
    <row r="2951" spans="2:15" s="453" customFormat="1" ht="14" x14ac:dyDescent="0.2">
      <c r="B2951" s="302"/>
      <c r="C2951" s="303"/>
      <c r="D2951" s="303"/>
      <c r="E2951" s="303"/>
      <c r="F2951" s="613" t="s">
        <v>968</v>
      </c>
      <c r="G2951" s="613"/>
      <c r="H2951" s="613"/>
      <c r="I2951" s="169"/>
      <c r="J2951" s="167"/>
      <c r="K2951" s="169"/>
      <c r="L2951" s="167"/>
      <c r="M2951" s="169"/>
      <c r="N2951" s="167"/>
      <c r="O2951" s="169"/>
    </row>
    <row r="2952" spans="2:15" s="453" customFormat="1" ht="14" x14ac:dyDescent="0.2">
      <c r="B2952" s="291">
        <v>4</v>
      </c>
      <c r="C2952" s="812" t="s">
        <v>969</v>
      </c>
      <c r="D2952" s="812"/>
      <c r="E2952" s="812"/>
      <c r="F2952" s="812"/>
      <c r="G2952" s="812"/>
      <c r="H2952" s="142"/>
      <c r="I2952" s="169"/>
      <c r="J2952" s="167"/>
      <c r="K2952" s="169"/>
      <c r="L2952" s="167"/>
      <c r="M2952" s="169"/>
      <c r="N2952" s="167"/>
      <c r="O2952" s="169"/>
    </row>
    <row r="2953" spans="2:15" s="453" customFormat="1" ht="14" x14ac:dyDescent="0.2">
      <c r="B2953" s="293"/>
      <c r="C2953" s="788" t="s">
        <v>970</v>
      </c>
      <c r="D2953" s="788"/>
      <c r="E2953" s="788"/>
      <c r="F2953" s="788"/>
      <c r="G2953" s="788"/>
      <c r="H2953" s="322"/>
      <c r="I2953" s="169"/>
      <c r="J2953" s="167"/>
      <c r="K2953" s="169"/>
      <c r="L2953" s="167"/>
      <c r="M2953" s="169"/>
      <c r="N2953" s="167"/>
      <c r="O2953" s="169"/>
    </row>
    <row r="2954" spans="2:15" s="453" customFormat="1" ht="14" x14ac:dyDescent="0.2">
      <c r="B2954" s="293"/>
      <c r="C2954" s="626" t="s">
        <v>971</v>
      </c>
      <c r="D2954" s="626"/>
      <c r="E2954" s="626"/>
      <c r="F2954" s="626"/>
      <c r="G2954" s="626"/>
      <c r="H2954" s="322"/>
      <c r="I2954" s="169"/>
      <c r="J2954" s="167"/>
      <c r="K2954" s="169"/>
      <c r="L2954" s="167"/>
      <c r="M2954" s="169"/>
      <c r="N2954" s="167"/>
      <c r="O2954" s="169"/>
    </row>
    <row r="2955" spans="2:15" s="453" customFormat="1" ht="14" x14ac:dyDescent="0.2">
      <c r="B2955" s="293"/>
      <c r="C2955" s="626" t="s">
        <v>972</v>
      </c>
      <c r="D2955" s="626"/>
      <c r="E2955" s="365"/>
      <c r="F2955" s="626" t="s">
        <v>973</v>
      </c>
      <c r="G2955" s="626"/>
      <c r="H2955" s="322"/>
      <c r="I2955" s="169"/>
      <c r="J2955" s="167"/>
      <c r="K2955" s="169"/>
      <c r="L2955" s="167"/>
      <c r="M2955" s="169"/>
      <c r="N2955" s="167"/>
      <c r="O2955" s="169"/>
    </row>
    <row r="2956" spans="2:15" s="453" customFormat="1" ht="14" x14ac:dyDescent="0.2">
      <c r="B2956" s="293"/>
      <c r="C2956" s="626" t="s">
        <v>974</v>
      </c>
      <c r="D2956" s="626"/>
      <c r="E2956" s="365"/>
      <c r="F2956" s="626" t="s">
        <v>975</v>
      </c>
      <c r="G2956" s="626"/>
      <c r="H2956" s="322"/>
      <c r="I2956" s="169"/>
      <c r="J2956" s="167"/>
      <c r="K2956" s="169"/>
      <c r="L2956" s="167"/>
      <c r="M2956" s="169"/>
      <c r="N2956" s="167"/>
      <c r="O2956" s="169"/>
    </row>
    <row r="2957" spans="2:15" s="453" customFormat="1" ht="14" x14ac:dyDescent="0.2">
      <c r="B2957" s="293"/>
      <c r="C2957" s="626" t="s">
        <v>976</v>
      </c>
      <c r="D2957" s="626"/>
      <c r="E2957" s="365"/>
      <c r="F2957" s="626" t="s">
        <v>979</v>
      </c>
      <c r="G2957" s="626"/>
      <c r="H2957" s="322"/>
      <c r="I2957" s="169"/>
      <c r="J2957" s="167"/>
      <c r="K2957" s="169"/>
      <c r="L2957" s="167"/>
      <c r="M2957" s="169"/>
      <c r="N2957" s="167"/>
      <c r="O2957" s="169"/>
    </row>
    <row r="2958" spans="2:15" s="453" customFormat="1" ht="14" x14ac:dyDescent="0.2">
      <c r="B2958" s="293"/>
      <c r="C2958" s="626" t="s">
        <v>977</v>
      </c>
      <c r="D2958" s="626"/>
      <c r="E2958" s="365"/>
      <c r="F2958" s="626" t="s">
        <v>980</v>
      </c>
      <c r="G2958" s="626"/>
      <c r="H2958" s="322"/>
      <c r="I2958" s="169"/>
      <c r="J2958" s="167"/>
      <c r="K2958" s="169"/>
      <c r="L2958" s="167"/>
      <c r="M2958" s="169"/>
      <c r="N2958" s="167"/>
      <c r="O2958" s="169"/>
    </row>
    <row r="2959" spans="2:15" s="453" customFormat="1" ht="14" x14ac:dyDescent="0.2">
      <c r="B2959" s="293"/>
      <c r="C2959" s="626" t="s">
        <v>978</v>
      </c>
      <c r="D2959" s="626"/>
      <c r="E2959" s="365"/>
      <c r="F2959" s="626" t="s">
        <v>981</v>
      </c>
      <c r="G2959" s="626"/>
      <c r="H2959" s="322"/>
      <c r="I2959" s="169"/>
      <c r="J2959" s="167"/>
      <c r="K2959" s="169"/>
      <c r="L2959" s="167"/>
      <c r="M2959" s="169"/>
      <c r="N2959" s="167"/>
      <c r="O2959" s="169"/>
    </row>
    <row r="2960" spans="2:15" s="453" customFormat="1" ht="14" x14ac:dyDescent="0.2">
      <c r="B2960" s="293"/>
      <c r="C2960" s="625" t="s">
        <v>982</v>
      </c>
      <c r="D2960" s="625"/>
      <c r="F2960" s="813" t="s">
        <v>983</v>
      </c>
      <c r="G2960" s="813"/>
      <c r="H2960" s="322"/>
      <c r="I2960" s="169"/>
      <c r="J2960" s="167"/>
      <c r="K2960" s="169"/>
      <c r="L2960" s="167"/>
      <c r="M2960" s="169"/>
      <c r="N2960" s="167"/>
      <c r="O2960" s="169"/>
    </row>
    <row r="2961" spans="2:15" s="453" customFormat="1" ht="14" x14ac:dyDescent="0.2">
      <c r="B2961" s="293"/>
      <c r="C2961" s="626" t="s">
        <v>984</v>
      </c>
      <c r="D2961" s="626"/>
      <c r="E2961" s="626"/>
      <c r="F2961" s="626"/>
      <c r="G2961" s="626"/>
      <c r="H2961" s="322"/>
      <c r="I2961" s="169"/>
      <c r="J2961" s="167"/>
      <c r="K2961" s="169"/>
      <c r="L2961" s="167"/>
      <c r="M2961" s="169"/>
      <c r="N2961" s="167"/>
      <c r="O2961" s="169"/>
    </row>
    <row r="2962" spans="2:15" s="453" customFormat="1" ht="14" x14ac:dyDescent="0.2">
      <c r="B2962" s="302"/>
      <c r="C2962" s="580" t="s">
        <v>985</v>
      </c>
      <c r="D2962" s="580"/>
      <c r="E2962" s="580"/>
      <c r="F2962" s="580"/>
      <c r="G2962" s="580"/>
      <c r="H2962" s="303"/>
      <c r="I2962" s="169"/>
      <c r="J2962" s="167"/>
      <c r="K2962" s="169"/>
      <c r="L2962" s="167"/>
      <c r="M2962" s="169"/>
      <c r="N2962" s="167"/>
      <c r="O2962" s="169"/>
    </row>
    <row r="2963" spans="2:15" s="453" customFormat="1" ht="14" x14ac:dyDescent="0.2">
      <c r="B2963" s="291">
        <v>5</v>
      </c>
      <c r="C2963" s="598" t="s">
        <v>1364</v>
      </c>
      <c r="D2963" s="598"/>
      <c r="E2963" s="598"/>
      <c r="F2963" s="598"/>
      <c r="G2963" s="598"/>
      <c r="H2963" s="333"/>
      <c r="I2963" s="168" t="s">
        <v>211</v>
      </c>
      <c r="J2963" s="166" t="s">
        <v>211</v>
      </c>
      <c r="K2963" s="168" t="s">
        <v>211</v>
      </c>
      <c r="L2963" s="166" t="s">
        <v>211</v>
      </c>
      <c r="M2963" s="168" t="s">
        <v>211</v>
      </c>
      <c r="N2963" s="166" t="s">
        <v>211</v>
      </c>
      <c r="O2963" s="168" t="s">
        <v>211</v>
      </c>
    </row>
    <row r="2964" spans="2:15" s="453" customFormat="1" ht="14" x14ac:dyDescent="0.2">
      <c r="B2964" s="293"/>
      <c r="F2964" s="604" t="s">
        <v>1365</v>
      </c>
      <c r="G2964" s="604"/>
      <c r="H2964" s="605"/>
      <c r="I2964" s="169"/>
      <c r="J2964" s="167"/>
      <c r="K2964" s="169"/>
      <c r="L2964" s="167"/>
      <c r="M2964" s="169"/>
      <c r="N2964" s="167"/>
      <c r="O2964" s="169"/>
    </row>
    <row r="2965" spans="2:15" s="453" customFormat="1" ht="14" x14ac:dyDescent="0.2">
      <c r="B2965" s="293"/>
      <c r="C2965" s="595" t="s">
        <v>1366</v>
      </c>
      <c r="D2965" s="595"/>
      <c r="E2965" s="595"/>
      <c r="F2965" s="595"/>
      <c r="G2965" s="595"/>
      <c r="H2965" s="334"/>
      <c r="I2965" s="168" t="s">
        <v>211</v>
      </c>
      <c r="J2965" s="166" t="s">
        <v>211</v>
      </c>
      <c r="K2965" s="168" t="s">
        <v>211</v>
      </c>
      <c r="L2965" s="166" t="s">
        <v>211</v>
      </c>
      <c r="M2965" s="168" t="s">
        <v>211</v>
      </c>
      <c r="N2965" s="166" t="s">
        <v>211</v>
      </c>
      <c r="O2965" s="168" t="s">
        <v>211</v>
      </c>
    </row>
    <row r="2966" spans="2:15" s="453" customFormat="1" ht="14" x14ac:dyDescent="0.2">
      <c r="B2966" s="293"/>
      <c r="C2966" s="595"/>
      <c r="D2966" s="595"/>
      <c r="E2966" s="595"/>
      <c r="F2966" s="595"/>
      <c r="G2966" s="595"/>
      <c r="H2966" s="322"/>
      <c r="I2966" s="169"/>
      <c r="J2966" s="167"/>
      <c r="K2966" s="169"/>
      <c r="L2966" s="167"/>
      <c r="M2966" s="169"/>
      <c r="N2966" s="167"/>
      <c r="O2966" s="169"/>
    </row>
    <row r="2967" spans="2:15" s="453" customFormat="1" ht="14" x14ac:dyDescent="0.2">
      <c r="B2967" s="293"/>
      <c r="C2967" s="595"/>
      <c r="D2967" s="595"/>
      <c r="E2967" s="595"/>
      <c r="F2967" s="595"/>
      <c r="G2967" s="595"/>
      <c r="H2967" s="322"/>
      <c r="I2967" s="169"/>
      <c r="J2967" s="167"/>
      <c r="K2967" s="169"/>
      <c r="L2967" s="167"/>
      <c r="M2967" s="169"/>
      <c r="N2967" s="167"/>
      <c r="O2967" s="169"/>
    </row>
    <row r="2968" spans="2:15" s="453" customFormat="1" ht="14" x14ac:dyDescent="0.2">
      <c r="B2968" s="293"/>
      <c r="C2968" s="573" t="s">
        <v>845</v>
      </c>
      <c r="D2968" s="573"/>
      <c r="E2968" s="573"/>
      <c r="F2968" s="573"/>
      <c r="G2968" s="573"/>
      <c r="H2968" s="334"/>
      <c r="I2968" s="168" t="s">
        <v>211</v>
      </c>
      <c r="J2968" s="166" t="s">
        <v>211</v>
      </c>
      <c r="K2968" s="168" t="s">
        <v>211</v>
      </c>
      <c r="L2968" s="166" t="s">
        <v>211</v>
      </c>
      <c r="M2968" s="168" t="s">
        <v>211</v>
      </c>
      <c r="N2968" s="166" t="s">
        <v>211</v>
      </c>
      <c r="O2968" s="168" t="s">
        <v>211</v>
      </c>
    </row>
    <row r="2969" spans="2:15" s="453" customFormat="1" ht="14" x14ac:dyDescent="0.2">
      <c r="B2969" s="293"/>
      <c r="F2969" s="586" t="s">
        <v>988</v>
      </c>
      <c r="G2969" s="586"/>
      <c r="H2969" s="592"/>
      <c r="I2969" s="169"/>
      <c r="J2969" s="167"/>
      <c r="K2969" s="169"/>
      <c r="L2969" s="167"/>
      <c r="M2969" s="169"/>
      <c r="N2969" s="167"/>
      <c r="O2969" s="169"/>
    </row>
    <row r="2970" spans="2:15" s="453" customFormat="1" ht="14" x14ac:dyDescent="0.2">
      <c r="B2970" s="293"/>
      <c r="F2970" s="586" t="s">
        <v>989</v>
      </c>
      <c r="G2970" s="586"/>
      <c r="H2970" s="592"/>
      <c r="I2970" s="169"/>
      <c r="J2970" s="167"/>
      <c r="K2970" s="169"/>
      <c r="L2970" s="167"/>
      <c r="M2970" s="169"/>
      <c r="N2970" s="167"/>
      <c r="O2970" s="169"/>
    </row>
    <row r="2971" spans="2:15" s="453" customFormat="1" ht="14" x14ac:dyDescent="0.2">
      <c r="B2971" s="293"/>
      <c r="F2971" s="788" t="s">
        <v>990</v>
      </c>
      <c r="G2971" s="788"/>
      <c r="H2971" s="789"/>
      <c r="I2971" s="169"/>
      <c r="J2971" s="167"/>
      <c r="K2971" s="169"/>
      <c r="L2971" s="167"/>
      <c r="M2971" s="169"/>
      <c r="N2971" s="167"/>
      <c r="O2971" s="169"/>
    </row>
    <row r="2972" spans="2:15" s="453" customFormat="1" ht="14" x14ac:dyDescent="0.2">
      <c r="B2972" s="293"/>
      <c r="F2972" s="792" t="s">
        <v>991</v>
      </c>
      <c r="G2972" s="792"/>
      <c r="H2972" s="793"/>
      <c r="I2972" s="169"/>
      <c r="J2972" s="167"/>
      <c r="K2972" s="169"/>
      <c r="L2972" s="167"/>
      <c r="M2972" s="169"/>
      <c r="N2972" s="167"/>
      <c r="O2972" s="169"/>
    </row>
    <row r="2973" spans="2:15" s="453" customFormat="1" ht="14" x14ac:dyDescent="0.2">
      <c r="B2973" s="302"/>
      <c r="C2973" s="303"/>
      <c r="D2973" s="303"/>
      <c r="E2973" s="303"/>
      <c r="F2973" s="603" t="s">
        <v>992</v>
      </c>
      <c r="G2973" s="603"/>
      <c r="H2973" s="603"/>
      <c r="I2973" s="169"/>
      <c r="J2973" s="167"/>
      <c r="K2973" s="169"/>
      <c r="L2973" s="167"/>
      <c r="M2973" s="169"/>
      <c r="N2973" s="167"/>
      <c r="O2973" s="169"/>
    </row>
    <row r="2974" spans="2:15" s="453" customFormat="1" ht="14" x14ac:dyDescent="0.2">
      <c r="B2974" s="291">
        <v>6</v>
      </c>
      <c r="C2974" s="614" t="s">
        <v>749</v>
      </c>
      <c r="D2974" s="614"/>
      <c r="E2974" s="614"/>
      <c r="F2974" s="614"/>
      <c r="G2974" s="614"/>
      <c r="H2974" s="333"/>
      <c r="I2974" s="168" t="s">
        <v>211</v>
      </c>
      <c r="J2974" s="166" t="s">
        <v>211</v>
      </c>
      <c r="K2974" s="168" t="s">
        <v>211</v>
      </c>
      <c r="L2974" s="166" t="s">
        <v>211</v>
      </c>
      <c r="M2974" s="168" t="s">
        <v>211</v>
      </c>
      <c r="N2974" s="166" t="s">
        <v>211</v>
      </c>
      <c r="O2974" s="168" t="s">
        <v>211</v>
      </c>
    </row>
    <row r="2975" spans="2:15" s="453" customFormat="1" ht="14" x14ac:dyDescent="0.2">
      <c r="B2975" s="293"/>
      <c r="C2975" s="572" t="s">
        <v>993</v>
      </c>
      <c r="D2975" s="572"/>
      <c r="E2975" s="572"/>
      <c r="F2975" s="572"/>
      <c r="G2975" s="572"/>
      <c r="H2975" s="334"/>
      <c r="I2975" s="168" t="s">
        <v>211</v>
      </c>
      <c r="J2975" s="166" t="s">
        <v>211</v>
      </c>
      <c r="K2975" s="168" t="s">
        <v>211</v>
      </c>
      <c r="L2975" s="166" t="s">
        <v>211</v>
      </c>
      <c r="M2975" s="168" t="s">
        <v>211</v>
      </c>
      <c r="N2975" s="166" t="s">
        <v>211</v>
      </c>
      <c r="O2975" s="168" t="s">
        <v>211</v>
      </c>
    </row>
    <row r="2976" spans="2:15" s="453" customFormat="1" ht="14" x14ac:dyDescent="0.2">
      <c r="B2976" s="293"/>
      <c r="C2976" s="572"/>
      <c r="D2976" s="572"/>
      <c r="E2976" s="572"/>
      <c r="F2976" s="572"/>
      <c r="G2976" s="572"/>
      <c r="H2976" s="322"/>
      <c r="I2976" s="169"/>
      <c r="J2976" s="167"/>
      <c r="K2976" s="169"/>
      <c r="L2976" s="167"/>
      <c r="M2976" s="169"/>
      <c r="N2976" s="167"/>
      <c r="O2976" s="169"/>
    </row>
    <row r="2977" spans="2:15" s="453" customFormat="1" ht="14" x14ac:dyDescent="0.2">
      <c r="B2977" s="293"/>
      <c r="C2977" s="572" t="s">
        <v>994</v>
      </c>
      <c r="D2977" s="572"/>
      <c r="E2977" s="572"/>
      <c r="F2977" s="572"/>
      <c r="G2977" s="572"/>
      <c r="H2977" s="334"/>
      <c r="I2977" s="168" t="s">
        <v>211</v>
      </c>
      <c r="J2977" s="166" t="s">
        <v>211</v>
      </c>
      <c r="K2977" s="168" t="s">
        <v>211</v>
      </c>
      <c r="L2977" s="166" t="s">
        <v>211</v>
      </c>
      <c r="M2977" s="168" t="s">
        <v>211</v>
      </c>
      <c r="N2977" s="166" t="s">
        <v>211</v>
      </c>
      <c r="O2977" s="168" t="s">
        <v>211</v>
      </c>
    </row>
    <row r="2978" spans="2:15" s="453" customFormat="1" ht="14" x14ac:dyDescent="0.2">
      <c r="B2978" s="293"/>
      <c r="C2978" s="572"/>
      <c r="D2978" s="572"/>
      <c r="E2978" s="572"/>
      <c r="F2978" s="572"/>
      <c r="G2978" s="572"/>
      <c r="H2978" s="322"/>
      <c r="I2978" s="169"/>
      <c r="J2978" s="167"/>
      <c r="K2978" s="169"/>
      <c r="L2978" s="167"/>
      <c r="M2978" s="169"/>
      <c r="N2978" s="167"/>
      <c r="O2978" s="169"/>
    </row>
    <row r="2979" spans="2:15" s="453" customFormat="1" ht="14" x14ac:dyDescent="0.2">
      <c r="B2979" s="293"/>
      <c r="C2979" s="573" t="s">
        <v>995</v>
      </c>
      <c r="D2979" s="573"/>
      <c r="E2979" s="573"/>
      <c r="F2979" s="573"/>
      <c r="G2979" s="573"/>
      <c r="H2979" s="334"/>
      <c r="I2979" s="168" t="s">
        <v>211</v>
      </c>
      <c r="J2979" s="166" t="s">
        <v>211</v>
      </c>
      <c r="K2979" s="168" t="s">
        <v>211</v>
      </c>
      <c r="L2979" s="166" t="s">
        <v>211</v>
      </c>
      <c r="M2979" s="168" t="s">
        <v>211</v>
      </c>
      <c r="N2979" s="166" t="s">
        <v>211</v>
      </c>
      <c r="O2979" s="168" t="s">
        <v>211</v>
      </c>
    </row>
    <row r="2980" spans="2:15" s="453" customFormat="1" ht="14" x14ac:dyDescent="0.2">
      <c r="B2980" s="293"/>
      <c r="F2980" s="788" t="s">
        <v>996</v>
      </c>
      <c r="G2980" s="788"/>
      <c r="H2980" s="789"/>
      <c r="I2980" s="169"/>
      <c r="J2980" s="167"/>
      <c r="K2980" s="169"/>
      <c r="L2980" s="167"/>
      <c r="M2980" s="169"/>
      <c r="N2980" s="167"/>
      <c r="O2980" s="169"/>
    </row>
    <row r="2981" spans="2:15" s="453" customFormat="1" ht="14" x14ac:dyDescent="0.2">
      <c r="B2981" s="293"/>
      <c r="F2981" s="372" t="s">
        <v>1046</v>
      </c>
      <c r="G2981" s="373" t="s">
        <v>1047</v>
      </c>
      <c r="H2981" s="374"/>
      <c r="I2981" s="169"/>
      <c r="J2981" s="167"/>
      <c r="K2981" s="169"/>
      <c r="L2981" s="167"/>
      <c r="M2981" s="169"/>
      <c r="N2981" s="167"/>
      <c r="O2981" s="169"/>
    </row>
    <row r="2982" spans="2:15" s="453" customFormat="1" ht="14" x14ac:dyDescent="0.2">
      <c r="B2982" s="293"/>
      <c r="F2982" s="604" t="s">
        <v>997</v>
      </c>
      <c r="G2982" s="604"/>
      <c r="H2982" s="605"/>
      <c r="I2982" s="169"/>
      <c r="J2982" s="167"/>
      <c r="K2982" s="169"/>
      <c r="L2982" s="167"/>
      <c r="M2982" s="169"/>
      <c r="N2982" s="167"/>
      <c r="O2982" s="169"/>
    </row>
    <row r="2983" spans="2:15" s="453" customFormat="1" ht="14" x14ac:dyDescent="0.2">
      <c r="B2983" s="302"/>
      <c r="C2983" s="303"/>
      <c r="D2983" s="303"/>
      <c r="E2983" s="303"/>
      <c r="F2983" s="580" t="s">
        <v>998</v>
      </c>
      <c r="G2983" s="580"/>
      <c r="H2983" s="580"/>
      <c r="I2983" s="169"/>
      <c r="J2983" s="167"/>
      <c r="K2983" s="169"/>
      <c r="L2983" s="167"/>
      <c r="M2983" s="169"/>
      <c r="N2983" s="167"/>
      <c r="O2983" s="169"/>
    </row>
    <row r="2984" spans="2:15" s="453" customFormat="1" ht="14" x14ac:dyDescent="0.2">
      <c r="B2984" s="291">
        <v>7</v>
      </c>
      <c r="C2984" s="602" t="s">
        <v>999</v>
      </c>
      <c r="D2984" s="602"/>
      <c r="E2984" s="602"/>
      <c r="F2984" s="602"/>
      <c r="G2984" s="602"/>
      <c r="H2984" s="333"/>
      <c r="I2984" s="168" t="s">
        <v>211</v>
      </c>
      <c r="J2984" s="166" t="s">
        <v>211</v>
      </c>
      <c r="K2984" s="168" t="s">
        <v>211</v>
      </c>
      <c r="L2984" s="166" t="s">
        <v>211</v>
      </c>
      <c r="M2984" s="168" t="s">
        <v>211</v>
      </c>
      <c r="N2984" s="166" t="s">
        <v>211</v>
      </c>
      <c r="O2984" s="168" t="s">
        <v>211</v>
      </c>
    </row>
    <row r="2985" spans="2:15" s="453" customFormat="1" ht="14" x14ac:dyDescent="0.2">
      <c r="B2985" s="293"/>
      <c r="C2985" s="572"/>
      <c r="D2985" s="572"/>
      <c r="E2985" s="572"/>
      <c r="F2985" s="572"/>
      <c r="G2985" s="572"/>
      <c r="H2985" s="322"/>
      <c r="I2985" s="169"/>
      <c r="J2985" s="167"/>
      <c r="K2985" s="169"/>
      <c r="L2985" s="167"/>
      <c r="M2985" s="169"/>
      <c r="N2985" s="167"/>
      <c r="O2985" s="169"/>
    </row>
    <row r="2986" spans="2:15" s="453" customFormat="1" ht="14" x14ac:dyDescent="0.2">
      <c r="B2986" s="293"/>
      <c r="C2986" s="573" t="s">
        <v>873</v>
      </c>
      <c r="D2986" s="573"/>
      <c r="E2986" s="573"/>
      <c r="F2986" s="573"/>
      <c r="G2986" s="573"/>
      <c r="H2986" s="334"/>
      <c r="I2986" s="168" t="s">
        <v>211</v>
      </c>
      <c r="J2986" s="166" t="s">
        <v>211</v>
      </c>
      <c r="K2986" s="168" t="s">
        <v>211</v>
      </c>
      <c r="L2986" s="166" t="s">
        <v>211</v>
      </c>
      <c r="M2986" s="168" t="s">
        <v>211</v>
      </c>
      <c r="N2986" s="166" t="s">
        <v>211</v>
      </c>
      <c r="O2986" s="168" t="s">
        <v>211</v>
      </c>
    </row>
    <row r="2987" spans="2:15" s="453" customFormat="1" ht="14" x14ac:dyDescent="0.2">
      <c r="B2987" s="293"/>
      <c r="C2987" s="573" t="s">
        <v>874</v>
      </c>
      <c r="D2987" s="573"/>
      <c r="E2987" s="573"/>
      <c r="F2987" s="573"/>
      <c r="G2987" s="573"/>
      <c r="H2987" s="334"/>
      <c r="I2987" s="168" t="s">
        <v>211</v>
      </c>
      <c r="J2987" s="166" t="s">
        <v>211</v>
      </c>
      <c r="K2987" s="168" t="s">
        <v>211</v>
      </c>
      <c r="L2987" s="166" t="s">
        <v>211</v>
      </c>
      <c r="M2987" s="168" t="s">
        <v>211</v>
      </c>
      <c r="N2987" s="166" t="s">
        <v>211</v>
      </c>
      <c r="O2987" s="168" t="s">
        <v>211</v>
      </c>
    </row>
    <row r="2988" spans="2:15" s="453" customFormat="1" ht="14" x14ac:dyDescent="0.2">
      <c r="B2988" s="293"/>
      <c r="C2988" s="572" t="s">
        <v>875</v>
      </c>
      <c r="D2988" s="572"/>
      <c r="E2988" s="572"/>
      <c r="F2988" s="572"/>
      <c r="G2988" s="572"/>
      <c r="H2988" s="334"/>
      <c r="I2988" s="168" t="s">
        <v>211</v>
      </c>
      <c r="J2988" s="166" t="s">
        <v>211</v>
      </c>
      <c r="K2988" s="168" t="s">
        <v>211</v>
      </c>
      <c r="L2988" s="166" t="s">
        <v>211</v>
      </c>
      <c r="M2988" s="168" t="s">
        <v>211</v>
      </c>
      <c r="N2988" s="166" t="s">
        <v>211</v>
      </c>
      <c r="O2988" s="168" t="s">
        <v>211</v>
      </c>
    </row>
    <row r="2989" spans="2:15" s="453" customFormat="1" ht="14" x14ac:dyDescent="0.2">
      <c r="B2989" s="293"/>
      <c r="C2989" s="572"/>
      <c r="D2989" s="572"/>
      <c r="E2989" s="572"/>
      <c r="F2989" s="572"/>
      <c r="G2989" s="572"/>
      <c r="H2989" s="322"/>
      <c r="I2989" s="169"/>
      <c r="J2989" s="167"/>
      <c r="K2989" s="169"/>
      <c r="L2989" s="167"/>
      <c r="M2989" s="169"/>
      <c r="N2989" s="167"/>
      <c r="O2989" s="169"/>
    </row>
    <row r="2990" spans="2:15" s="453" customFormat="1" ht="14" x14ac:dyDescent="0.2">
      <c r="B2990" s="293"/>
      <c r="C2990" s="573" t="s">
        <v>473</v>
      </c>
      <c r="D2990" s="573"/>
      <c r="E2990" s="573"/>
      <c r="F2990" s="573"/>
      <c r="G2990" s="573"/>
      <c r="H2990" s="334"/>
      <c r="I2990" s="168" t="s">
        <v>211</v>
      </c>
      <c r="J2990" s="166" t="s">
        <v>211</v>
      </c>
      <c r="K2990" s="168" t="s">
        <v>211</v>
      </c>
      <c r="L2990" s="166" t="s">
        <v>211</v>
      </c>
      <c r="M2990" s="168" t="s">
        <v>211</v>
      </c>
      <c r="N2990" s="166" t="s">
        <v>211</v>
      </c>
      <c r="O2990" s="168" t="s">
        <v>211</v>
      </c>
    </row>
    <row r="2991" spans="2:15" s="453" customFormat="1" ht="14" x14ac:dyDescent="0.2">
      <c r="B2991" s="293"/>
      <c r="F2991" s="586" t="s">
        <v>642</v>
      </c>
      <c r="G2991" s="586"/>
      <c r="H2991" s="592"/>
      <c r="I2991" s="169"/>
      <c r="J2991" s="167"/>
      <c r="K2991" s="169"/>
      <c r="L2991" s="167"/>
      <c r="M2991" s="169"/>
      <c r="N2991" s="167"/>
      <c r="O2991" s="169"/>
    </row>
    <row r="2992" spans="2:15" s="453" customFormat="1" ht="14" x14ac:dyDescent="0.2">
      <c r="B2992" s="293"/>
      <c r="F2992" s="604" t="s">
        <v>866</v>
      </c>
      <c r="G2992" s="604"/>
      <c r="H2992" s="605"/>
      <c r="I2992" s="169"/>
      <c r="J2992" s="167"/>
      <c r="K2992" s="169"/>
      <c r="L2992" s="167"/>
      <c r="M2992" s="169"/>
      <c r="N2992" s="167"/>
      <c r="O2992" s="169"/>
    </row>
    <row r="2993" spans="2:15" s="453" customFormat="1" ht="14" x14ac:dyDescent="0.2">
      <c r="B2993" s="302"/>
      <c r="C2993" s="303"/>
      <c r="D2993" s="303"/>
      <c r="E2993" s="303"/>
      <c r="F2993" s="599" t="s">
        <v>474</v>
      </c>
      <c r="G2993" s="599"/>
      <c r="H2993" s="599"/>
      <c r="I2993" s="169"/>
      <c r="J2993" s="167"/>
      <c r="K2993" s="169"/>
      <c r="L2993" s="167"/>
      <c r="M2993" s="169"/>
      <c r="N2993" s="167"/>
      <c r="O2993" s="169"/>
    </row>
    <row r="2994" spans="2:15" s="453" customFormat="1" ht="14" x14ac:dyDescent="0.2">
      <c r="B2994" s="291">
        <v>8</v>
      </c>
      <c r="C2994" s="602" t="s">
        <v>1339</v>
      </c>
      <c r="D2994" s="602"/>
      <c r="E2994" s="602"/>
      <c r="F2994" s="602"/>
      <c r="G2994" s="602"/>
      <c r="H2994" s="333"/>
      <c r="I2994" s="168" t="s">
        <v>211</v>
      </c>
      <c r="J2994" s="166" t="s">
        <v>211</v>
      </c>
      <c r="K2994" s="168" t="s">
        <v>211</v>
      </c>
      <c r="L2994" s="166" t="s">
        <v>211</v>
      </c>
      <c r="M2994" s="168" t="s">
        <v>211</v>
      </c>
      <c r="N2994" s="166" t="s">
        <v>211</v>
      </c>
      <c r="O2994" s="168" t="s">
        <v>211</v>
      </c>
    </row>
    <row r="2995" spans="2:15" s="453" customFormat="1" ht="14" x14ac:dyDescent="0.2">
      <c r="B2995" s="293"/>
      <c r="C2995" s="572" t="s">
        <v>934</v>
      </c>
      <c r="D2995" s="572"/>
      <c r="E2995" s="572"/>
      <c r="F2995" s="572"/>
      <c r="G2995" s="572"/>
      <c r="H2995" s="334"/>
      <c r="I2995" s="168" t="s">
        <v>211</v>
      </c>
      <c r="J2995" s="166" t="s">
        <v>211</v>
      </c>
      <c r="K2995" s="168" t="s">
        <v>211</v>
      </c>
      <c r="L2995" s="166" t="s">
        <v>211</v>
      </c>
      <c r="M2995" s="168" t="s">
        <v>211</v>
      </c>
      <c r="N2995" s="166" t="s">
        <v>211</v>
      </c>
      <c r="O2995" s="168" t="s">
        <v>211</v>
      </c>
    </row>
    <row r="2996" spans="2:15" s="453" customFormat="1" ht="14" x14ac:dyDescent="0.2">
      <c r="B2996" s="293"/>
      <c r="C2996" s="572"/>
      <c r="D2996" s="572"/>
      <c r="E2996" s="572"/>
      <c r="F2996" s="572"/>
      <c r="G2996" s="572"/>
      <c r="H2996" s="322"/>
      <c r="I2996" s="169"/>
      <c r="J2996" s="167"/>
      <c r="K2996" s="169"/>
      <c r="L2996" s="167"/>
      <c r="M2996" s="169"/>
      <c r="N2996" s="167"/>
      <c r="O2996" s="169"/>
    </row>
    <row r="2997" spans="2:15" s="453" customFormat="1" ht="14" x14ac:dyDescent="0.2">
      <c r="B2997" s="293"/>
      <c r="C2997" s="572" t="s">
        <v>1001</v>
      </c>
      <c r="D2997" s="572"/>
      <c r="E2997" s="572"/>
      <c r="F2997" s="572"/>
      <c r="G2997" s="572"/>
      <c r="H2997" s="334"/>
      <c r="I2997" s="168" t="s">
        <v>211</v>
      </c>
      <c r="J2997" s="166" t="s">
        <v>211</v>
      </c>
      <c r="K2997" s="168" t="s">
        <v>211</v>
      </c>
      <c r="L2997" s="166" t="s">
        <v>211</v>
      </c>
      <c r="M2997" s="168" t="s">
        <v>211</v>
      </c>
      <c r="N2997" s="166" t="s">
        <v>211</v>
      </c>
      <c r="O2997" s="168" t="s">
        <v>211</v>
      </c>
    </row>
    <row r="2998" spans="2:15" s="453" customFormat="1" ht="14" x14ac:dyDescent="0.2">
      <c r="B2998" s="293"/>
      <c r="C2998" s="572"/>
      <c r="D2998" s="572"/>
      <c r="E2998" s="572"/>
      <c r="F2998" s="572"/>
      <c r="G2998" s="572"/>
      <c r="H2998" s="322"/>
      <c r="I2998" s="169"/>
      <c r="J2998" s="167"/>
      <c r="K2998" s="169"/>
      <c r="L2998" s="167"/>
      <c r="M2998" s="169"/>
      <c r="N2998" s="167"/>
      <c r="O2998" s="169"/>
    </row>
    <row r="2999" spans="2:15" s="453" customFormat="1" ht="14" x14ac:dyDescent="0.2">
      <c r="B2999" s="293"/>
      <c r="C2999" s="573" t="s">
        <v>760</v>
      </c>
      <c r="D2999" s="573"/>
      <c r="E2999" s="573"/>
      <c r="F2999" s="573"/>
      <c r="G2999" s="573"/>
      <c r="H2999" s="334"/>
      <c r="I2999" s="168" t="s">
        <v>211</v>
      </c>
      <c r="J2999" s="166" t="s">
        <v>211</v>
      </c>
      <c r="K2999" s="168" t="s">
        <v>211</v>
      </c>
      <c r="L2999" s="166" t="s">
        <v>211</v>
      </c>
      <c r="M2999" s="168" t="s">
        <v>211</v>
      </c>
      <c r="N2999" s="166" t="s">
        <v>211</v>
      </c>
      <c r="O2999" s="168" t="s">
        <v>211</v>
      </c>
    </row>
    <row r="3000" spans="2:15" s="453" customFormat="1" ht="14" x14ac:dyDescent="0.2">
      <c r="B3000" s="293"/>
      <c r="F3000" s="586" t="s">
        <v>1002</v>
      </c>
      <c r="G3000" s="586"/>
      <c r="H3000" s="592"/>
      <c r="I3000" s="169"/>
      <c r="J3000" s="167"/>
      <c r="K3000" s="169"/>
      <c r="L3000" s="167"/>
      <c r="M3000" s="169"/>
      <c r="N3000" s="167"/>
      <c r="O3000" s="169"/>
    </row>
    <row r="3001" spans="2:15" s="453" customFormat="1" ht="14" x14ac:dyDescent="0.2">
      <c r="B3001" s="302"/>
      <c r="C3001" s="303"/>
      <c r="D3001" s="303"/>
      <c r="E3001" s="303"/>
      <c r="F3001" s="599" t="s">
        <v>474</v>
      </c>
      <c r="G3001" s="599"/>
      <c r="H3001" s="599"/>
      <c r="I3001" s="169"/>
      <c r="J3001" s="167"/>
      <c r="K3001" s="169"/>
      <c r="L3001" s="167"/>
      <c r="M3001" s="169"/>
      <c r="N3001" s="167"/>
      <c r="O3001" s="169"/>
    </row>
    <row r="3002" spans="2:15" s="453" customFormat="1" ht="14" x14ac:dyDescent="0.2">
      <c r="B3002" s="291">
        <v>9</v>
      </c>
      <c r="C3002" s="791" t="s">
        <v>1003</v>
      </c>
      <c r="D3002" s="791"/>
      <c r="E3002" s="780" t="s">
        <v>1368</v>
      </c>
      <c r="F3002" s="780"/>
      <c r="G3002" s="780"/>
      <c r="H3002" s="780"/>
      <c r="I3002" s="169"/>
      <c r="J3002" s="167"/>
      <c r="K3002" s="169"/>
      <c r="L3002" s="167"/>
      <c r="M3002" s="169"/>
      <c r="N3002" s="167"/>
      <c r="O3002" s="169"/>
    </row>
    <row r="3003" spans="2:15" s="453" customFormat="1" ht="14" x14ac:dyDescent="0.2">
      <c r="B3003" s="295" t="s">
        <v>333</v>
      </c>
      <c r="C3003" s="814" t="s">
        <v>1369</v>
      </c>
      <c r="D3003" s="814"/>
      <c r="E3003" s="814"/>
      <c r="F3003" s="814"/>
      <c r="G3003" s="814"/>
      <c r="H3003" s="322"/>
      <c r="I3003" s="169"/>
      <c r="J3003" s="167"/>
      <c r="K3003" s="169"/>
      <c r="L3003" s="167"/>
      <c r="M3003" s="169"/>
      <c r="N3003" s="167"/>
      <c r="O3003" s="169"/>
    </row>
    <row r="3004" spans="2:15" s="453" customFormat="1" ht="14" x14ac:dyDescent="0.2">
      <c r="B3004" s="293"/>
      <c r="C3004" s="573" t="s">
        <v>1006</v>
      </c>
      <c r="D3004" s="573"/>
      <c r="E3004" s="573"/>
      <c r="F3004" s="573"/>
      <c r="G3004" s="573"/>
      <c r="H3004" s="334"/>
      <c r="I3004" s="168" t="s">
        <v>211</v>
      </c>
      <c r="J3004" s="166" t="s">
        <v>211</v>
      </c>
      <c r="K3004" s="168" t="s">
        <v>211</v>
      </c>
      <c r="L3004" s="166" t="s">
        <v>211</v>
      </c>
      <c r="M3004" s="168" t="s">
        <v>211</v>
      </c>
      <c r="N3004" s="166" t="s">
        <v>211</v>
      </c>
      <c r="O3004" s="168" t="s">
        <v>211</v>
      </c>
    </row>
    <row r="3005" spans="2:15" s="453" customFormat="1" ht="14" x14ac:dyDescent="0.2">
      <c r="B3005" s="293"/>
      <c r="C3005" s="285" t="s">
        <v>1007</v>
      </c>
      <c r="D3005" s="375" t="s">
        <v>1008</v>
      </c>
      <c r="E3005" s="453" t="s">
        <v>1009</v>
      </c>
      <c r="H3005" s="334"/>
      <c r="I3005" s="168" t="s">
        <v>211</v>
      </c>
      <c r="J3005" s="166" t="s">
        <v>211</v>
      </c>
      <c r="K3005" s="168" t="s">
        <v>211</v>
      </c>
      <c r="L3005" s="166" t="s">
        <v>211</v>
      </c>
      <c r="M3005" s="168" t="s">
        <v>211</v>
      </c>
      <c r="N3005" s="166" t="s">
        <v>211</v>
      </c>
      <c r="O3005" s="168" t="s">
        <v>211</v>
      </c>
    </row>
    <row r="3006" spans="2:15" s="453" customFormat="1" ht="14" x14ac:dyDescent="0.2">
      <c r="B3006" s="293"/>
      <c r="E3006" s="453" t="s">
        <v>1010</v>
      </c>
      <c r="H3006" s="322"/>
      <c r="I3006" s="169"/>
      <c r="J3006" s="167"/>
      <c r="K3006" s="169"/>
      <c r="L3006" s="167"/>
      <c r="M3006" s="169"/>
      <c r="N3006" s="167"/>
      <c r="O3006" s="169"/>
    </row>
    <row r="3007" spans="2:15" s="453" customFormat="1" ht="14" x14ac:dyDescent="0.2">
      <c r="B3007" s="293"/>
      <c r="C3007" s="376" t="s">
        <v>1011</v>
      </c>
      <c r="D3007" s="376"/>
      <c r="E3007" s="453" t="s">
        <v>1013</v>
      </c>
      <c r="H3007" s="334"/>
      <c r="I3007" s="168" t="s">
        <v>211</v>
      </c>
      <c r="J3007" s="166" t="s">
        <v>211</v>
      </c>
      <c r="K3007" s="168" t="s">
        <v>211</v>
      </c>
      <c r="L3007" s="166" t="s">
        <v>211</v>
      </c>
      <c r="M3007" s="168" t="s">
        <v>211</v>
      </c>
      <c r="N3007" s="166" t="s">
        <v>211</v>
      </c>
      <c r="O3007" s="168" t="s">
        <v>211</v>
      </c>
    </row>
    <row r="3008" spans="2:15" s="453" customFormat="1" ht="14" x14ac:dyDescent="0.2">
      <c r="B3008" s="293"/>
      <c r="E3008" s="453" t="s">
        <v>1012</v>
      </c>
      <c r="H3008" s="322"/>
      <c r="I3008" s="169"/>
      <c r="J3008" s="167"/>
      <c r="K3008" s="169"/>
      <c r="L3008" s="167"/>
      <c r="M3008" s="169"/>
      <c r="N3008" s="167"/>
      <c r="O3008" s="169"/>
    </row>
    <row r="3009" spans="2:15" s="453" customFormat="1" ht="14" x14ac:dyDescent="0.2">
      <c r="B3009" s="302"/>
      <c r="C3009" s="303"/>
      <c r="D3009" s="303"/>
      <c r="E3009" s="303"/>
      <c r="F3009" s="580" t="s">
        <v>764</v>
      </c>
      <c r="G3009" s="580"/>
      <c r="H3009" s="580"/>
      <c r="I3009" s="169"/>
      <c r="J3009" s="167"/>
      <c r="K3009" s="169"/>
      <c r="L3009" s="167"/>
      <c r="M3009" s="169"/>
      <c r="N3009" s="167"/>
      <c r="O3009" s="169"/>
    </row>
    <row r="3010" spans="2:15" s="453" customFormat="1" ht="14" x14ac:dyDescent="0.2">
      <c r="B3010" s="291">
        <v>10</v>
      </c>
      <c r="C3010" s="614" t="s">
        <v>1367</v>
      </c>
      <c r="D3010" s="614"/>
      <c r="E3010" s="614"/>
      <c r="F3010" s="614"/>
      <c r="G3010" s="614"/>
      <c r="H3010" s="333"/>
      <c r="I3010" s="168" t="s">
        <v>211</v>
      </c>
      <c r="J3010" s="166" t="s">
        <v>211</v>
      </c>
      <c r="K3010" s="168" t="s">
        <v>211</v>
      </c>
      <c r="L3010" s="166" t="s">
        <v>211</v>
      </c>
      <c r="M3010" s="168" t="s">
        <v>211</v>
      </c>
      <c r="N3010" s="166" t="s">
        <v>211</v>
      </c>
      <c r="O3010" s="168" t="s">
        <v>211</v>
      </c>
    </row>
    <row r="3011" spans="2:15" s="453" customFormat="1" ht="14" x14ac:dyDescent="0.2">
      <c r="B3011" s="293"/>
      <c r="C3011" s="595" t="s">
        <v>1014</v>
      </c>
      <c r="D3011" s="595"/>
      <c r="E3011" s="595"/>
      <c r="F3011" s="595"/>
      <c r="G3011" s="595"/>
      <c r="H3011" s="334"/>
      <c r="I3011" s="168" t="s">
        <v>211</v>
      </c>
      <c r="J3011" s="166" t="s">
        <v>211</v>
      </c>
      <c r="K3011" s="168" t="s">
        <v>211</v>
      </c>
      <c r="L3011" s="166" t="s">
        <v>211</v>
      </c>
      <c r="M3011" s="168" t="s">
        <v>211</v>
      </c>
      <c r="N3011" s="166" t="s">
        <v>211</v>
      </c>
      <c r="O3011" s="168" t="s">
        <v>211</v>
      </c>
    </row>
    <row r="3012" spans="2:15" s="453" customFormat="1" ht="14" x14ac:dyDescent="0.2">
      <c r="B3012" s="293"/>
      <c r="C3012" s="595" t="s">
        <v>887</v>
      </c>
      <c r="D3012" s="595"/>
      <c r="E3012" s="595"/>
      <c r="F3012" s="595"/>
      <c r="G3012" s="595"/>
      <c r="H3012" s="334"/>
      <c r="I3012" s="168" t="s">
        <v>211</v>
      </c>
      <c r="J3012" s="166" t="s">
        <v>211</v>
      </c>
      <c r="K3012" s="168" t="s">
        <v>211</v>
      </c>
      <c r="L3012" s="166" t="s">
        <v>211</v>
      </c>
      <c r="M3012" s="168" t="s">
        <v>211</v>
      </c>
      <c r="N3012" s="166" t="s">
        <v>211</v>
      </c>
      <c r="O3012" s="168" t="s">
        <v>211</v>
      </c>
    </row>
    <row r="3013" spans="2:15" s="453" customFormat="1" ht="14" x14ac:dyDescent="0.2">
      <c r="B3013" s="293"/>
      <c r="C3013" s="572" t="s">
        <v>1370</v>
      </c>
      <c r="D3013" s="572"/>
      <c r="E3013" s="572"/>
      <c r="F3013" s="572"/>
      <c r="G3013" s="572"/>
      <c r="H3013" s="334"/>
      <c r="I3013" s="168" t="s">
        <v>211</v>
      </c>
      <c r="J3013" s="166" t="s">
        <v>211</v>
      </c>
      <c r="K3013" s="168" t="s">
        <v>211</v>
      </c>
      <c r="L3013" s="166" t="s">
        <v>211</v>
      </c>
      <c r="M3013" s="168" t="s">
        <v>211</v>
      </c>
      <c r="N3013" s="166" t="s">
        <v>211</v>
      </c>
      <c r="O3013" s="168" t="s">
        <v>211</v>
      </c>
    </row>
    <row r="3014" spans="2:15" s="453" customFormat="1" ht="14" x14ac:dyDescent="0.2">
      <c r="B3014" s="293"/>
      <c r="C3014" s="572"/>
      <c r="D3014" s="572"/>
      <c r="E3014" s="572"/>
      <c r="F3014" s="572"/>
      <c r="G3014" s="572"/>
      <c r="H3014" s="322"/>
      <c r="I3014" s="169"/>
      <c r="J3014" s="167"/>
      <c r="K3014" s="169"/>
      <c r="L3014" s="167"/>
      <c r="M3014" s="169"/>
      <c r="N3014" s="167"/>
      <c r="O3014" s="169"/>
    </row>
    <row r="3015" spans="2:15" s="453" customFormat="1" ht="14" x14ac:dyDescent="0.2">
      <c r="B3015" s="293"/>
      <c r="F3015" s="586" t="s">
        <v>604</v>
      </c>
      <c r="G3015" s="586"/>
      <c r="H3015" s="592"/>
      <c r="I3015" s="169"/>
      <c r="J3015" s="167"/>
      <c r="K3015" s="169"/>
      <c r="L3015" s="167"/>
      <c r="M3015" s="169"/>
      <c r="N3015" s="167"/>
      <c r="O3015" s="169"/>
    </row>
    <row r="3016" spans="2:15" s="453" customFormat="1" ht="14" x14ac:dyDescent="0.2">
      <c r="B3016" s="302"/>
      <c r="C3016" s="303"/>
      <c r="D3016" s="303"/>
      <c r="E3016" s="303"/>
      <c r="F3016" s="603" t="s">
        <v>938</v>
      </c>
      <c r="G3016" s="603"/>
      <c r="H3016" s="603"/>
      <c r="I3016" s="169"/>
      <c r="J3016" s="167"/>
      <c r="K3016" s="169"/>
      <c r="L3016" s="167"/>
      <c r="M3016" s="169"/>
      <c r="N3016" s="167"/>
      <c r="O3016" s="169"/>
    </row>
    <row r="3017" spans="2:15" s="453" customFormat="1" ht="14" x14ac:dyDescent="0.2">
      <c r="B3017" s="291">
        <v>11</v>
      </c>
      <c r="C3017" s="602" t="s">
        <v>1016</v>
      </c>
      <c r="D3017" s="602"/>
      <c r="E3017" s="602"/>
      <c r="F3017" s="602"/>
      <c r="G3017" s="602"/>
      <c r="H3017" s="333"/>
      <c r="I3017" s="168" t="s">
        <v>211</v>
      </c>
      <c r="J3017" s="166" t="s">
        <v>211</v>
      </c>
      <c r="K3017" s="168" t="s">
        <v>211</v>
      </c>
      <c r="L3017" s="166" t="s">
        <v>211</v>
      </c>
      <c r="M3017" s="168" t="s">
        <v>211</v>
      </c>
      <c r="N3017" s="166" t="s">
        <v>211</v>
      </c>
      <c r="O3017" s="168" t="s">
        <v>211</v>
      </c>
    </row>
    <row r="3018" spans="2:15" s="453" customFormat="1" ht="14" x14ac:dyDescent="0.2">
      <c r="B3018" s="293"/>
      <c r="C3018" s="572"/>
      <c r="D3018" s="572"/>
      <c r="E3018" s="572"/>
      <c r="F3018" s="572"/>
      <c r="G3018" s="572"/>
      <c r="H3018" s="322"/>
      <c r="I3018" s="169"/>
      <c r="J3018" s="167"/>
      <c r="K3018" s="169"/>
      <c r="L3018" s="167"/>
      <c r="M3018" s="169"/>
      <c r="N3018" s="167"/>
      <c r="O3018" s="169"/>
    </row>
    <row r="3019" spans="2:15" s="453" customFormat="1" ht="14" x14ac:dyDescent="0.2">
      <c r="B3019" s="293"/>
      <c r="C3019" s="573" t="s">
        <v>1017</v>
      </c>
      <c r="D3019" s="573"/>
      <c r="E3019" s="573"/>
      <c r="F3019" s="573"/>
      <c r="G3019" s="573"/>
      <c r="H3019" s="334"/>
      <c r="I3019" s="168" t="s">
        <v>211</v>
      </c>
      <c r="J3019" s="166" t="s">
        <v>211</v>
      </c>
      <c r="K3019" s="168" t="s">
        <v>211</v>
      </c>
      <c r="L3019" s="166" t="s">
        <v>211</v>
      </c>
      <c r="M3019" s="168" t="s">
        <v>211</v>
      </c>
      <c r="N3019" s="166" t="s">
        <v>211</v>
      </c>
      <c r="O3019" s="168" t="s">
        <v>211</v>
      </c>
    </row>
    <row r="3020" spans="2:15" s="453" customFormat="1" ht="14" x14ac:dyDescent="0.2">
      <c r="B3020" s="293"/>
      <c r="F3020" s="593" t="s">
        <v>1384</v>
      </c>
      <c r="G3020" s="593"/>
      <c r="H3020" s="594"/>
      <c r="I3020" s="169"/>
      <c r="J3020" s="167"/>
      <c r="K3020" s="169"/>
      <c r="L3020" s="167"/>
      <c r="M3020" s="169"/>
      <c r="N3020" s="167"/>
      <c r="O3020" s="169"/>
    </row>
    <row r="3021" spans="2:15" s="453" customFormat="1" ht="14" x14ac:dyDescent="0.2">
      <c r="B3021" s="293"/>
      <c r="C3021" s="572" t="s">
        <v>1018</v>
      </c>
      <c r="D3021" s="572"/>
      <c r="E3021" s="572"/>
      <c r="F3021" s="572"/>
      <c r="G3021" s="572"/>
      <c r="H3021" s="334"/>
      <c r="I3021" s="168" t="s">
        <v>211</v>
      </c>
      <c r="J3021" s="166" t="s">
        <v>211</v>
      </c>
      <c r="K3021" s="168" t="s">
        <v>211</v>
      </c>
      <c r="L3021" s="166" t="s">
        <v>211</v>
      </c>
      <c r="M3021" s="168" t="s">
        <v>211</v>
      </c>
      <c r="N3021" s="166" t="s">
        <v>211</v>
      </c>
      <c r="O3021" s="168" t="s">
        <v>211</v>
      </c>
    </row>
    <row r="3022" spans="2:15" s="453" customFormat="1" ht="14" x14ac:dyDescent="0.2">
      <c r="B3022" s="293"/>
      <c r="C3022" s="572"/>
      <c r="D3022" s="572"/>
      <c r="E3022" s="572"/>
      <c r="F3022" s="572"/>
      <c r="G3022" s="572"/>
      <c r="H3022" s="322"/>
      <c r="I3022" s="169"/>
      <c r="J3022" s="167"/>
      <c r="K3022" s="169"/>
      <c r="L3022" s="167"/>
      <c r="M3022" s="169"/>
      <c r="N3022" s="167"/>
      <c r="O3022" s="169"/>
    </row>
    <row r="3023" spans="2:15" s="453" customFormat="1" ht="14" x14ac:dyDescent="0.2">
      <c r="B3023" s="293"/>
      <c r="C3023" s="595" t="s">
        <v>1019</v>
      </c>
      <c r="D3023" s="595"/>
      <c r="E3023" s="595"/>
      <c r="F3023" s="595"/>
      <c r="G3023" s="595"/>
      <c r="H3023" s="334"/>
      <c r="I3023" s="168" t="s">
        <v>211</v>
      </c>
      <c r="J3023" s="166" t="s">
        <v>211</v>
      </c>
      <c r="K3023" s="168" t="s">
        <v>211</v>
      </c>
      <c r="L3023" s="166" t="s">
        <v>211</v>
      </c>
      <c r="M3023" s="168" t="s">
        <v>211</v>
      </c>
      <c r="N3023" s="166" t="s">
        <v>211</v>
      </c>
      <c r="O3023" s="168" t="s">
        <v>211</v>
      </c>
    </row>
    <row r="3024" spans="2:15" s="453" customFormat="1" ht="14" x14ac:dyDescent="0.2">
      <c r="B3024" s="293"/>
      <c r="C3024" s="573" t="s">
        <v>1020</v>
      </c>
      <c r="D3024" s="573"/>
      <c r="E3024" s="573"/>
      <c r="F3024" s="573"/>
      <c r="G3024" s="573"/>
      <c r="H3024" s="334"/>
      <c r="I3024" s="168" t="s">
        <v>211</v>
      </c>
      <c r="J3024" s="166" t="s">
        <v>211</v>
      </c>
      <c r="K3024" s="168" t="s">
        <v>211</v>
      </c>
      <c r="L3024" s="166" t="s">
        <v>211</v>
      </c>
      <c r="M3024" s="168" t="s">
        <v>211</v>
      </c>
      <c r="N3024" s="166" t="s">
        <v>211</v>
      </c>
      <c r="O3024" s="168" t="s">
        <v>211</v>
      </c>
    </row>
    <row r="3025" spans="2:15" s="453" customFormat="1" ht="14" x14ac:dyDescent="0.2">
      <c r="B3025" s="295" t="s">
        <v>333</v>
      </c>
      <c r="C3025" s="591" t="s">
        <v>1021</v>
      </c>
      <c r="D3025" s="591"/>
      <c r="E3025" s="591"/>
      <c r="F3025" s="591"/>
      <c r="G3025" s="591"/>
      <c r="H3025" s="322"/>
      <c r="I3025" s="169"/>
      <c r="J3025" s="167"/>
      <c r="K3025" s="169"/>
      <c r="L3025" s="167"/>
      <c r="M3025" s="169"/>
      <c r="N3025" s="167"/>
      <c r="O3025" s="169"/>
    </row>
    <row r="3026" spans="2:15" s="453" customFormat="1" ht="14" x14ac:dyDescent="0.2">
      <c r="B3026" s="293"/>
      <c r="F3026" s="593" t="s">
        <v>1383</v>
      </c>
      <c r="G3026" s="593"/>
      <c r="H3026" s="594"/>
      <c r="I3026" s="169"/>
      <c r="J3026" s="167"/>
      <c r="K3026" s="169"/>
      <c r="L3026" s="167"/>
      <c r="M3026" s="169"/>
      <c r="N3026" s="167"/>
      <c r="O3026" s="169"/>
    </row>
    <row r="3027" spans="2:15" s="453" customFormat="1" ht="14" x14ac:dyDescent="0.2">
      <c r="B3027" s="293"/>
      <c r="F3027" s="604" t="s">
        <v>1371</v>
      </c>
      <c r="G3027" s="604"/>
      <c r="H3027" s="605"/>
      <c r="I3027" s="169"/>
      <c r="J3027" s="167"/>
      <c r="K3027" s="169"/>
      <c r="L3027" s="167"/>
      <c r="M3027" s="169"/>
      <c r="N3027" s="167"/>
      <c r="O3027" s="169"/>
    </row>
    <row r="3028" spans="2:15" s="453" customFormat="1" ht="14" x14ac:dyDescent="0.2">
      <c r="B3028" s="302"/>
      <c r="C3028" s="303"/>
      <c r="D3028" s="303"/>
      <c r="E3028" s="303"/>
      <c r="F3028" s="580" t="s">
        <v>938</v>
      </c>
      <c r="G3028" s="580"/>
      <c r="H3028" s="580"/>
      <c r="I3028" s="169"/>
      <c r="J3028" s="167"/>
      <c r="K3028" s="169"/>
      <c r="L3028" s="167"/>
      <c r="M3028" s="169"/>
      <c r="N3028" s="167"/>
      <c r="O3028" s="169"/>
    </row>
    <row r="3029" spans="2:15" s="453" customFormat="1" ht="14" x14ac:dyDescent="0.2">
      <c r="B3029" s="291">
        <v>12</v>
      </c>
      <c r="C3029" s="602" t="s">
        <v>1023</v>
      </c>
      <c r="D3029" s="602"/>
      <c r="E3029" s="602"/>
      <c r="F3029" s="602"/>
      <c r="G3029" s="602"/>
      <c r="H3029" s="333"/>
      <c r="I3029" s="168" t="s">
        <v>211</v>
      </c>
      <c r="J3029" s="166" t="s">
        <v>211</v>
      </c>
      <c r="K3029" s="168" t="s">
        <v>211</v>
      </c>
      <c r="L3029" s="166" t="s">
        <v>211</v>
      </c>
      <c r="M3029" s="168" t="s">
        <v>211</v>
      </c>
      <c r="N3029" s="166" t="s">
        <v>211</v>
      </c>
      <c r="O3029" s="168" t="s">
        <v>211</v>
      </c>
    </row>
    <row r="3030" spans="2:15" s="453" customFormat="1" ht="14" x14ac:dyDescent="0.2">
      <c r="B3030" s="293"/>
      <c r="C3030" s="572"/>
      <c r="D3030" s="572"/>
      <c r="E3030" s="572"/>
      <c r="F3030" s="572"/>
      <c r="G3030" s="572"/>
      <c r="H3030" s="322"/>
      <c r="I3030" s="169"/>
      <c r="J3030" s="167"/>
      <c r="K3030" s="169"/>
      <c r="L3030" s="167"/>
      <c r="M3030" s="169"/>
      <c r="N3030" s="167"/>
      <c r="O3030" s="169"/>
    </row>
    <row r="3031" spans="2:15" s="453" customFormat="1" ht="14" x14ac:dyDescent="0.2">
      <c r="B3031" s="293"/>
      <c r="C3031" s="595" t="s">
        <v>1019</v>
      </c>
      <c r="D3031" s="595"/>
      <c r="E3031" s="595"/>
      <c r="F3031" s="595"/>
      <c r="G3031" s="595"/>
      <c r="H3031" s="334"/>
      <c r="I3031" s="168" t="s">
        <v>211</v>
      </c>
      <c r="J3031" s="166" t="s">
        <v>211</v>
      </c>
      <c r="K3031" s="168" t="s">
        <v>211</v>
      </c>
      <c r="L3031" s="166" t="s">
        <v>211</v>
      </c>
      <c r="M3031" s="168" t="s">
        <v>211</v>
      </c>
      <c r="N3031" s="166" t="s">
        <v>211</v>
      </c>
      <c r="O3031" s="168" t="s">
        <v>211</v>
      </c>
    </row>
    <row r="3032" spans="2:15" s="453" customFormat="1" ht="14" x14ac:dyDescent="0.2">
      <c r="B3032" s="293"/>
      <c r="C3032" s="573" t="s">
        <v>1020</v>
      </c>
      <c r="D3032" s="573"/>
      <c r="E3032" s="573"/>
      <c r="F3032" s="573"/>
      <c r="G3032" s="573"/>
      <c r="H3032" s="334"/>
      <c r="I3032" s="168" t="s">
        <v>211</v>
      </c>
      <c r="J3032" s="166" t="s">
        <v>211</v>
      </c>
      <c r="K3032" s="168" t="s">
        <v>211</v>
      </c>
      <c r="L3032" s="166" t="s">
        <v>211</v>
      </c>
      <c r="M3032" s="168" t="s">
        <v>211</v>
      </c>
      <c r="N3032" s="166" t="s">
        <v>211</v>
      </c>
      <c r="O3032" s="168" t="s">
        <v>211</v>
      </c>
    </row>
    <row r="3033" spans="2:15" s="453" customFormat="1" ht="14" x14ac:dyDescent="0.2">
      <c r="B3033" s="295" t="s">
        <v>333</v>
      </c>
      <c r="C3033" s="591" t="s">
        <v>1024</v>
      </c>
      <c r="D3033" s="591"/>
      <c r="E3033" s="591"/>
      <c r="F3033" s="591"/>
      <c r="G3033" s="591"/>
      <c r="H3033" s="322"/>
      <c r="I3033" s="169"/>
      <c r="J3033" s="167"/>
      <c r="K3033" s="169"/>
      <c r="L3033" s="167"/>
      <c r="M3033" s="169"/>
      <c r="N3033" s="167"/>
      <c r="O3033" s="169"/>
    </row>
    <row r="3034" spans="2:15" s="453" customFormat="1" ht="14" x14ac:dyDescent="0.2">
      <c r="B3034" s="295" t="s">
        <v>333</v>
      </c>
      <c r="C3034" s="597" t="s">
        <v>1025</v>
      </c>
      <c r="D3034" s="597"/>
      <c r="E3034" s="597"/>
      <c r="F3034" s="597"/>
      <c r="G3034" s="597"/>
      <c r="H3034" s="322"/>
      <c r="I3034" s="169"/>
      <c r="J3034" s="167"/>
      <c r="K3034" s="169"/>
      <c r="L3034" s="167"/>
      <c r="M3034" s="169"/>
      <c r="N3034" s="167"/>
      <c r="O3034" s="169"/>
    </row>
    <row r="3035" spans="2:15" s="453" customFormat="1" ht="14" x14ac:dyDescent="0.2">
      <c r="B3035" s="295"/>
      <c r="C3035" s="597"/>
      <c r="D3035" s="597"/>
      <c r="E3035" s="597"/>
      <c r="F3035" s="597"/>
      <c r="G3035" s="597"/>
      <c r="H3035" s="322"/>
      <c r="I3035" s="169"/>
      <c r="J3035" s="167"/>
      <c r="K3035" s="169"/>
      <c r="L3035" s="167"/>
      <c r="M3035" s="169"/>
      <c r="N3035" s="167"/>
      <c r="O3035" s="169"/>
    </row>
    <row r="3036" spans="2:15" s="453" customFormat="1" ht="14" x14ac:dyDescent="0.2">
      <c r="B3036" s="293"/>
      <c r="F3036" s="593" t="s">
        <v>1383</v>
      </c>
      <c r="G3036" s="593"/>
      <c r="H3036" s="594"/>
      <c r="I3036" s="169"/>
      <c r="J3036" s="167"/>
      <c r="K3036" s="169"/>
      <c r="L3036" s="167"/>
      <c r="M3036" s="169"/>
      <c r="N3036" s="167"/>
      <c r="O3036" s="169"/>
    </row>
    <row r="3037" spans="2:15" s="453" customFormat="1" ht="14" x14ac:dyDescent="0.2">
      <c r="B3037" s="293"/>
      <c r="F3037" s="604" t="s">
        <v>1372</v>
      </c>
      <c r="G3037" s="604"/>
      <c r="H3037" s="605"/>
      <c r="I3037" s="169"/>
      <c r="J3037" s="167"/>
      <c r="K3037" s="169"/>
      <c r="L3037" s="167"/>
      <c r="M3037" s="169"/>
      <c r="N3037" s="167"/>
      <c r="O3037" s="169"/>
    </row>
    <row r="3038" spans="2:15" s="453" customFormat="1" ht="14" x14ac:dyDescent="0.2">
      <c r="B3038" s="302"/>
      <c r="C3038" s="303"/>
      <c r="D3038" s="303"/>
      <c r="E3038" s="303"/>
      <c r="F3038" s="580" t="s">
        <v>938</v>
      </c>
      <c r="G3038" s="580"/>
      <c r="H3038" s="580"/>
      <c r="I3038" s="169"/>
      <c r="J3038" s="167"/>
      <c r="K3038" s="169"/>
      <c r="L3038" s="167"/>
      <c r="M3038" s="169"/>
      <c r="N3038" s="167"/>
      <c r="O3038" s="169"/>
    </row>
    <row r="3039" spans="2:15" s="453" customFormat="1" ht="14" x14ac:dyDescent="0.2">
      <c r="B3039" s="291">
        <v>13</v>
      </c>
      <c r="C3039" s="602" t="s">
        <v>1351</v>
      </c>
      <c r="D3039" s="602"/>
      <c r="E3039" s="602"/>
      <c r="F3039" s="602"/>
      <c r="G3039" s="602"/>
      <c r="H3039" s="333"/>
      <c r="I3039" s="168" t="s">
        <v>211</v>
      </c>
      <c r="J3039" s="166" t="s">
        <v>211</v>
      </c>
      <c r="K3039" s="168" t="s">
        <v>211</v>
      </c>
      <c r="L3039" s="166" t="s">
        <v>211</v>
      </c>
      <c r="M3039" s="168" t="s">
        <v>211</v>
      </c>
      <c r="N3039" s="166" t="s">
        <v>211</v>
      </c>
      <c r="O3039" s="168" t="s">
        <v>211</v>
      </c>
    </row>
    <row r="3040" spans="2:15" s="453" customFormat="1" ht="14" x14ac:dyDescent="0.2">
      <c r="B3040" s="293"/>
      <c r="C3040" s="572"/>
      <c r="D3040" s="572"/>
      <c r="E3040" s="572"/>
      <c r="F3040" s="572"/>
      <c r="G3040" s="572"/>
      <c r="H3040" s="322"/>
      <c r="I3040" s="169"/>
      <c r="J3040" s="167"/>
      <c r="K3040" s="169"/>
      <c r="L3040" s="167"/>
      <c r="M3040" s="169"/>
      <c r="N3040" s="167"/>
      <c r="O3040" s="169"/>
    </row>
    <row r="3041" spans="2:15" s="453" customFormat="1" ht="14" x14ac:dyDescent="0.2">
      <c r="B3041" s="293"/>
      <c r="C3041" s="572" t="s">
        <v>1373</v>
      </c>
      <c r="D3041" s="572"/>
      <c r="E3041" s="572"/>
      <c r="F3041" s="572"/>
      <c r="G3041" s="572"/>
      <c r="H3041" s="334"/>
      <c r="I3041" s="168" t="s">
        <v>211</v>
      </c>
      <c r="J3041" s="166" t="s">
        <v>211</v>
      </c>
      <c r="K3041" s="168" t="s">
        <v>211</v>
      </c>
      <c r="L3041" s="166" t="s">
        <v>211</v>
      </c>
      <c r="M3041" s="168" t="s">
        <v>211</v>
      </c>
      <c r="N3041" s="166" t="s">
        <v>211</v>
      </c>
      <c r="O3041" s="168" t="s">
        <v>211</v>
      </c>
    </row>
    <row r="3042" spans="2:15" s="453" customFormat="1" ht="14" x14ac:dyDescent="0.2">
      <c r="B3042" s="293"/>
      <c r="C3042" s="572"/>
      <c r="D3042" s="572"/>
      <c r="E3042" s="572"/>
      <c r="F3042" s="572"/>
      <c r="G3042" s="572"/>
      <c r="H3042" s="322"/>
      <c r="I3042" s="169"/>
      <c r="J3042" s="167"/>
      <c r="K3042" s="169"/>
      <c r="L3042" s="167"/>
      <c r="M3042" s="169"/>
      <c r="N3042" s="167"/>
      <c r="O3042" s="169"/>
    </row>
    <row r="3043" spans="2:15" s="453" customFormat="1" ht="14" x14ac:dyDescent="0.2">
      <c r="B3043" s="293"/>
      <c r="C3043" s="572"/>
      <c r="D3043" s="572"/>
      <c r="E3043" s="572"/>
      <c r="F3043" s="572"/>
      <c r="G3043" s="572"/>
      <c r="H3043" s="322"/>
      <c r="I3043" s="169"/>
      <c r="J3043" s="167"/>
      <c r="K3043" s="169"/>
      <c r="L3043" s="167"/>
      <c r="M3043" s="169"/>
      <c r="N3043" s="167"/>
      <c r="O3043" s="169"/>
    </row>
    <row r="3044" spans="2:15" s="453" customFormat="1" ht="14" x14ac:dyDescent="0.2">
      <c r="B3044" s="293"/>
      <c r="C3044" s="573" t="s">
        <v>845</v>
      </c>
      <c r="D3044" s="573"/>
      <c r="E3044" s="573"/>
      <c r="F3044" s="573"/>
      <c r="G3044" s="573"/>
      <c r="H3044" s="334"/>
      <c r="I3044" s="168" t="s">
        <v>211</v>
      </c>
      <c r="J3044" s="166" t="s">
        <v>211</v>
      </c>
      <c r="K3044" s="168" t="s">
        <v>211</v>
      </c>
      <c r="L3044" s="166" t="s">
        <v>211</v>
      </c>
      <c r="M3044" s="168" t="s">
        <v>211</v>
      </c>
      <c r="N3044" s="166" t="s">
        <v>211</v>
      </c>
      <c r="O3044" s="168" t="s">
        <v>211</v>
      </c>
    </row>
    <row r="3045" spans="2:15" s="453" customFormat="1" ht="14" x14ac:dyDescent="0.2">
      <c r="B3045" s="293"/>
      <c r="F3045" s="586" t="s">
        <v>1029</v>
      </c>
      <c r="G3045" s="586"/>
      <c r="H3045" s="592"/>
      <c r="I3045" s="169"/>
      <c r="J3045" s="167"/>
      <c r="K3045" s="169"/>
      <c r="L3045" s="167"/>
      <c r="M3045" s="169"/>
      <c r="N3045" s="167"/>
      <c r="O3045" s="169"/>
    </row>
    <row r="3046" spans="2:15" s="453" customFormat="1" ht="14" x14ac:dyDescent="0.2">
      <c r="B3046" s="293"/>
      <c r="F3046" s="586" t="s">
        <v>1030</v>
      </c>
      <c r="G3046" s="586"/>
      <c r="H3046" s="592"/>
      <c r="I3046" s="169"/>
      <c r="J3046" s="167"/>
      <c r="K3046" s="169"/>
      <c r="L3046" s="167"/>
      <c r="M3046" s="169"/>
      <c r="N3046" s="167"/>
      <c r="O3046" s="169"/>
    </row>
    <row r="3047" spans="2:15" s="453" customFormat="1" ht="14" x14ac:dyDescent="0.2">
      <c r="B3047" s="293"/>
      <c r="F3047" s="586" t="s">
        <v>1374</v>
      </c>
      <c r="G3047" s="586"/>
      <c r="H3047" s="592"/>
      <c r="I3047" s="169"/>
      <c r="J3047" s="167"/>
      <c r="K3047" s="169"/>
      <c r="L3047" s="167"/>
      <c r="M3047" s="169"/>
      <c r="N3047" s="167"/>
      <c r="O3047" s="169"/>
    </row>
    <row r="3048" spans="2:15" s="453" customFormat="1" ht="14" x14ac:dyDescent="0.2">
      <c r="B3048" s="302"/>
      <c r="C3048" s="303"/>
      <c r="D3048" s="303"/>
      <c r="E3048" s="303"/>
      <c r="F3048" s="599" t="s">
        <v>1375</v>
      </c>
      <c r="G3048" s="599"/>
      <c r="H3048" s="599"/>
      <c r="I3048" s="169"/>
      <c r="J3048" s="167"/>
      <c r="K3048" s="169"/>
      <c r="L3048" s="167"/>
      <c r="M3048" s="169"/>
      <c r="N3048" s="167"/>
      <c r="O3048" s="169"/>
    </row>
    <row r="3049" spans="2:15" s="453" customFormat="1" ht="14" x14ac:dyDescent="0.2">
      <c r="B3049" s="291">
        <v>14</v>
      </c>
      <c r="C3049" s="598" t="s">
        <v>1032</v>
      </c>
      <c r="D3049" s="598"/>
      <c r="E3049" s="598"/>
      <c r="F3049" s="598"/>
      <c r="G3049" s="598"/>
      <c r="H3049" s="333"/>
      <c r="I3049" s="168" t="s">
        <v>211</v>
      </c>
      <c r="J3049" s="166" t="s">
        <v>211</v>
      </c>
      <c r="K3049" s="168" t="s">
        <v>211</v>
      </c>
      <c r="L3049" s="166" t="s">
        <v>211</v>
      </c>
      <c r="M3049" s="168" t="s">
        <v>211</v>
      </c>
      <c r="N3049" s="166" t="s">
        <v>211</v>
      </c>
      <c r="O3049" s="168" t="s">
        <v>211</v>
      </c>
    </row>
    <row r="3050" spans="2:15" s="453" customFormat="1" ht="14" x14ac:dyDescent="0.2">
      <c r="B3050" s="293"/>
      <c r="C3050" s="573" t="s">
        <v>823</v>
      </c>
      <c r="D3050" s="573"/>
      <c r="E3050" s="573"/>
      <c r="F3050" s="573"/>
      <c r="G3050" s="573"/>
      <c r="H3050" s="334"/>
      <c r="I3050" s="168" t="s">
        <v>211</v>
      </c>
      <c r="J3050" s="166" t="s">
        <v>211</v>
      </c>
      <c r="K3050" s="168" t="s">
        <v>211</v>
      </c>
      <c r="L3050" s="166" t="s">
        <v>211</v>
      </c>
      <c r="M3050" s="168" t="s">
        <v>211</v>
      </c>
      <c r="N3050" s="166" t="s">
        <v>211</v>
      </c>
      <c r="O3050" s="168" t="s">
        <v>211</v>
      </c>
    </row>
    <row r="3051" spans="2:15" s="453" customFormat="1" ht="14" x14ac:dyDescent="0.2">
      <c r="B3051" s="293"/>
      <c r="C3051" s="573" t="s">
        <v>897</v>
      </c>
      <c r="D3051" s="573"/>
      <c r="E3051" s="573"/>
      <c r="F3051" s="573"/>
      <c r="G3051" s="573"/>
      <c r="H3051" s="334"/>
      <c r="I3051" s="168" t="s">
        <v>211</v>
      </c>
      <c r="J3051" s="166" t="s">
        <v>211</v>
      </c>
      <c r="K3051" s="168" t="s">
        <v>211</v>
      </c>
      <c r="L3051" s="166" t="s">
        <v>211</v>
      </c>
      <c r="M3051" s="168" t="s">
        <v>211</v>
      </c>
      <c r="N3051" s="166" t="s">
        <v>211</v>
      </c>
      <c r="O3051" s="168" t="s">
        <v>211</v>
      </c>
    </row>
    <row r="3052" spans="2:15" s="453" customFormat="1" ht="14" x14ac:dyDescent="0.2">
      <c r="B3052" s="293"/>
      <c r="C3052" s="572" t="s">
        <v>906</v>
      </c>
      <c r="D3052" s="572"/>
      <c r="E3052" s="572"/>
      <c r="F3052" s="572"/>
      <c r="G3052" s="572"/>
      <c r="H3052" s="334"/>
      <c r="I3052" s="168" t="s">
        <v>211</v>
      </c>
      <c r="J3052" s="166" t="s">
        <v>211</v>
      </c>
      <c r="K3052" s="168" t="s">
        <v>211</v>
      </c>
      <c r="L3052" s="166" t="s">
        <v>211</v>
      </c>
      <c r="M3052" s="168" t="s">
        <v>211</v>
      </c>
      <c r="N3052" s="166" t="s">
        <v>211</v>
      </c>
      <c r="O3052" s="168" t="s">
        <v>211</v>
      </c>
    </row>
    <row r="3053" spans="2:15" s="453" customFormat="1" ht="14" x14ac:dyDescent="0.2">
      <c r="B3053" s="293"/>
      <c r="F3053" s="586" t="s">
        <v>604</v>
      </c>
      <c r="G3053" s="586"/>
      <c r="H3053" s="592"/>
      <c r="I3053" s="169"/>
      <c r="J3053" s="167"/>
      <c r="K3053" s="169"/>
      <c r="L3053" s="167"/>
      <c r="M3053" s="169"/>
      <c r="N3053" s="167"/>
      <c r="O3053" s="169"/>
    </row>
    <row r="3054" spans="2:15" s="453" customFormat="1" ht="14" x14ac:dyDescent="0.2">
      <c r="B3054" s="293"/>
      <c r="F3054" s="604" t="s">
        <v>1033</v>
      </c>
      <c r="G3054" s="604"/>
      <c r="H3054" s="605"/>
      <c r="I3054" s="169"/>
      <c r="J3054" s="167"/>
      <c r="K3054" s="169"/>
      <c r="L3054" s="167"/>
      <c r="M3054" s="169"/>
      <c r="N3054" s="167"/>
      <c r="O3054" s="169"/>
    </row>
    <row r="3055" spans="2:15" s="453" customFormat="1" ht="14" x14ac:dyDescent="0.2">
      <c r="B3055" s="302"/>
      <c r="C3055" s="303"/>
      <c r="D3055" s="303"/>
      <c r="E3055" s="303"/>
      <c r="F3055" s="603" t="s">
        <v>1034</v>
      </c>
      <c r="G3055" s="603"/>
      <c r="H3055" s="603"/>
      <c r="I3055" s="169"/>
      <c r="J3055" s="167"/>
      <c r="K3055" s="169"/>
      <c r="L3055" s="167"/>
      <c r="M3055" s="169"/>
      <c r="N3055" s="167"/>
      <c r="O3055" s="169"/>
    </row>
    <row r="3056" spans="2:15" s="453" customFormat="1" ht="14" x14ac:dyDescent="0.2">
      <c r="B3056" s="291" t="s">
        <v>1376</v>
      </c>
      <c r="C3056" s="602" t="s">
        <v>1323</v>
      </c>
      <c r="D3056" s="602"/>
      <c r="E3056" s="602"/>
      <c r="F3056" s="602"/>
      <c r="G3056" s="602"/>
      <c r="H3056" s="333"/>
      <c r="I3056" s="168" t="s">
        <v>211</v>
      </c>
      <c r="J3056" s="166" t="s">
        <v>211</v>
      </c>
      <c r="K3056" s="168" t="s">
        <v>211</v>
      </c>
      <c r="L3056" s="166" t="s">
        <v>211</v>
      </c>
      <c r="M3056" s="168" t="s">
        <v>211</v>
      </c>
      <c r="N3056" s="166" t="s">
        <v>211</v>
      </c>
      <c r="O3056" s="168" t="s">
        <v>211</v>
      </c>
    </row>
    <row r="3057" spans="2:15" s="453" customFormat="1" ht="14" x14ac:dyDescent="0.2">
      <c r="B3057" s="397"/>
      <c r="C3057" s="303"/>
      <c r="D3057" s="303"/>
      <c r="E3057" s="303"/>
      <c r="F3057" s="580" t="s">
        <v>870</v>
      </c>
      <c r="G3057" s="580"/>
      <c r="H3057" s="580"/>
      <c r="I3057" s="169"/>
      <c r="J3057" s="167"/>
      <c r="K3057" s="169"/>
      <c r="L3057" s="167"/>
      <c r="M3057" s="169"/>
      <c r="N3057" s="167"/>
      <c r="O3057" s="169"/>
    </row>
    <row r="3058" spans="2:15" s="453" customFormat="1" ht="14" x14ac:dyDescent="0.2">
      <c r="B3058" s="291">
        <v>15</v>
      </c>
      <c r="C3058" s="598" t="s">
        <v>1321</v>
      </c>
      <c r="D3058" s="598"/>
      <c r="E3058" s="598"/>
      <c r="F3058" s="598"/>
      <c r="G3058" s="598"/>
      <c r="H3058" s="333"/>
      <c r="I3058" s="168" t="s">
        <v>211</v>
      </c>
      <c r="J3058" s="166" t="s">
        <v>211</v>
      </c>
      <c r="K3058" s="168" t="s">
        <v>211</v>
      </c>
      <c r="L3058" s="166" t="s">
        <v>211</v>
      </c>
      <c r="M3058" s="168" t="s">
        <v>211</v>
      </c>
      <c r="N3058" s="166" t="s">
        <v>211</v>
      </c>
      <c r="O3058" s="168" t="s">
        <v>211</v>
      </c>
    </row>
    <row r="3059" spans="2:15" s="453" customFormat="1" ht="14" x14ac:dyDescent="0.2">
      <c r="B3059" s="293"/>
      <c r="C3059" s="573" t="s">
        <v>1377</v>
      </c>
      <c r="D3059" s="573"/>
      <c r="E3059" s="573"/>
      <c r="F3059" s="573"/>
      <c r="G3059" s="573"/>
      <c r="H3059" s="334"/>
      <c r="I3059" s="168" t="s">
        <v>211</v>
      </c>
      <c r="J3059" s="166" t="s">
        <v>211</v>
      </c>
      <c r="K3059" s="168" t="s">
        <v>211</v>
      </c>
      <c r="L3059" s="166" t="s">
        <v>211</v>
      </c>
      <c r="M3059" s="168" t="s">
        <v>211</v>
      </c>
      <c r="N3059" s="166" t="s">
        <v>211</v>
      </c>
      <c r="O3059" s="168" t="s">
        <v>211</v>
      </c>
    </row>
    <row r="3060" spans="2:15" s="453" customFormat="1" ht="14" x14ac:dyDescent="0.2">
      <c r="B3060" s="293"/>
      <c r="C3060" s="573" t="s">
        <v>780</v>
      </c>
      <c r="D3060" s="573"/>
      <c r="E3060" s="573"/>
      <c r="F3060" s="573"/>
      <c r="G3060" s="573"/>
      <c r="H3060" s="334"/>
      <c r="I3060" s="168" t="s">
        <v>211</v>
      </c>
      <c r="J3060" s="166" t="s">
        <v>211</v>
      </c>
      <c r="K3060" s="168" t="s">
        <v>211</v>
      </c>
      <c r="L3060" s="166" t="s">
        <v>211</v>
      </c>
      <c r="M3060" s="168" t="s">
        <v>211</v>
      </c>
      <c r="N3060" s="166" t="s">
        <v>211</v>
      </c>
      <c r="O3060" s="168" t="s">
        <v>211</v>
      </c>
    </row>
    <row r="3061" spans="2:15" s="453" customFormat="1" ht="14" x14ac:dyDescent="0.2">
      <c r="B3061" s="302"/>
      <c r="C3061" s="303"/>
      <c r="D3061" s="303"/>
      <c r="E3061" s="303"/>
      <c r="F3061" s="580" t="s">
        <v>495</v>
      </c>
      <c r="G3061" s="580"/>
      <c r="H3061" s="580"/>
      <c r="I3061" s="169"/>
      <c r="J3061" s="167"/>
      <c r="K3061" s="169"/>
      <c r="L3061" s="167"/>
      <c r="M3061" s="169"/>
      <c r="N3061" s="167"/>
      <c r="O3061" s="169"/>
    </row>
    <row r="3062" spans="2:15" s="453" customFormat="1" ht="14" x14ac:dyDescent="0.2">
      <c r="B3062" s="293" t="s">
        <v>1035</v>
      </c>
      <c r="F3062" s="612" t="s">
        <v>1036</v>
      </c>
      <c r="G3062" s="612"/>
      <c r="H3062" s="612"/>
      <c r="I3062" s="169"/>
      <c r="J3062" s="167"/>
      <c r="K3062" s="169"/>
      <c r="L3062" s="167"/>
      <c r="M3062" s="169"/>
      <c r="N3062" s="167"/>
      <c r="O3062" s="169"/>
    </row>
    <row r="3063" spans="2:15" s="453" customFormat="1" ht="14" x14ac:dyDescent="0.2">
      <c r="B3063" s="293"/>
      <c r="D3063" s="581" t="s">
        <v>1586</v>
      </c>
      <c r="E3063" s="581"/>
      <c r="F3063" s="581"/>
      <c r="G3063" s="581"/>
      <c r="H3063" s="582"/>
      <c r="I3063" s="169"/>
      <c r="J3063" s="167"/>
      <c r="K3063" s="169"/>
      <c r="L3063" s="167"/>
      <c r="M3063" s="169"/>
      <c r="N3063" s="167"/>
      <c r="O3063" s="169"/>
    </row>
    <row r="3064" spans="2:15" s="453" customFormat="1" ht="14" x14ac:dyDescent="0.2">
      <c r="B3064" s="293"/>
      <c r="D3064" s="580" t="s">
        <v>1587</v>
      </c>
      <c r="E3064" s="580"/>
      <c r="F3064" s="580"/>
      <c r="G3064" s="580"/>
      <c r="H3064" s="580"/>
      <c r="I3064" s="169"/>
      <c r="J3064" s="167"/>
      <c r="K3064" s="169"/>
      <c r="L3064" s="167"/>
      <c r="M3064" s="169"/>
      <c r="N3064" s="167"/>
      <c r="O3064" s="169"/>
    </row>
    <row r="3065" spans="2:15" s="453" customFormat="1" ht="14" x14ac:dyDescent="0.2">
      <c r="B3065" s="291">
        <v>16</v>
      </c>
      <c r="C3065" s="602" t="s">
        <v>1378</v>
      </c>
      <c r="D3065" s="602"/>
      <c r="E3065" s="602"/>
      <c r="F3065" s="602"/>
      <c r="G3065" s="602"/>
      <c r="H3065" s="333"/>
      <c r="I3065" s="168" t="s">
        <v>211</v>
      </c>
      <c r="J3065" s="166" t="s">
        <v>211</v>
      </c>
      <c r="K3065" s="168" t="s">
        <v>211</v>
      </c>
      <c r="L3065" s="166" t="s">
        <v>211</v>
      </c>
      <c r="M3065" s="168" t="s">
        <v>211</v>
      </c>
      <c r="N3065" s="166" t="s">
        <v>211</v>
      </c>
      <c r="O3065" s="168" t="s">
        <v>211</v>
      </c>
    </row>
    <row r="3066" spans="2:15" s="453" customFormat="1" ht="14" x14ac:dyDescent="0.2">
      <c r="B3066" s="293"/>
      <c r="C3066" s="572" t="s">
        <v>1356</v>
      </c>
      <c r="D3066" s="572"/>
      <c r="E3066" s="572"/>
      <c r="F3066" s="572"/>
      <c r="G3066" s="572"/>
      <c r="H3066" s="334"/>
      <c r="I3066" s="168" t="s">
        <v>211</v>
      </c>
      <c r="J3066" s="166" t="s">
        <v>211</v>
      </c>
      <c r="K3066" s="168" t="s">
        <v>211</v>
      </c>
      <c r="L3066" s="166" t="s">
        <v>211</v>
      </c>
      <c r="M3066" s="168" t="s">
        <v>211</v>
      </c>
      <c r="N3066" s="166" t="s">
        <v>211</v>
      </c>
      <c r="O3066" s="168" t="s">
        <v>211</v>
      </c>
    </row>
    <row r="3067" spans="2:15" s="453" customFormat="1" ht="14" x14ac:dyDescent="0.2">
      <c r="B3067" s="293"/>
      <c r="C3067" s="572"/>
      <c r="D3067" s="572"/>
      <c r="E3067" s="572"/>
      <c r="F3067" s="572"/>
      <c r="G3067" s="572"/>
      <c r="H3067" s="322"/>
      <c r="I3067" s="169"/>
      <c r="J3067" s="167"/>
      <c r="K3067" s="169"/>
      <c r="L3067" s="167"/>
      <c r="M3067" s="169"/>
      <c r="N3067" s="167"/>
      <c r="O3067" s="169"/>
    </row>
    <row r="3068" spans="2:15" s="453" customFormat="1" ht="14" x14ac:dyDescent="0.2">
      <c r="B3068" s="293"/>
      <c r="C3068" s="573" t="s">
        <v>897</v>
      </c>
      <c r="D3068" s="573"/>
      <c r="E3068" s="573"/>
      <c r="F3068" s="573"/>
      <c r="G3068" s="573"/>
      <c r="H3068" s="334"/>
      <c r="I3068" s="168" t="s">
        <v>211</v>
      </c>
      <c r="J3068" s="166" t="s">
        <v>211</v>
      </c>
      <c r="K3068" s="168" t="s">
        <v>211</v>
      </c>
      <c r="L3068" s="166" t="s">
        <v>211</v>
      </c>
      <c r="M3068" s="168" t="s">
        <v>211</v>
      </c>
      <c r="N3068" s="166" t="s">
        <v>211</v>
      </c>
      <c r="O3068" s="168" t="s">
        <v>211</v>
      </c>
    </row>
    <row r="3069" spans="2:15" s="453" customFormat="1" ht="14" x14ac:dyDescent="0.2">
      <c r="B3069" s="293"/>
      <c r="C3069" s="572" t="s">
        <v>1379</v>
      </c>
      <c r="D3069" s="572"/>
      <c r="E3069" s="572"/>
      <c r="F3069" s="572"/>
      <c r="G3069" s="572"/>
      <c r="H3069" s="334"/>
      <c r="I3069" s="168" t="s">
        <v>211</v>
      </c>
      <c r="J3069" s="166" t="s">
        <v>211</v>
      </c>
      <c r="K3069" s="168" t="s">
        <v>211</v>
      </c>
      <c r="L3069" s="166" t="s">
        <v>211</v>
      </c>
      <c r="M3069" s="168" t="s">
        <v>211</v>
      </c>
      <c r="N3069" s="166" t="s">
        <v>211</v>
      </c>
      <c r="O3069" s="168" t="s">
        <v>211</v>
      </c>
    </row>
    <row r="3070" spans="2:15" s="453" customFormat="1" ht="14" x14ac:dyDescent="0.2">
      <c r="B3070" s="293"/>
      <c r="C3070" s="572"/>
      <c r="D3070" s="572"/>
      <c r="E3070" s="572"/>
      <c r="F3070" s="572"/>
      <c r="G3070" s="572"/>
      <c r="H3070" s="322"/>
      <c r="I3070" s="169"/>
      <c r="J3070" s="167"/>
      <c r="K3070" s="169"/>
      <c r="L3070" s="167"/>
      <c r="M3070" s="169"/>
      <c r="N3070" s="167"/>
      <c r="O3070" s="169"/>
    </row>
    <row r="3071" spans="2:15" s="453" customFormat="1" ht="14" x14ac:dyDescent="0.2">
      <c r="B3071" s="293"/>
      <c r="F3071" s="770" t="s">
        <v>1039</v>
      </c>
      <c r="G3071" s="770"/>
      <c r="H3071" s="811"/>
      <c r="I3071" s="169"/>
      <c r="J3071" s="167"/>
      <c r="K3071" s="169"/>
      <c r="L3071" s="167"/>
      <c r="M3071" s="169"/>
      <c r="N3071" s="167"/>
      <c r="O3071" s="169"/>
    </row>
    <row r="3072" spans="2:15" s="453" customFormat="1" ht="14" x14ac:dyDescent="0.2">
      <c r="B3072" s="293"/>
      <c r="C3072" s="290"/>
      <c r="D3072" s="770" t="s">
        <v>1040</v>
      </c>
      <c r="E3072" s="770"/>
      <c r="F3072" s="770"/>
      <c r="G3072" s="770"/>
      <c r="H3072" s="811"/>
      <c r="I3072" s="169"/>
      <c r="J3072" s="167"/>
      <c r="K3072" s="169"/>
      <c r="L3072" s="167"/>
      <c r="M3072" s="169"/>
      <c r="N3072" s="167"/>
      <c r="O3072" s="169"/>
    </row>
    <row r="3073" spans="2:16" s="453" customFormat="1" ht="14" x14ac:dyDescent="0.2">
      <c r="B3073" s="293"/>
      <c r="C3073" s="290"/>
      <c r="D3073" s="290"/>
      <c r="E3073" s="290"/>
      <c r="F3073" s="593" t="s">
        <v>1041</v>
      </c>
      <c r="G3073" s="593"/>
      <c r="H3073" s="594"/>
      <c r="I3073" s="169"/>
      <c r="J3073" s="167"/>
      <c r="K3073" s="169"/>
      <c r="L3073" s="167"/>
      <c r="M3073" s="169"/>
      <c r="N3073" s="167"/>
      <c r="O3073" s="169"/>
    </row>
    <row r="3074" spans="2:16" s="453" customFormat="1" ht="14" x14ac:dyDescent="0.2">
      <c r="B3074" s="302"/>
      <c r="C3074" s="398"/>
      <c r="D3074" s="398"/>
      <c r="E3074" s="398"/>
      <c r="F3074" s="613" t="s">
        <v>604</v>
      </c>
      <c r="G3074" s="613"/>
      <c r="H3074" s="613"/>
      <c r="I3074" s="169"/>
      <c r="J3074" s="167"/>
      <c r="K3074" s="169"/>
      <c r="L3074" s="167"/>
      <c r="M3074" s="169"/>
      <c r="N3074" s="167"/>
      <c r="O3074" s="169"/>
    </row>
    <row r="3075" spans="2:16" s="453" customFormat="1" ht="14" x14ac:dyDescent="0.2">
      <c r="B3075" s="291">
        <v>17</v>
      </c>
      <c r="C3075" s="602" t="s">
        <v>1380</v>
      </c>
      <c r="D3075" s="602"/>
      <c r="E3075" s="602"/>
      <c r="F3075" s="602"/>
      <c r="G3075" s="602"/>
      <c r="H3075" s="333"/>
      <c r="I3075" s="168" t="s">
        <v>211</v>
      </c>
      <c r="J3075" s="166" t="s">
        <v>211</v>
      </c>
      <c r="K3075" s="168" t="s">
        <v>211</v>
      </c>
      <c r="L3075" s="166" t="s">
        <v>211</v>
      </c>
      <c r="M3075" s="168" t="s">
        <v>211</v>
      </c>
      <c r="N3075" s="166" t="s">
        <v>211</v>
      </c>
      <c r="O3075" s="168" t="s">
        <v>211</v>
      </c>
      <c r="P3075" s="255"/>
    </row>
    <row r="3076" spans="2:16" s="453" customFormat="1" ht="14" x14ac:dyDescent="0.2">
      <c r="B3076" s="293"/>
      <c r="C3076" s="572"/>
      <c r="D3076" s="572"/>
      <c r="E3076" s="572"/>
      <c r="F3076" s="572"/>
      <c r="G3076" s="572"/>
      <c r="H3076" s="322"/>
      <c r="I3076" s="172">
        <f>COUNTIF(I2907:I3075,Data!$A$1)</f>
        <v>0</v>
      </c>
      <c r="J3076" s="203">
        <f>COUNTIF(J2907:J3075,Data!$A$1)</f>
        <v>0</v>
      </c>
      <c r="K3076" s="172">
        <f>COUNTIF(K2907:K3075,Data!$A$1)</f>
        <v>0</v>
      </c>
      <c r="L3076" s="203">
        <f>COUNTIF(L2907:L3075,Data!$A$1)</f>
        <v>0</v>
      </c>
      <c r="M3076" s="172">
        <f>COUNTIF(M2907:M3075,Data!$A$1)</f>
        <v>0</v>
      </c>
      <c r="N3076" s="203">
        <f>COUNTIF(N2907:N3075,Data!$A$1)</f>
        <v>0</v>
      </c>
      <c r="O3076" s="172">
        <f>COUNTIF(O2907:O3075,Data!$A$1)</f>
        <v>0</v>
      </c>
      <c r="P3076" s="107">
        <f>SUM(I3076:K3076,M3076:N3076)</f>
        <v>0</v>
      </c>
    </row>
    <row r="3077" spans="2:16" s="453" customFormat="1" ht="14" x14ac:dyDescent="0.2">
      <c r="B3077" s="295" t="s">
        <v>333</v>
      </c>
      <c r="C3077" s="597" t="s">
        <v>1381</v>
      </c>
      <c r="D3077" s="597"/>
      <c r="E3077" s="597"/>
      <c r="F3077" s="597"/>
      <c r="G3077" s="597"/>
      <c r="H3077" s="322"/>
      <c r="I3077" s="172">
        <f>SUM(I3076*5)</f>
        <v>0</v>
      </c>
      <c r="J3077" s="202"/>
      <c r="K3077" s="172">
        <f>SUM(K3076*4)</f>
        <v>0</v>
      </c>
      <c r="L3077" s="202"/>
      <c r="M3077" s="172">
        <f>SUM(M3076*5)</f>
        <v>0</v>
      </c>
      <c r="N3077" s="202">
        <f>SUM(N3076*5)</f>
        <v>0</v>
      </c>
      <c r="O3077" s="172">
        <f>SUM(I3077:N3077)</f>
        <v>0</v>
      </c>
      <c r="P3077" s="107">
        <f>SUM(P3076*5)</f>
        <v>0</v>
      </c>
    </row>
    <row r="3078" spans="2:16" s="453" customFormat="1" ht="14" x14ac:dyDescent="0.2">
      <c r="B3078" s="295"/>
      <c r="C3078" s="597"/>
      <c r="D3078" s="597"/>
      <c r="E3078" s="597"/>
      <c r="F3078" s="597"/>
      <c r="G3078" s="597"/>
      <c r="H3078" s="322"/>
      <c r="I3078" s="169"/>
      <c r="J3078" s="167"/>
      <c r="K3078" s="169"/>
      <c r="L3078" s="167"/>
      <c r="M3078" s="169"/>
      <c r="N3078" s="167"/>
      <c r="O3078" s="169"/>
    </row>
    <row r="3079" spans="2:16" s="453" customFormat="1" ht="14" x14ac:dyDescent="0.2">
      <c r="B3079" s="293"/>
      <c r="F3079" s="586" t="s">
        <v>1036</v>
      </c>
      <c r="G3079" s="586"/>
      <c r="H3079" s="592"/>
      <c r="I3079" s="169"/>
      <c r="J3079" s="167"/>
      <c r="K3079" s="169"/>
      <c r="L3079" s="167"/>
      <c r="M3079" s="169"/>
      <c r="N3079" s="167"/>
      <c r="O3079" s="169"/>
    </row>
    <row r="3080" spans="2:16" s="453" customFormat="1" ht="14" x14ac:dyDescent="0.2">
      <c r="B3080" s="293"/>
      <c r="F3080" s="593" t="s">
        <v>776</v>
      </c>
      <c r="G3080" s="593"/>
      <c r="H3080" s="594"/>
      <c r="I3080" s="169"/>
      <c r="J3080" s="167"/>
      <c r="K3080" s="169"/>
      <c r="L3080" s="167"/>
      <c r="M3080" s="169"/>
      <c r="N3080" s="167"/>
      <c r="O3080" s="169"/>
    </row>
    <row r="3081" spans="2:16" s="453" customFormat="1" ht="14" x14ac:dyDescent="0.2">
      <c r="B3081" s="302"/>
      <c r="C3081" s="303"/>
      <c r="D3081" s="303"/>
      <c r="E3081" s="303"/>
      <c r="F3081" s="599" t="s">
        <v>1382</v>
      </c>
      <c r="G3081" s="599"/>
      <c r="H3081" s="599"/>
      <c r="I3081" s="169"/>
      <c r="J3081" s="167"/>
      <c r="K3081" s="169"/>
      <c r="L3081" s="167"/>
      <c r="M3081" s="169"/>
      <c r="N3081" s="167"/>
      <c r="O3081" s="169"/>
    </row>
    <row r="3082" spans="2:16" s="453" customFormat="1" ht="14" x14ac:dyDescent="0.2">
      <c r="B3082" s="900" t="s">
        <v>901</v>
      </c>
      <c r="C3082" s="900"/>
      <c r="D3082" s="900"/>
      <c r="E3082" s="377"/>
      <c r="F3082" s="377"/>
      <c r="G3082" s="377"/>
      <c r="H3082" s="377"/>
      <c r="I3082" s="169"/>
      <c r="J3082" s="167"/>
      <c r="K3082" s="169"/>
      <c r="L3082" s="167"/>
      <c r="M3082" s="169"/>
      <c r="N3082" s="167"/>
      <c r="O3082" s="169"/>
    </row>
    <row r="3083" spans="2:16" s="453" customFormat="1" ht="14" x14ac:dyDescent="0.2">
      <c r="B3083" s="291"/>
      <c r="C3083" s="801" t="s">
        <v>902</v>
      </c>
      <c r="D3083" s="801"/>
      <c r="E3083" s="801"/>
      <c r="F3083" s="801"/>
      <c r="G3083" s="801"/>
      <c r="H3083" s="333"/>
      <c r="I3083" s="168" t="s">
        <v>211</v>
      </c>
      <c r="J3083" s="166" t="s">
        <v>211</v>
      </c>
      <c r="K3083" s="168" t="s">
        <v>211</v>
      </c>
      <c r="L3083" s="166" t="s">
        <v>211</v>
      </c>
      <c r="M3083" s="168" t="s">
        <v>211</v>
      </c>
      <c r="N3083" s="166" t="s">
        <v>211</v>
      </c>
      <c r="O3083" s="168" t="s">
        <v>211</v>
      </c>
    </row>
    <row r="3084" spans="2:16" s="453" customFormat="1" ht="14" x14ac:dyDescent="0.2">
      <c r="B3084" s="293"/>
      <c r="C3084" s="827"/>
      <c r="D3084" s="827"/>
      <c r="E3084" s="827"/>
      <c r="F3084" s="827"/>
      <c r="G3084" s="827"/>
      <c r="H3084" s="322"/>
      <c r="I3084" s="172">
        <f>COUNTIF(I3083,Data!$A$1)</f>
        <v>0</v>
      </c>
      <c r="J3084" s="203">
        <f>COUNTIF(J3083,Data!$A$1)</f>
        <v>0</v>
      </c>
      <c r="K3084" s="172">
        <f>COUNTIF(K3083,Data!$A$1)</f>
        <v>0</v>
      </c>
      <c r="L3084" s="203">
        <f>COUNTIF(L3083,Data!$A$1)</f>
        <v>0</v>
      </c>
      <c r="M3084" s="172">
        <f>COUNTIF(M3083,Data!$A$1)</f>
        <v>0</v>
      </c>
      <c r="N3084" s="203">
        <f>COUNTIF(N3083,Data!$A$1)</f>
        <v>0</v>
      </c>
      <c r="O3084" s="172">
        <f>COUNTIF(O3083,Data!$A$1)</f>
        <v>0</v>
      </c>
      <c r="P3084" s="107">
        <f>SUM(I3084:K3084,M3084:N3084)</f>
        <v>0</v>
      </c>
    </row>
    <row r="3085" spans="2:16" s="453" customFormat="1" ht="14" x14ac:dyDescent="0.2">
      <c r="B3085" s="293"/>
      <c r="C3085" s="573" t="s">
        <v>1327</v>
      </c>
      <c r="D3085" s="573"/>
      <c r="E3085" s="573"/>
      <c r="F3085" s="573"/>
      <c r="G3085" s="573"/>
      <c r="H3085" s="322"/>
      <c r="I3085" s="172">
        <f>SUM(I3084*15)</f>
        <v>0</v>
      </c>
      <c r="J3085" s="208"/>
      <c r="K3085" s="172">
        <f>SUM(K3084*10)</f>
        <v>0</v>
      </c>
      <c r="L3085" s="208"/>
      <c r="M3085" s="172">
        <f>SUM(M3084*15)</f>
        <v>0</v>
      </c>
      <c r="N3085" s="208">
        <f>SUM(N3084*15)</f>
        <v>0</v>
      </c>
      <c r="O3085" s="172">
        <f>SUM(I3085:N3085)</f>
        <v>0</v>
      </c>
      <c r="P3085" s="107">
        <f>SUM(P3084*15)</f>
        <v>0</v>
      </c>
    </row>
    <row r="3086" spans="2:16" s="453" customFormat="1" ht="14" x14ac:dyDescent="0.2">
      <c r="B3086" s="295" t="s">
        <v>333</v>
      </c>
      <c r="C3086" s="597" t="s">
        <v>1359</v>
      </c>
      <c r="D3086" s="597"/>
      <c r="E3086" s="597"/>
      <c r="F3086" s="597"/>
      <c r="G3086" s="597"/>
      <c r="H3086" s="322"/>
      <c r="I3086" s="169"/>
      <c r="J3086" s="173"/>
      <c r="K3086" s="169"/>
      <c r="L3086" s="173"/>
      <c r="M3086" s="169"/>
      <c r="N3086" s="173"/>
      <c r="O3086" s="169"/>
    </row>
    <row r="3087" spans="2:16" s="453" customFormat="1" ht="14" x14ac:dyDescent="0.2">
      <c r="B3087" s="295"/>
      <c r="C3087" s="597"/>
      <c r="D3087" s="597"/>
      <c r="E3087" s="597"/>
      <c r="F3087" s="597"/>
      <c r="G3087" s="597"/>
      <c r="H3087" s="322"/>
      <c r="I3087" s="169"/>
      <c r="J3087" s="167"/>
      <c r="K3087" s="169"/>
      <c r="L3087" s="167"/>
      <c r="M3087" s="169"/>
      <c r="N3087" s="167"/>
      <c r="O3087" s="169"/>
    </row>
    <row r="3088" spans="2:16" s="453" customFormat="1" ht="14" x14ac:dyDescent="0.2">
      <c r="B3088" s="295"/>
      <c r="C3088" s="597"/>
      <c r="D3088" s="597"/>
      <c r="E3088" s="597"/>
      <c r="F3088" s="597"/>
      <c r="G3088" s="597"/>
      <c r="H3088" s="322"/>
      <c r="I3088" s="169"/>
      <c r="J3088" s="167"/>
      <c r="K3088" s="169"/>
      <c r="L3088" s="167"/>
      <c r="M3088" s="169"/>
      <c r="N3088" s="167"/>
      <c r="O3088" s="169"/>
    </row>
    <row r="3089" spans="2:15" s="453" customFormat="1" ht="14" x14ac:dyDescent="0.2">
      <c r="B3089" s="302"/>
      <c r="C3089" s="303"/>
      <c r="D3089" s="303"/>
      <c r="E3089" s="303"/>
      <c r="F3089" s="580" t="s">
        <v>1045</v>
      </c>
      <c r="G3089" s="580"/>
      <c r="H3089" s="580"/>
      <c r="I3089" s="169"/>
      <c r="J3089" s="167"/>
      <c r="K3089" s="169"/>
      <c r="L3089" s="167"/>
      <c r="M3089" s="169"/>
      <c r="N3089" s="167"/>
      <c r="O3089" s="169"/>
    </row>
    <row r="3090" spans="2:15" s="453" customFormat="1" ht="14" x14ac:dyDescent="0.2">
      <c r="B3090" s="112"/>
      <c r="I3090" s="135"/>
      <c r="J3090" s="105"/>
      <c r="K3090" s="135"/>
      <c r="L3090" s="105"/>
      <c r="M3090" s="135"/>
      <c r="N3090" s="105"/>
      <c r="O3090" s="135"/>
    </row>
    <row r="3091" spans="2:15" s="453" customFormat="1" ht="14" x14ac:dyDescent="0.2">
      <c r="B3091" s="399" t="s">
        <v>1385</v>
      </c>
      <c r="C3091" s="400"/>
      <c r="D3091" s="400"/>
      <c r="E3091" s="401"/>
      <c r="F3091" s="401"/>
      <c r="G3091" s="401"/>
      <c r="H3091" s="402"/>
      <c r="I3091" s="135"/>
      <c r="J3091" s="105"/>
      <c r="K3091" s="135"/>
      <c r="L3091" s="105"/>
      <c r="M3091" s="135"/>
      <c r="N3091" s="105"/>
      <c r="O3091" s="135"/>
    </row>
    <row r="3092" spans="2:15" s="453" customFormat="1" ht="14" x14ac:dyDescent="0.2">
      <c r="B3092" s="291">
        <v>1</v>
      </c>
      <c r="C3092" s="598" t="s">
        <v>1386</v>
      </c>
      <c r="D3092" s="598"/>
      <c r="E3092" s="598"/>
      <c r="F3092" s="598"/>
      <c r="G3092" s="598"/>
      <c r="H3092" s="292"/>
      <c r="I3092" s="168" t="s">
        <v>211</v>
      </c>
      <c r="J3092" s="166" t="s">
        <v>211</v>
      </c>
      <c r="K3092" s="168" t="s">
        <v>211</v>
      </c>
      <c r="L3092" s="166" t="s">
        <v>211</v>
      </c>
      <c r="M3092" s="168" t="s">
        <v>211</v>
      </c>
      <c r="N3092" s="166" t="s">
        <v>211</v>
      </c>
      <c r="O3092" s="168" t="s">
        <v>211</v>
      </c>
    </row>
    <row r="3093" spans="2:15" s="453" customFormat="1" ht="14" x14ac:dyDescent="0.2">
      <c r="B3093" s="293"/>
      <c r="C3093" s="572" t="s">
        <v>1387</v>
      </c>
      <c r="D3093" s="572"/>
      <c r="E3093" s="572"/>
      <c r="F3093" s="572"/>
      <c r="G3093" s="572"/>
      <c r="H3093" s="296"/>
      <c r="I3093" s="168" t="s">
        <v>211</v>
      </c>
      <c r="J3093" s="166" t="s">
        <v>211</v>
      </c>
      <c r="K3093" s="168" t="s">
        <v>211</v>
      </c>
      <c r="L3093" s="166" t="s">
        <v>211</v>
      </c>
      <c r="M3093" s="168" t="s">
        <v>211</v>
      </c>
      <c r="N3093" s="166" t="s">
        <v>211</v>
      </c>
      <c r="O3093" s="168" t="s">
        <v>211</v>
      </c>
    </row>
    <row r="3094" spans="2:15" s="453" customFormat="1" ht="14" x14ac:dyDescent="0.2">
      <c r="B3094" s="320"/>
      <c r="C3094" s="572"/>
      <c r="D3094" s="572"/>
      <c r="E3094" s="572"/>
      <c r="F3094" s="572"/>
      <c r="G3094" s="572"/>
      <c r="H3094" s="294"/>
      <c r="I3094" s="169"/>
      <c r="J3094" s="171"/>
      <c r="K3094" s="169"/>
      <c r="L3094" s="171"/>
      <c r="M3094" s="169"/>
      <c r="N3094" s="171"/>
      <c r="O3094" s="169"/>
    </row>
    <row r="3095" spans="2:15" s="453" customFormat="1" ht="14" x14ac:dyDescent="0.2">
      <c r="B3095" s="302"/>
      <c r="C3095" s="303"/>
      <c r="D3095" s="303"/>
      <c r="E3095" s="303"/>
      <c r="F3095" s="580" t="s">
        <v>920</v>
      </c>
      <c r="G3095" s="580"/>
      <c r="H3095" s="585"/>
      <c r="I3095" s="169"/>
      <c r="J3095" s="167"/>
      <c r="K3095" s="169"/>
      <c r="L3095" s="167"/>
      <c r="M3095" s="169"/>
      <c r="N3095" s="167"/>
      <c r="O3095" s="169"/>
    </row>
    <row r="3096" spans="2:15" s="453" customFormat="1" ht="14" x14ac:dyDescent="0.2">
      <c r="B3096" s="291">
        <v>2</v>
      </c>
      <c r="C3096" s="600" t="s">
        <v>1390</v>
      </c>
      <c r="D3096" s="600"/>
      <c r="E3096" s="600"/>
      <c r="F3096" s="600"/>
      <c r="G3096" s="600"/>
      <c r="H3096" s="162"/>
      <c r="I3096" s="169"/>
      <c r="J3096" s="167"/>
      <c r="K3096" s="169"/>
      <c r="L3096" s="167"/>
      <c r="M3096" s="169"/>
      <c r="N3096" s="167"/>
      <c r="O3096" s="169"/>
    </row>
    <row r="3097" spans="2:15" s="453" customFormat="1" ht="14" x14ac:dyDescent="0.2">
      <c r="B3097" s="320"/>
      <c r="C3097" s="597"/>
      <c r="D3097" s="597"/>
      <c r="E3097" s="597"/>
      <c r="F3097" s="597"/>
      <c r="G3097" s="597"/>
      <c r="H3097" s="294"/>
      <c r="I3097" s="169"/>
      <c r="J3097" s="171"/>
      <c r="K3097" s="169"/>
      <c r="L3097" s="171"/>
      <c r="M3097" s="169"/>
      <c r="N3097" s="171"/>
      <c r="O3097" s="169"/>
    </row>
    <row r="3098" spans="2:15" s="453" customFormat="1" ht="14" x14ac:dyDescent="0.2">
      <c r="B3098" s="293"/>
      <c r="F3098" s="586" t="s">
        <v>1391</v>
      </c>
      <c r="G3098" s="586"/>
      <c r="H3098" s="587"/>
      <c r="I3098" s="169"/>
      <c r="J3098" s="167"/>
      <c r="K3098" s="169"/>
      <c r="L3098" s="167"/>
      <c r="M3098" s="169"/>
      <c r="N3098" s="167"/>
      <c r="O3098" s="169"/>
    </row>
    <row r="3099" spans="2:15" s="453" customFormat="1" ht="14" x14ac:dyDescent="0.2">
      <c r="B3099" s="293"/>
      <c r="F3099" s="586" t="s">
        <v>1392</v>
      </c>
      <c r="G3099" s="586"/>
      <c r="H3099" s="587"/>
      <c r="I3099" s="169"/>
      <c r="J3099" s="167"/>
      <c r="K3099" s="169"/>
      <c r="L3099" s="167"/>
      <c r="M3099" s="169"/>
      <c r="N3099" s="167"/>
      <c r="O3099" s="169"/>
    </row>
    <row r="3100" spans="2:15" s="453" customFormat="1" ht="14" x14ac:dyDescent="0.2">
      <c r="B3100" s="302"/>
      <c r="C3100" s="303"/>
      <c r="D3100" s="303"/>
      <c r="E3100" s="303"/>
      <c r="F3100" s="599" t="s">
        <v>1393</v>
      </c>
      <c r="G3100" s="599"/>
      <c r="H3100" s="615"/>
      <c r="I3100" s="169"/>
      <c r="J3100" s="167"/>
      <c r="K3100" s="169"/>
      <c r="L3100" s="167"/>
      <c r="M3100" s="169"/>
      <c r="N3100" s="167"/>
      <c r="O3100" s="169"/>
    </row>
    <row r="3101" spans="2:15" s="453" customFormat="1" ht="14" x14ac:dyDescent="0.2">
      <c r="B3101" s="291">
        <v>3</v>
      </c>
      <c r="C3101" s="602" t="s">
        <v>1394</v>
      </c>
      <c r="D3101" s="602"/>
      <c r="E3101" s="602"/>
      <c r="F3101" s="602"/>
      <c r="G3101" s="602"/>
      <c r="H3101" s="292"/>
      <c r="I3101" s="168" t="s">
        <v>211</v>
      </c>
      <c r="J3101" s="166" t="s">
        <v>211</v>
      </c>
      <c r="K3101" s="168" t="s">
        <v>211</v>
      </c>
      <c r="L3101" s="166" t="s">
        <v>211</v>
      </c>
      <c r="M3101" s="168" t="s">
        <v>211</v>
      </c>
      <c r="N3101" s="166" t="s">
        <v>211</v>
      </c>
      <c r="O3101" s="168" t="s">
        <v>211</v>
      </c>
    </row>
    <row r="3102" spans="2:15" s="453" customFormat="1" ht="14" x14ac:dyDescent="0.2">
      <c r="B3102" s="293"/>
      <c r="C3102" s="572"/>
      <c r="D3102" s="572"/>
      <c r="E3102" s="572"/>
      <c r="F3102" s="572"/>
      <c r="G3102" s="572"/>
      <c r="H3102" s="294"/>
      <c r="I3102" s="169"/>
      <c r="J3102" s="167"/>
      <c r="K3102" s="169"/>
      <c r="L3102" s="167"/>
      <c r="M3102" s="169"/>
      <c r="N3102" s="167"/>
      <c r="O3102" s="169"/>
    </row>
    <row r="3103" spans="2:15" s="453" customFormat="1" ht="14" x14ac:dyDescent="0.2">
      <c r="B3103" s="293"/>
      <c r="C3103" s="573" t="s">
        <v>1395</v>
      </c>
      <c r="D3103" s="573"/>
      <c r="E3103" s="573"/>
      <c r="F3103" s="573"/>
      <c r="G3103" s="573"/>
      <c r="H3103" s="296"/>
      <c r="I3103" s="168" t="s">
        <v>211</v>
      </c>
      <c r="J3103" s="166" t="s">
        <v>211</v>
      </c>
      <c r="K3103" s="168" t="s">
        <v>211</v>
      </c>
      <c r="L3103" s="166" t="s">
        <v>211</v>
      </c>
      <c r="M3103" s="168" t="s">
        <v>211</v>
      </c>
      <c r="N3103" s="166" t="s">
        <v>211</v>
      </c>
      <c r="O3103" s="168" t="s">
        <v>211</v>
      </c>
    </row>
    <row r="3104" spans="2:15" s="453" customFormat="1" ht="14" x14ac:dyDescent="0.2">
      <c r="B3104" s="293"/>
      <c r="F3104" s="586" t="s">
        <v>635</v>
      </c>
      <c r="G3104" s="586"/>
      <c r="H3104" s="587"/>
      <c r="I3104" s="169"/>
      <c r="J3104" s="167"/>
      <c r="K3104" s="169"/>
      <c r="L3104" s="167"/>
      <c r="M3104" s="169"/>
      <c r="N3104" s="167"/>
      <c r="O3104" s="169"/>
    </row>
    <row r="3105" spans="2:15" s="453" customFormat="1" ht="14" x14ac:dyDescent="0.2">
      <c r="B3105" s="302"/>
      <c r="C3105" s="303"/>
      <c r="D3105" s="303"/>
      <c r="E3105" s="599" t="s">
        <v>1396</v>
      </c>
      <c r="F3105" s="599"/>
      <c r="G3105" s="599"/>
      <c r="H3105" s="615"/>
      <c r="I3105" s="169"/>
      <c r="J3105" s="167"/>
      <c r="K3105" s="169"/>
      <c r="L3105" s="167"/>
      <c r="M3105" s="169"/>
      <c r="N3105" s="167"/>
      <c r="O3105" s="169"/>
    </row>
    <row r="3106" spans="2:15" s="453" customFormat="1" ht="14" x14ac:dyDescent="0.2">
      <c r="B3106" s="291">
        <v>4</v>
      </c>
      <c r="C3106" s="602" t="s">
        <v>1397</v>
      </c>
      <c r="D3106" s="602"/>
      <c r="E3106" s="602"/>
      <c r="F3106" s="602"/>
      <c r="G3106" s="602"/>
      <c r="H3106" s="292"/>
      <c r="I3106" s="168" t="s">
        <v>211</v>
      </c>
      <c r="J3106" s="166" t="s">
        <v>211</v>
      </c>
      <c r="K3106" s="168" t="s">
        <v>211</v>
      </c>
      <c r="L3106" s="166" t="s">
        <v>211</v>
      </c>
      <c r="M3106" s="168" t="s">
        <v>211</v>
      </c>
      <c r="N3106" s="166" t="s">
        <v>211</v>
      </c>
      <c r="O3106" s="168" t="s">
        <v>211</v>
      </c>
    </row>
    <row r="3107" spans="2:15" s="453" customFormat="1" ht="14" x14ac:dyDescent="0.2">
      <c r="B3107" s="293"/>
      <c r="C3107" s="572"/>
      <c r="D3107" s="572"/>
      <c r="E3107" s="572"/>
      <c r="F3107" s="572"/>
      <c r="G3107" s="572"/>
      <c r="H3107" s="294"/>
      <c r="I3107" s="169"/>
      <c r="J3107" s="167"/>
      <c r="K3107" s="169"/>
      <c r="L3107" s="167"/>
      <c r="M3107" s="169"/>
      <c r="N3107" s="167"/>
      <c r="O3107" s="169"/>
    </row>
    <row r="3108" spans="2:15" s="453" customFormat="1" ht="14" x14ac:dyDescent="0.2">
      <c r="B3108" s="302"/>
      <c r="C3108" s="303"/>
      <c r="D3108" s="303"/>
      <c r="E3108" s="303"/>
      <c r="F3108" s="580" t="s">
        <v>1324</v>
      </c>
      <c r="G3108" s="580"/>
      <c r="H3108" s="585"/>
      <c r="I3108" s="169"/>
      <c r="J3108" s="167"/>
      <c r="K3108" s="169"/>
      <c r="L3108" s="167"/>
      <c r="M3108" s="169"/>
      <c r="N3108" s="167"/>
      <c r="O3108" s="169"/>
    </row>
    <row r="3109" spans="2:15" s="453" customFormat="1" ht="14" x14ac:dyDescent="0.2">
      <c r="B3109" s="291">
        <v>5</v>
      </c>
      <c r="C3109" s="602" t="s">
        <v>1403</v>
      </c>
      <c r="D3109" s="602"/>
      <c r="E3109" s="602"/>
      <c r="F3109" s="602"/>
      <c r="G3109" s="602"/>
      <c r="H3109" s="292"/>
      <c r="I3109" s="168" t="s">
        <v>211</v>
      </c>
      <c r="J3109" s="166" t="s">
        <v>211</v>
      </c>
      <c r="K3109" s="168" t="s">
        <v>211</v>
      </c>
      <c r="L3109" s="166" t="s">
        <v>211</v>
      </c>
      <c r="M3109" s="168" t="s">
        <v>211</v>
      </c>
      <c r="N3109" s="166" t="s">
        <v>211</v>
      </c>
      <c r="O3109" s="168" t="s">
        <v>211</v>
      </c>
    </row>
    <row r="3110" spans="2:15" s="453" customFormat="1" ht="14" x14ac:dyDescent="0.2">
      <c r="B3110" s="293"/>
      <c r="C3110" s="572"/>
      <c r="D3110" s="572"/>
      <c r="E3110" s="572"/>
      <c r="F3110" s="572"/>
      <c r="G3110" s="572"/>
      <c r="H3110" s="294"/>
      <c r="I3110" s="169"/>
      <c r="J3110" s="167"/>
      <c r="K3110" s="169"/>
      <c r="L3110" s="167"/>
      <c r="M3110" s="169"/>
      <c r="N3110" s="167"/>
      <c r="O3110" s="169"/>
    </row>
    <row r="3111" spans="2:15" s="453" customFormat="1" ht="14" x14ac:dyDescent="0.2">
      <c r="B3111" s="293"/>
      <c r="C3111" s="573" t="s">
        <v>1404</v>
      </c>
      <c r="D3111" s="573"/>
      <c r="E3111" s="573"/>
      <c r="F3111" s="573"/>
      <c r="G3111" s="573"/>
      <c r="H3111" s="296"/>
      <c r="I3111" s="168" t="s">
        <v>211</v>
      </c>
      <c r="J3111" s="166" t="s">
        <v>211</v>
      </c>
      <c r="K3111" s="168" t="s">
        <v>211</v>
      </c>
      <c r="L3111" s="166" t="s">
        <v>211</v>
      </c>
      <c r="M3111" s="168" t="s">
        <v>211</v>
      </c>
      <c r="N3111" s="166" t="s">
        <v>211</v>
      </c>
      <c r="O3111" s="168" t="s">
        <v>211</v>
      </c>
    </row>
    <row r="3112" spans="2:15" s="453" customFormat="1" ht="14" x14ac:dyDescent="0.2">
      <c r="B3112" s="293"/>
      <c r="F3112" s="586" t="s">
        <v>640</v>
      </c>
      <c r="G3112" s="586"/>
      <c r="H3112" s="587"/>
      <c r="I3112" s="169"/>
      <c r="J3112" s="167"/>
      <c r="K3112" s="169"/>
      <c r="L3112" s="167"/>
      <c r="M3112" s="169"/>
      <c r="N3112" s="167"/>
      <c r="O3112" s="169"/>
    </row>
    <row r="3113" spans="2:15" s="453" customFormat="1" ht="14" x14ac:dyDescent="0.2">
      <c r="B3113" s="302"/>
      <c r="C3113" s="303"/>
      <c r="D3113" s="303"/>
      <c r="E3113" s="303"/>
      <c r="F3113" s="599" t="s">
        <v>1407</v>
      </c>
      <c r="G3113" s="599"/>
      <c r="H3113" s="615"/>
      <c r="I3113" s="169"/>
      <c r="J3113" s="167"/>
      <c r="K3113" s="169"/>
      <c r="L3113" s="167"/>
      <c r="M3113" s="169"/>
      <c r="N3113" s="167"/>
      <c r="O3113" s="169"/>
    </row>
    <row r="3114" spans="2:15" s="453" customFormat="1" ht="14" x14ac:dyDescent="0.2">
      <c r="B3114" s="291">
        <v>6</v>
      </c>
      <c r="C3114" s="602" t="s">
        <v>1408</v>
      </c>
      <c r="D3114" s="602"/>
      <c r="E3114" s="602"/>
      <c r="F3114" s="602"/>
      <c r="G3114" s="602"/>
      <c r="H3114" s="292"/>
      <c r="I3114" s="168" t="s">
        <v>211</v>
      </c>
      <c r="J3114" s="166" t="s">
        <v>211</v>
      </c>
      <c r="K3114" s="168" t="s">
        <v>211</v>
      </c>
      <c r="L3114" s="166" t="s">
        <v>211</v>
      </c>
      <c r="M3114" s="168" t="s">
        <v>211</v>
      </c>
      <c r="N3114" s="166" t="s">
        <v>211</v>
      </c>
      <c r="O3114" s="168" t="s">
        <v>211</v>
      </c>
    </row>
    <row r="3115" spans="2:15" s="453" customFormat="1" ht="14" x14ac:dyDescent="0.2">
      <c r="B3115" s="293"/>
      <c r="C3115" s="572"/>
      <c r="D3115" s="572"/>
      <c r="E3115" s="572"/>
      <c r="F3115" s="572"/>
      <c r="G3115" s="572"/>
      <c r="H3115" s="294"/>
      <c r="I3115" s="169"/>
      <c r="J3115" s="167"/>
      <c r="K3115" s="169"/>
      <c r="L3115" s="167"/>
      <c r="M3115" s="169"/>
      <c r="N3115" s="167"/>
      <c r="O3115" s="169"/>
    </row>
    <row r="3116" spans="2:15" s="453" customFormat="1" ht="14" x14ac:dyDescent="0.2">
      <c r="B3116" s="293"/>
      <c r="C3116" s="573" t="s">
        <v>1409</v>
      </c>
      <c r="D3116" s="573"/>
      <c r="E3116" s="573"/>
      <c r="F3116" s="573"/>
      <c r="G3116" s="573"/>
      <c r="H3116" s="296"/>
      <c r="I3116" s="168" t="s">
        <v>211</v>
      </c>
      <c r="J3116" s="166" t="s">
        <v>211</v>
      </c>
      <c r="K3116" s="168" t="s">
        <v>211</v>
      </c>
      <c r="L3116" s="166" t="s">
        <v>211</v>
      </c>
      <c r="M3116" s="168" t="s">
        <v>211</v>
      </c>
      <c r="N3116" s="166" t="s">
        <v>211</v>
      </c>
      <c r="O3116" s="168" t="s">
        <v>211</v>
      </c>
    </row>
    <row r="3117" spans="2:15" s="453" customFormat="1" ht="14" x14ac:dyDescent="0.2">
      <c r="B3117" s="293"/>
      <c r="F3117" s="586" t="s">
        <v>756</v>
      </c>
      <c r="G3117" s="586"/>
      <c r="H3117" s="587"/>
      <c r="I3117" s="169"/>
      <c r="J3117" s="167"/>
      <c r="K3117" s="169"/>
      <c r="L3117" s="167"/>
      <c r="M3117" s="169"/>
      <c r="N3117" s="167"/>
      <c r="O3117" s="169"/>
    </row>
    <row r="3118" spans="2:15" s="453" customFormat="1" ht="14" x14ac:dyDescent="0.2">
      <c r="B3118" s="302"/>
      <c r="C3118" s="303"/>
      <c r="D3118" s="303"/>
      <c r="E3118" s="303"/>
      <c r="F3118" s="599" t="s">
        <v>1410</v>
      </c>
      <c r="G3118" s="599"/>
      <c r="H3118" s="615"/>
      <c r="I3118" s="169"/>
      <c r="J3118" s="167"/>
      <c r="K3118" s="169"/>
      <c r="L3118" s="167"/>
      <c r="M3118" s="169"/>
      <c r="N3118" s="167"/>
      <c r="O3118" s="169"/>
    </row>
    <row r="3119" spans="2:15" s="453" customFormat="1" ht="14" x14ac:dyDescent="0.2">
      <c r="B3119" s="291">
        <v>7</v>
      </c>
      <c r="C3119" s="602" t="s">
        <v>1411</v>
      </c>
      <c r="D3119" s="602"/>
      <c r="E3119" s="602"/>
      <c r="F3119" s="602"/>
      <c r="G3119" s="602"/>
      <c r="H3119" s="292"/>
      <c r="I3119" s="168" t="s">
        <v>211</v>
      </c>
      <c r="J3119" s="166" t="s">
        <v>211</v>
      </c>
      <c r="K3119" s="168" t="s">
        <v>211</v>
      </c>
      <c r="L3119" s="166" t="s">
        <v>211</v>
      </c>
      <c r="M3119" s="168" t="s">
        <v>211</v>
      </c>
      <c r="N3119" s="166" t="s">
        <v>211</v>
      </c>
      <c r="O3119" s="168" t="s">
        <v>211</v>
      </c>
    </row>
    <row r="3120" spans="2:15" s="453" customFormat="1" ht="14" x14ac:dyDescent="0.2">
      <c r="B3120" s="293"/>
      <c r="C3120" s="572"/>
      <c r="D3120" s="572"/>
      <c r="E3120" s="572"/>
      <c r="F3120" s="572"/>
      <c r="G3120" s="572"/>
      <c r="H3120" s="294"/>
      <c r="I3120" s="169"/>
      <c r="J3120" s="167"/>
      <c r="K3120" s="169"/>
      <c r="L3120" s="167"/>
      <c r="M3120" s="169"/>
      <c r="N3120" s="167"/>
      <c r="O3120" s="169"/>
    </row>
    <row r="3121" spans="2:15" s="453" customFormat="1" ht="14" x14ac:dyDescent="0.2">
      <c r="B3121" s="293"/>
      <c r="C3121" s="573" t="s">
        <v>1412</v>
      </c>
      <c r="D3121" s="573"/>
      <c r="E3121" s="573"/>
      <c r="F3121" s="573"/>
      <c r="G3121" s="573"/>
      <c r="H3121" s="296"/>
      <c r="I3121" s="168" t="s">
        <v>211</v>
      </c>
      <c r="J3121" s="166" t="s">
        <v>211</v>
      </c>
      <c r="K3121" s="168" t="s">
        <v>211</v>
      </c>
      <c r="L3121" s="166" t="s">
        <v>211</v>
      </c>
      <c r="M3121" s="168" t="s">
        <v>211</v>
      </c>
      <c r="N3121" s="166" t="s">
        <v>211</v>
      </c>
      <c r="O3121" s="168" t="s">
        <v>211</v>
      </c>
    </row>
    <row r="3122" spans="2:15" s="453" customFormat="1" ht="14" x14ac:dyDescent="0.2">
      <c r="B3122" s="293"/>
      <c r="F3122" s="586" t="s">
        <v>642</v>
      </c>
      <c r="G3122" s="586"/>
      <c r="H3122" s="587"/>
      <c r="I3122" s="169"/>
      <c r="J3122" s="167"/>
      <c r="K3122" s="169"/>
      <c r="L3122" s="167"/>
      <c r="M3122" s="169"/>
      <c r="N3122" s="167"/>
      <c r="O3122" s="169"/>
    </row>
    <row r="3123" spans="2:15" s="453" customFormat="1" ht="14" x14ac:dyDescent="0.2">
      <c r="B3123" s="302"/>
      <c r="C3123" s="303"/>
      <c r="D3123" s="303"/>
      <c r="E3123" s="303"/>
      <c r="F3123" s="599" t="s">
        <v>1413</v>
      </c>
      <c r="G3123" s="599"/>
      <c r="H3123" s="615"/>
      <c r="I3123" s="169"/>
      <c r="J3123" s="167"/>
      <c r="K3123" s="169"/>
      <c r="L3123" s="167"/>
      <c r="M3123" s="169"/>
      <c r="N3123" s="167"/>
      <c r="O3123" s="169"/>
    </row>
    <row r="3124" spans="2:15" s="453" customFormat="1" ht="14" x14ac:dyDescent="0.2">
      <c r="B3124" s="291">
        <v>8</v>
      </c>
      <c r="C3124" s="602" t="s">
        <v>1414</v>
      </c>
      <c r="D3124" s="602"/>
      <c r="E3124" s="602"/>
      <c r="F3124" s="602"/>
      <c r="G3124" s="602"/>
      <c r="H3124" s="292"/>
      <c r="I3124" s="168" t="s">
        <v>211</v>
      </c>
      <c r="J3124" s="166" t="s">
        <v>211</v>
      </c>
      <c r="K3124" s="168" t="s">
        <v>211</v>
      </c>
      <c r="L3124" s="166" t="s">
        <v>211</v>
      </c>
      <c r="M3124" s="168" t="s">
        <v>211</v>
      </c>
      <c r="N3124" s="166" t="s">
        <v>211</v>
      </c>
      <c r="O3124" s="168" t="s">
        <v>211</v>
      </c>
    </row>
    <row r="3125" spans="2:15" s="453" customFormat="1" ht="14" x14ac:dyDescent="0.2">
      <c r="B3125" s="293"/>
      <c r="C3125" s="572"/>
      <c r="D3125" s="572"/>
      <c r="E3125" s="572"/>
      <c r="F3125" s="572"/>
      <c r="G3125" s="572"/>
      <c r="H3125" s="294"/>
      <c r="I3125" s="169"/>
      <c r="J3125" s="167"/>
      <c r="K3125" s="169"/>
      <c r="L3125" s="167"/>
      <c r="M3125" s="169"/>
      <c r="N3125" s="167"/>
      <c r="O3125" s="169"/>
    </row>
    <row r="3126" spans="2:15" s="453" customFormat="1" ht="14" x14ac:dyDescent="0.2">
      <c r="B3126" s="293"/>
      <c r="C3126" s="573" t="s">
        <v>1415</v>
      </c>
      <c r="D3126" s="573"/>
      <c r="E3126" s="573"/>
      <c r="F3126" s="573"/>
      <c r="G3126" s="573"/>
      <c r="H3126" s="296"/>
      <c r="I3126" s="168" t="s">
        <v>211</v>
      </c>
      <c r="J3126" s="166" t="s">
        <v>211</v>
      </c>
      <c r="K3126" s="168" t="s">
        <v>211</v>
      </c>
      <c r="L3126" s="166" t="s">
        <v>211</v>
      </c>
      <c r="M3126" s="168" t="s">
        <v>211</v>
      </c>
      <c r="N3126" s="166" t="s">
        <v>211</v>
      </c>
      <c r="O3126" s="168" t="s">
        <v>211</v>
      </c>
    </row>
    <row r="3127" spans="2:15" s="453" customFormat="1" ht="14" x14ac:dyDescent="0.2">
      <c r="B3127" s="293"/>
      <c r="F3127" s="586" t="s">
        <v>1002</v>
      </c>
      <c r="G3127" s="586"/>
      <c r="H3127" s="587"/>
      <c r="I3127" s="169"/>
      <c r="J3127" s="167"/>
      <c r="K3127" s="169"/>
      <c r="L3127" s="167"/>
      <c r="M3127" s="169"/>
      <c r="N3127" s="167"/>
      <c r="O3127" s="169"/>
    </row>
    <row r="3128" spans="2:15" s="453" customFormat="1" ht="14" x14ac:dyDescent="0.2">
      <c r="B3128" s="302"/>
      <c r="C3128" s="303"/>
      <c r="D3128" s="303"/>
      <c r="E3128" s="303"/>
      <c r="F3128" s="599" t="s">
        <v>1416</v>
      </c>
      <c r="G3128" s="599"/>
      <c r="H3128" s="615"/>
      <c r="I3128" s="169"/>
      <c r="J3128" s="167"/>
      <c r="K3128" s="169"/>
      <c r="L3128" s="167"/>
      <c r="M3128" s="169"/>
      <c r="N3128" s="167"/>
      <c r="O3128" s="169"/>
    </row>
    <row r="3129" spans="2:15" s="453" customFormat="1" ht="12.75" customHeight="1" x14ac:dyDescent="0.2">
      <c r="B3129" s="291">
        <v>9</v>
      </c>
      <c r="C3129" s="602" t="s">
        <v>1417</v>
      </c>
      <c r="D3129" s="602"/>
      <c r="E3129" s="602"/>
      <c r="F3129" s="602"/>
      <c r="G3129" s="602"/>
      <c r="H3129" s="292"/>
      <c r="I3129" s="168" t="s">
        <v>211</v>
      </c>
      <c r="J3129" s="166" t="s">
        <v>211</v>
      </c>
      <c r="K3129" s="168" t="s">
        <v>211</v>
      </c>
      <c r="L3129" s="166" t="s">
        <v>211</v>
      </c>
      <c r="M3129" s="168" t="s">
        <v>211</v>
      </c>
      <c r="N3129" s="166" t="s">
        <v>211</v>
      </c>
      <c r="O3129" s="168" t="s">
        <v>211</v>
      </c>
    </row>
    <row r="3130" spans="2:15" s="453" customFormat="1" ht="14" x14ac:dyDescent="0.2">
      <c r="B3130" s="293"/>
      <c r="C3130" s="573" t="s">
        <v>1418</v>
      </c>
      <c r="D3130" s="573"/>
      <c r="E3130" s="573"/>
      <c r="F3130" s="573"/>
      <c r="G3130" s="573"/>
      <c r="H3130" s="296"/>
      <c r="I3130" s="168" t="s">
        <v>211</v>
      </c>
      <c r="J3130" s="166" t="s">
        <v>211</v>
      </c>
      <c r="K3130" s="168" t="s">
        <v>211</v>
      </c>
      <c r="L3130" s="166" t="s">
        <v>211</v>
      </c>
      <c r="M3130" s="168" t="s">
        <v>211</v>
      </c>
      <c r="N3130" s="166" t="s">
        <v>211</v>
      </c>
      <c r="O3130" s="168" t="s">
        <v>211</v>
      </c>
    </row>
    <row r="3131" spans="2:15" s="453" customFormat="1" ht="14" x14ac:dyDescent="0.2">
      <c r="B3131" s="295" t="s">
        <v>333</v>
      </c>
      <c r="C3131" s="591" t="s">
        <v>1419</v>
      </c>
      <c r="D3131" s="591"/>
      <c r="E3131" s="591"/>
      <c r="F3131" s="591"/>
      <c r="G3131" s="591"/>
      <c r="H3131" s="294"/>
      <c r="I3131" s="169"/>
      <c r="J3131" s="167"/>
      <c r="K3131" s="169"/>
      <c r="L3131" s="167"/>
      <c r="M3131" s="169"/>
      <c r="N3131" s="167"/>
      <c r="O3131" s="169"/>
    </row>
    <row r="3132" spans="2:15" s="453" customFormat="1" ht="14" x14ac:dyDescent="0.2">
      <c r="B3132" s="295"/>
      <c r="C3132" s="365"/>
      <c r="D3132" s="591" t="s">
        <v>1420</v>
      </c>
      <c r="E3132" s="591"/>
      <c r="F3132" s="591"/>
      <c r="G3132" s="591"/>
      <c r="H3132" s="294"/>
      <c r="I3132" s="169"/>
      <c r="J3132" s="167"/>
      <c r="K3132" s="169"/>
      <c r="L3132" s="167"/>
      <c r="M3132" s="169"/>
      <c r="N3132" s="167"/>
      <c r="O3132" s="169"/>
    </row>
    <row r="3133" spans="2:15" s="453" customFormat="1" ht="14" x14ac:dyDescent="0.2">
      <c r="B3133" s="295"/>
      <c r="C3133" s="365"/>
      <c r="D3133" s="591" t="s">
        <v>1421</v>
      </c>
      <c r="E3133" s="591"/>
      <c r="F3133" s="591"/>
      <c r="G3133" s="591"/>
      <c r="H3133" s="294"/>
      <c r="I3133" s="169"/>
      <c r="J3133" s="167"/>
      <c r="K3133" s="169"/>
      <c r="L3133" s="167"/>
      <c r="M3133" s="169"/>
      <c r="N3133" s="167"/>
      <c r="O3133" s="169"/>
    </row>
    <row r="3134" spans="2:15" s="453" customFormat="1" ht="14" x14ac:dyDescent="0.2">
      <c r="B3134" s="295"/>
      <c r="C3134" s="597" t="s">
        <v>1422</v>
      </c>
      <c r="D3134" s="597"/>
      <c r="E3134" s="597"/>
      <c r="F3134" s="597"/>
      <c r="G3134" s="597"/>
      <c r="H3134" s="294"/>
      <c r="I3134" s="169"/>
      <c r="J3134" s="167"/>
      <c r="K3134" s="169"/>
      <c r="L3134" s="167"/>
      <c r="M3134" s="169"/>
      <c r="N3134" s="167"/>
      <c r="O3134" s="169"/>
    </row>
    <row r="3135" spans="2:15" s="453" customFormat="1" ht="14" x14ac:dyDescent="0.2">
      <c r="B3135" s="295"/>
      <c r="C3135" s="597"/>
      <c r="D3135" s="597"/>
      <c r="E3135" s="597"/>
      <c r="F3135" s="597"/>
      <c r="G3135" s="597"/>
      <c r="H3135" s="294"/>
      <c r="I3135" s="169"/>
      <c r="J3135" s="167"/>
      <c r="K3135" s="169"/>
      <c r="L3135" s="167"/>
      <c r="M3135" s="169"/>
      <c r="N3135" s="167"/>
      <c r="O3135" s="169"/>
    </row>
    <row r="3136" spans="2:15" s="453" customFormat="1" ht="14" x14ac:dyDescent="0.2">
      <c r="B3136" s="295"/>
      <c r="C3136" s="597"/>
      <c r="D3136" s="597"/>
      <c r="E3136" s="597"/>
      <c r="F3136" s="597"/>
      <c r="G3136" s="597"/>
      <c r="H3136" s="294"/>
      <c r="I3136" s="169"/>
      <c r="J3136" s="167"/>
      <c r="K3136" s="169"/>
      <c r="L3136" s="167"/>
      <c r="M3136" s="169"/>
      <c r="N3136" s="167"/>
      <c r="O3136" s="169"/>
    </row>
    <row r="3137" spans="2:15" s="453" customFormat="1" ht="14" x14ac:dyDescent="0.2">
      <c r="B3137" s="295" t="s">
        <v>333</v>
      </c>
      <c r="C3137" s="591" t="s">
        <v>1928</v>
      </c>
      <c r="D3137" s="591"/>
      <c r="E3137" s="591"/>
      <c r="F3137" s="591"/>
      <c r="G3137" s="591"/>
      <c r="H3137" s="294"/>
      <c r="I3137" s="169"/>
      <c r="J3137" s="167"/>
      <c r="K3137" s="169"/>
      <c r="L3137" s="167"/>
      <c r="M3137" s="169"/>
      <c r="N3137" s="167"/>
      <c r="O3137" s="169"/>
    </row>
    <row r="3138" spans="2:15" s="453" customFormat="1" ht="14" x14ac:dyDescent="0.2">
      <c r="B3138" s="293"/>
      <c r="F3138" s="586" t="s">
        <v>765</v>
      </c>
      <c r="G3138" s="586"/>
      <c r="H3138" s="587"/>
      <c r="I3138" s="169"/>
      <c r="J3138" s="167"/>
      <c r="K3138" s="169"/>
      <c r="L3138" s="167"/>
      <c r="M3138" s="169"/>
      <c r="N3138" s="167"/>
      <c r="O3138" s="169"/>
    </row>
    <row r="3139" spans="2:15" s="453" customFormat="1" ht="14" x14ac:dyDescent="0.2">
      <c r="B3139" s="302"/>
      <c r="C3139" s="627" t="s">
        <v>1423</v>
      </c>
      <c r="D3139" s="627"/>
      <c r="E3139" s="627"/>
      <c r="F3139" s="627"/>
      <c r="G3139" s="627"/>
      <c r="H3139" s="341"/>
      <c r="I3139" s="168" t="s">
        <v>211</v>
      </c>
      <c r="J3139" s="166" t="s">
        <v>211</v>
      </c>
      <c r="K3139" s="168" t="s">
        <v>211</v>
      </c>
      <c r="L3139" s="166" t="s">
        <v>211</v>
      </c>
      <c r="M3139" s="168" t="s">
        <v>211</v>
      </c>
      <c r="N3139" s="166" t="s">
        <v>211</v>
      </c>
      <c r="O3139" s="168" t="s">
        <v>211</v>
      </c>
    </row>
    <row r="3140" spans="2:15" s="453" customFormat="1" ht="14" x14ac:dyDescent="0.2">
      <c r="B3140" s="291">
        <v>10</v>
      </c>
      <c r="C3140" s="600" t="s">
        <v>1424</v>
      </c>
      <c r="D3140" s="600"/>
      <c r="E3140" s="600"/>
      <c r="F3140" s="600"/>
      <c r="G3140" s="600"/>
      <c r="H3140" s="162"/>
      <c r="I3140" s="169"/>
      <c r="J3140" s="167"/>
      <c r="K3140" s="169"/>
      <c r="L3140" s="167"/>
      <c r="M3140" s="169"/>
      <c r="N3140" s="167"/>
      <c r="O3140" s="169"/>
    </row>
    <row r="3141" spans="2:15" s="453" customFormat="1" ht="14" x14ac:dyDescent="0.2">
      <c r="B3141" s="295"/>
      <c r="C3141" s="597"/>
      <c r="D3141" s="597"/>
      <c r="E3141" s="597"/>
      <c r="F3141" s="597"/>
      <c r="G3141" s="597"/>
      <c r="H3141" s="294"/>
      <c r="I3141" s="169"/>
      <c r="J3141" s="167"/>
      <c r="K3141" s="169"/>
      <c r="L3141" s="167"/>
      <c r="M3141" s="169"/>
      <c r="N3141" s="167"/>
      <c r="O3141" s="169"/>
    </row>
    <row r="3142" spans="2:15" s="453" customFormat="1" ht="14" x14ac:dyDescent="0.2">
      <c r="B3142" s="295"/>
      <c r="C3142" s="597"/>
      <c r="D3142" s="597"/>
      <c r="E3142" s="597"/>
      <c r="F3142" s="597"/>
      <c r="G3142" s="597"/>
      <c r="H3142" s="294"/>
      <c r="I3142" s="169"/>
      <c r="J3142" s="167"/>
      <c r="K3142" s="169"/>
      <c r="L3142" s="167"/>
      <c r="M3142" s="169"/>
      <c r="N3142" s="167"/>
      <c r="O3142" s="169"/>
    </row>
    <row r="3143" spans="2:15" s="453" customFormat="1" ht="14" x14ac:dyDescent="0.2">
      <c r="B3143" s="295"/>
      <c r="C3143" s="597"/>
      <c r="D3143" s="597"/>
      <c r="E3143" s="597"/>
      <c r="F3143" s="597"/>
      <c r="G3143" s="597"/>
      <c r="H3143" s="294"/>
      <c r="I3143" s="169"/>
      <c r="J3143" s="167"/>
      <c r="K3143" s="169"/>
      <c r="L3143" s="167"/>
      <c r="M3143" s="169"/>
      <c r="N3143" s="167"/>
      <c r="O3143" s="169"/>
    </row>
    <row r="3144" spans="2:15" s="453" customFormat="1" ht="14" x14ac:dyDescent="0.2">
      <c r="B3144" s="295" t="s">
        <v>333</v>
      </c>
      <c r="C3144" s="591" t="s">
        <v>1928</v>
      </c>
      <c r="D3144" s="591"/>
      <c r="E3144" s="591"/>
      <c r="F3144" s="591"/>
      <c r="G3144" s="591"/>
      <c r="H3144" s="294"/>
      <c r="I3144" s="169"/>
      <c r="J3144" s="167"/>
      <c r="K3144" s="169"/>
      <c r="L3144" s="167"/>
      <c r="M3144" s="169"/>
      <c r="N3144" s="167"/>
      <c r="O3144" s="169"/>
    </row>
    <row r="3145" spans="2:15" s="453" customFormat="1" ht="14" x14ac:dyDescent="0.2">
      <c r="B3145" s="293"/>
      <c r="F3145" s="586" t="s">
        <v>1079</v>
      </c>
      <c r="G3145" s="586"/>
      <c r="H3145" s="587"/>
      <c r="I3145" s="169"/>
      <c r="J3145" s="167"/>
      <c r="K3145" s="169"/>
      <c r="L3145" s="167"/>
      <c r="M3145" s="169"/>
      <c r="N3145" s="167"/>
      <c r="O3145" s="169"/>
    </row>
    <row r="3146" spans="2:15" s="453" customFormat="1" ht="14" x14ac:dyDescent="0.2">
      <c r="B3146" s="302"/>
      <c r="C3146" s="627" t="s">
        <v>1423</v>
      </c>
      <c r="D3146" s="627"/>
      <c r="E3146" s="627"/>
      <c r="F3146" s="627"/>
      <c r="G3146" s="627"/>
      <c r="H3146" s="341"/>
      <c r="I3146" s="168" t="s">
        <v>211</v>
      </c>
      <c r="J3146" s="166" t="s">
        <v>211</v>
      </c>
      <c r="K3146" s="168" t="s">
        <v>211</v>
      </c>
      <c r="L3146" s="166" t="s">
        <v>211</v>
      </c>
      <c r="M3146" s="168" t="s">
        <v>211</v>
      </c>
      <c r="N3146" s="166" t="s">
        <v>211</v>
      </c>
      <c r="O3146" s="168" t="s">
        <v>211</v>
      </c>
    </row>
    <row r="3147" spans="2:15" s="453" customFormat="1" ht="14" x14ac:dyDescent="0.2">
      <c r="B3147" s="291">
        <v>11</v>
      </c>
      <c r="C3147" s="600" t="s">
        <v>1425</v>
      </c>
      <c r="D3147" s="600"/>
      <c r="E3147" s="600"/>
      <c r="F3147" s="600"/>
      <c r="G3147" s="600"/>
      <c r="H3147" s="162"/>
      <c r="I3147" s="169"/>
      <c r="J3147" s="167"/>
      <c r="K3147" s="169"/>
      <c r="L3147" s="167"/>
      <c r="M3147" s="169"/>
      <c r="N3147" s="167"/>
      <c r="O3147" s="169"/>
    </row>
    <row r="3148" spans="2:15" s="453" customFormat="1" ht="14" x14ac:dyDescent="0.2">
      <c r="B3148" s="295"/>
      <c r="C3148" s="597"/>
      <c r="D3148" s="597"/>
      <c r="E3148" s="597"/>
      <c r="F3148" s="597"/>
      <c r="G3148" s="597"/>
      <c r="H3148" s="294"/>
      <c r="I3148" s="169"/>
      <c r="J3148" s="167"/>
      <c r="K3148" s="169"/>
      <c r="L3148" s="167"/>
      <c r="M3148" s="169"/>
      <c r="N3148" s="167"/>
      <c r="O3148" s="169"/>
    </row>
    <row r="3149" spans="2:15" s="453" customFormat="1" ht="14" x14ac:dyDescent="0.2">
      <c r="B3149" s="295"/>
      <c r="C3149" s="597"/>
      <c r="D3149" s="597"/>
      <c r="E3149" s="597"/>
      <c r="F3149" s="597"/>
      <c r="G3149" s="597"/>
      <c r="H3149" s="294"/>
      <c r="I3149" s="169"/>
      <c r="J3149" s="167"/>
      <c r="K3149" s="169"/>
      <c r="L3149" s="167"/>
      <c r="M3149" s="169"/>
      <c r="N3149" s="167"/>
      <c r="O3149" s="169"/>
    </row>
    <row r="3150" spans="2:15" s="453" customFormat="1" ht="14" x14ac:dyDescent="0.2">
      <c r="B3150" s="295"/>
      <c r="C3150" s="597"/>
      <c r="D3150" s="597"/>
      <c r="E3150" s="597"/>
      <c r="F3150" s="597"/>
      <c r="G3150" s="597"/>
      <c r="H3150" s="294"/>
      <c r="I3150" s="169"/>
      <c r="J3150" s="167"/>
      <c r="K3150" s="169"/>
      <c r="L3150" s="167"/>
      <c r="M3150" s="169"/>
      <c r="N3150" s="167"/>
      <c r="O3150" s="169"/>
    </row>
    <row r="3151" spans="2:15" s="453" customFormat="1" ht="14" x14ac:dyDescent="0.2">
      <c r="B3151" s="295" t="s">
        <v>333</v>
      </c>
      <c r="C3151" s="591" t="s">
        <v>1928</v>
      </c>
      <c r="D3151" s="591"/>
      <c r="E3151" s="591"/>
      <c r="F3151" s="591"/>
      <c r="G3151" s="591"/>
      <c r="H3151" s="294"/>
      <c r="I3151" s="169"/>
      <c r="J3151" s="167"/>
      <c r="K3151" s="169"/>
      <c r="L3151" s="167"/>
      <c r="M3151" s="169"/>
      <c r="N3151" s="167"/>
      <c r="O3151" s="169"/>
    </row>
    <row r="3152" spans="2:15" s="453" customFormat="1" ht="14" x14ac:dyDescent="0.2">
      <c r="B3152" s="293"/>
      <c r="F3152" s="586" t="s">
        <v>863</v>
      </c>
      <c r="G3152" s="586"/>
      <c r="H3152" s="587"/>
      <c r="I3152" s="169"/>
      <c r="J3152" s="167"/>
      <c r="K3152" s="169"/>
      <c r="L3152" s="167"/>
      <c r="M3152" s="169"/>
      <c r="N3152" s="167"/>
      <c r="O3152" s="169"/>
    </row>
    <row r="3153" spans="2:15" s="453" customFormat="1" ht="14" x14ac:dyDescent="0.2">
      <c r="B3153" s="302"/>
      <c r="C3153" s="627" t="s">
        <v>1423</v>
      </c>
      <c r="D3153" s="627"/>
      <c r="E3153" s="627"/>
      <c r="F3153" s="627"/>
      <c r="G3153" s="627"/>
      <c r="H3153" s="341"/>
      <c r="I3153" s="168" t="s">
        <v>211</v>
      </c>
      <c r="J3153" s="166" t="s">
        <v>211</v>
      </c>
      <c r="K3153" s="168" t="s">
        <v>211</v>
      </c>
      <c r="L3153" s="166" t="s">
        <v>211</v>
      </c>
      <c r="M3153" s="168" t="s">
        <v>211</v>
      </c>
      <c r="N3153" s="166" t="s">
        <v>211</v>
      </c>
      <c r="O3153" s="168" t="s">
        <v>211</v>
      </c>
    </row>
    <row r="3154" spans="2:15" s="453" customFormat="1" ht="14" x14ac:dyDescent="0.2">
      <c r="B3154" s="291">
        <v>12</v>
      </c>
      <c r="C3154" s="821" t="s">
        <v>1426</v>
      </c>
      <c r="D3154" s="821"/>
      <c r="E3154" s="821"/>
      <c r="F3154" s="821"/>
      <c r="G3154" s="821"/>
      <c r="H3154" s="162"/>
      <c r="I3154" s="169"/>
      <c r="J3154" s="167"/>
      <c r="K3154" s="169"/>
      <c r="L3154" s="167"/>
      <c r="M3154" s="169"/>
      <c r="N3154" s="167"/>
      <c r="O3154" s="169"/>
    </row>
    <row r="3155" spans="2:15" s="453" customFormat="1" ht="14" x14ac:dyDescent="0.2">
      <c r="B3155" s="295"/>
      <c r="C3155" s="822"/>
      <c r="D3155" s="822"/>
      <c r="E3155" s="822"/>
      <c r="F3155" s="822"/>
      <c r="G3155" s="822"/>
      <c r="H3155" s="294"/>
      <c r="I3155" s="169"/>
      <c r="J3155" s="167"/>
      <c r="K3155" s="169"/>
      <c r="L3155" s="167"/>
      <c r="M3155" s="169"/>
      <c r="N3155" s="167"/>
      <c r="O3155" s="169"/>
    </row>
    <row r="3156" spans="2:15" s="453" customFormat="1" ht="14" x14ac:dyDescent="0.2">
      <c r="B3156" s="295"/>
      <c r="C3156" s="822"/>
      <c r="D3156" s="822"/>
      <c r="E3156" s="822"/>
      <c r="F3156" s="822"/>
      <c r="G3156" s="822"/>
      <c r="H3156" s="294"/>
      <c r="I3156" s="169"/>
      <c r="J3156" s="167"/>
      <c r="K3156" s="169"/>
      <c r="L3156" s="167"/>
      <c r="M3156" s="169"/>
      <c r="N3156" s="167"/>
      <c r="O3156" s="169"/>
    </row>
    <row r="3157" spans="2:15" s="453" customFormat="1" ht="14" x14ac:dyDescent="0.2">
      <c r="B3157" s="295"/>
      <c r="C3157" s="823"/>
      <c r="D3157" s="823"/>
      <c r="E3157" s="823"/>
      <c r="F3157" s="823"/>
      <c r="G3157" s="823"/>
      <c r="H3157" s="294"/>
      <c r="I3157" s="169"/>
      <c r="J3157" s="167"/>
      <c r="K3157" s="169"/>
      <c r="L3157" s="167"/>
      <c r="M3157" s="169"/>
      <c r="N3157" s="167"/>
      <c r="O3157" s="169"/>
    </row>
    <row r="3158" spans="2:15" s="453" customFormat="1" ht="14" x14ac:dyDescent="0.2">
      <c r="B3158" s="291" t="s">
        <v>1427</v>
      </c>
      <c r="C3158" s="821" t="s">
        <v>1388</v>
      </c>
      <c r="D3158" s="821"/>
      <c r="E3158" s="821"/>
      <c r="F3158" s="821"/>
      <c r="G3158" s="821"/>
      <c r="H3158" s="162"/>
      <c r="I3158" s="169"/>
      <c r="J3158" s="167"/>
      <c r="K3158" s="169"/>
      <c r="L3158" s="167"/>
      <c r="M3158" s="169"/>
      <c r="N3158" s="167"/>
      <c r="O3158" s="169"/>
    </row>
    <row r="3159" spans="2:15" s="453" customFormat="1" ht="14" x14ac:dyDescent="0.2">
      <c r="B3159" s="295"/>
      <c r="C3159" s="823"/>
      <c r="D3159" s="823"/>
      <c r="E3159" s="823"/>
      <c r="F3159" s="823"/>
      <c r="G3159" s="823"/>
      <c r="H3159" s="294"/>
      <c r="I3159" s="169"/>
      <c r="J3159" s="167"/>
      <c r="K3159" s="169"/>
      <c r="L3159" s="167"/>
      <c r="M3159" s="169"/>
      <c r="N3159" s="167"/>
      <c r="O3159" s="169"/>
    </row>
    <row r="3160" spans="2:15" s="453" customFormat="1" ht="14" x14ac:dyDescent="0.2">
      <c r="B3160" s="295" t="s">
        <v>333</v>
      </c>
      <c r="C3160" s="584" t="s">
        <v>1389</v>
      </c>
      <c r="D3160" s="584"/>
      <c r="E3160" s="584"/>
      <c r="F3160" s="584"/>
      <c r="G3160" s="584"/>
      <c r="H3160" s="294"/>
      <c r="I3160" s="169"/>
      <c r="J3160" s="167"/>
      <c r="K3160" s="169"/>
      <c r="L3160" s="167"/>
      <c r="M3160" s="169"/>
      <c r="N3160" s="167"/>
      <c r="O3160" s="169"/>
    </row>
    <row r="3161" spans="2:15" s="453" customFormat="1" ht="14" x14ac:dyDescent="0.2">
      <c r="B3161" s="295"/>
      <c r="C3161" s="584"/>
      <c r="D3161" s="584"/>
      <c r="E3161" s="584"/>
      <c r="F3161" s="584"/>
      <c r="G3161" s="584"/>
      <c r="H3161" s="294"/>
      <c r="I3161" s="169"/>
      <c r="J3161" s="167"/>
      <c r="K3161" s="169"/>
      <c r="L3161" s="167"/>
      <c r="M3161" s="169"/>
      <c r="N3161" s="167"/>
      <c r="O3161" s="169"/>
    </row>
    <row r="3162" spans="2:15" s="453" customFormat="1" ht="14" x14ac:dyDescent="0.2">
      <c r="B3162" s="295" t="s">
        <v>333</v>
      </c>
      <c r="C3162" s="584" t="s">
        <v>1428</v>
      </c>
      <c r="D3162" s="584"/>
      <c r="E3162" s="584"/>
      <c r="F3162" s="584"/>
      <c r="G3162" s="584"/>
      <c r="H3162" s="294"/>
      <c r="I3162" s="169"/>
      <c r="J3162" s="167"/>
      <c r="K3162" s="169"/>
      <c r="L3162" s="167"/>
      <c r="M3162" s="169"/>
      <c r="N3162" s="167"/>
      <c r="O3162" s="169"/>
    </row>
    <row r="3163" spans="2:15" s="453" customFormat="1" ht="14" x14ac:dyDescent="0.2">
      <c r="B3163" s="295"/>
      <c r="C3163" s="584"/>
      <c r="D3163" s="584"/>
      <c r="E3163" s="584"/>
      <c r="F3163" s="584"/>
      <c r="G3163" s="584"/>
      <c r="H3163" s="294"/>
      <c r="I3163" s="169"/>
      <c r="J3163" s="167"/>
      <c r="K3163" s="169"/>
      <c r="L3163" s="167"/>
      <c r="M3163" s="169"/>
      <c r="N3163" s="167"/>
      <c r="O3163" s="169"/>
    </row>
    <row r="3164" spans="2:15" s="453" customFormat="1" ht="14" x14ac:dyDescent="0.2">
      <c r="B3164" s="295" t="s">
        <v>333</v>
      </c>
      <c r="C3164" s="584" t="s">
        <v>1429</v>
      </c>
      <c r="D3164" s="584"/>
      <c r="E3164" s="584"/>
      <c r="F3164" s="584"/>
      <c r="G3164" s="584"/>
      <c r="H3164" s="294"/>
      <c r="I3164" s="169"/>
      <c r="J3164" s="167"/>
      <c r="K3164" s="169"/>
      <c r="L3164" s="167"/>
      <c r="M3164" s="169"/>
      <c r="N3164" s="167"/>
      <c r="O3164" s="169"/>
    </row>
    <row r="3165" spans="2:15" s="453" customFormat="1" ht="14" x14ac:dyDescent="0.2">
      <c r="B3165" s="295"/>
      <c r="C3165" s="584"/>
      <c r="D3165" s="584"/>
      <c r="E3165" s="584"/>
      <c r="F3165" s="584"/>
      <c r="G3165" s="584"/>
      <c r="H3165" s="294"/>
      <c r="I3165" s="169"/>
      <c r="J3165" s="167"/>
      <c r="K3165" s="169"/>
      <c r="L3165" s="167"/>
      <c r="M3165" s="169"/>
      <c r="N3165" s="167"/>
      <c r="O3165" s="169"/>
    </row>
    <row r="3166" spans="2:15" s="453" customFormat="1" ht="14" x14ac:dyDescent="0.2">
      <c r="B3166" s="291" t="s">
        <v>1430</v>
      </c>
      <c r="C3166" s="600" t="s">
        <v>1398</v>
      </c>
      <c r="D3166" s="600"/>
      <c r="E3166" s="600"/>
      <c r="F3166" s="600"/>
      <c r="G3166" s="600"/>
      <c r="H3166" s="162"/>
      <c r="I3166" s="169"/>
      <c r="J3166" s="167"/>
      <c r="K3166" s="169"/>
      <c r="L3166" s="167"/>
      <c r="M3166" s="169"/>
      <c r="N3166" s="167"/>
      <c r="O3166" s="169"/>
    </row>
    <row r="3167" spans="2:15" s="453" customFormat="1" ht="14" x14ac:dyDescent="0.2">
      <c r="B3167" s="295" t="s">
        <v>333</v>
      </c>
      <c r="C3167" s="584" t="s">
        <v>1399</v>
      </c>
      <c r="D3167" s="584"/>
      <c r="E3167" s="584"/>
      <c r="F3167" s="584"/>
      <c r="G3167" s="584"/>
      <c r="H3167" s="294"/>
      <c r="I3167" s="169"/>
      <c r="J3167" s="167"/>
      <c r="K3167" s="169"/>
      <c r="L3167" s="167"/>
      <c r="M3167" s="169"/>
      <c r="N3167" s="167"/>
      <c r="O3167" s="169"/>
    </row>
    <row r="3168" spans="2:15" s="453" customFormat="1" ht="14" x14ac:dyDescent="0.2">
      <c r="B3168" s="295" t="s">
        <v>333</v>
      </c>
      <c r="C3168" s="584" t="s">
        <v>1431</v>
      </c>
      <c r="D3168" s="584"/>
      <c r="E3168" s="584"/>
      <c r="F3168" s="584"/>
      <c r="G3168" s="584"/>
      <c r="H3168" s="294"/>
      <c r="I3168" s="169"/>
      <c r="J3168" s="167"/>
      <c r="K3168" s="169"/>
      <c r="L3168" s="167"/>
      <c r="M3168" s="169"/>
      <c r="N3168" s="167"/>
      <c r="O3168" s="169"/>
    </row>
    <row r="3169" spans="2:15" s="453" customFormat="1" ht="14" x14ac:dyDescent="0.2">
      <c r="B3169" s="295"/>
      <c r="C3169" s="584"/>
      <c r="D3169" s="584"/>
      <c r="E3169" s="584"/>
      <c r="F3169" s="584"/>
      <c r="G3169" s="584"/>
      <c r="H3169" s="294"/>
      <c r="I3169" s="169"/>
      <c r="J3169" s="167"/>
      <c r="K3169" s="169"/>
      <c r="L3169" s="167"/>
      <c r="M3169" s="169"/>
      <c r="N3169" s="167"/>
      <c r="O3169" s="169"/>
    </row>
    <row r="3170" spans="2:15" s="453" customFormat="1" ht="14" x14ac:dyDescent="0.2">
      <c r="B3170" s="295" t="s">
        <v>333</v>
      </c>
      <c r="C3170" s="583" t="s">
        <v>1432</v>
      </c>
      <c r="D3170" s="583"/>
      <c r="E3170" s="583"/>
      <c r="F3170" s="583"/>
      <c r="G3170" s="583"/>
      <c r="H3170" s="294"/>
      <c r="I3170" s="169"/>
      <c r="J3170" s="167"/>
      <c r="K3170" s="169"/>
      <c r="L3170" s="167"/>
      <c r="M3170" s="169"/>
      <c r="N3170" s="167"/>
      <c r="O3170" s="169"/>
    </row>
    <row r="3171" spans="2:15" s="453" customFormat="1" ht="14" x14ac:dyDescent="0.2">
      <c r="B3171" s="295" t="s">
        <v>333</v>
      </c>
      <c r="C3171" s="584" t="s">
        <v>1433</v>
      </c>
      <c r="D3171" s="584"/>
      <c r="E3171" s="584"/>
      <c r="F3171" s="584"/>
      <c r="G3171" s="584"/>
      <c r="H3171" s="294"/>
      <c r="I3171" s="169"/>
      <c r="J3171" s="167"/>
      <c r="K3171" s="169"/>
      <c r="L3171" s="167"/>
      <c r="M3171" s="169"/>
      <c r="N3171" s="167"/>
      <c r="O3171" s="169"/>
    </row>
    <row r="3172" spans="2:15" s="453" customFormat="1" ht="14" x14ac:dyDescent="0.2">
      <c r="B3172" s="295"/>
      <c r="C3172" s="584"/>
      <c r="D3172" s="584"/>
      <c r="E3172" s="584"/>
      <c r="F3172" s="584"/>
      <c r="G3172" s="584"/>
      <c r="H3172" s="294"/>
      <c r="I3172" s="169"/>
      <c r="J3172" s="167"/>
      <c r="K3172" s="169"/>
      <c r="L3172" s="167"/>
      <c r="M3172" s="169"/>
      <c r="N3172" s="167"/>
      <c r="O3172" s="169"/>
    </row>
    <row r="3173" spans="2:15" s="453" customFormat="1" ht="14" x14ac:dyDescent="0.2">
      <c r="B3173" s="291" t="s">
        <v>1434</v>
      </c>
      <c r="C3173" s="600" t="s">
        <v>1400</v>
      </c>
      <c r="D3173" s="600"/>
      <c r="E3173" s="600"/>
      <c r="F3173" s="600"/>
      <c r="G3173" s="600"/>
      <c r="H3173" s="162"/>
      <c r="I3173" s="169"/>
      <c r="J3173" s="167"/>
      <c r="K3173" s="169"/>
      <c r="L3173" s="167"/>
      <c r="M3173" s="169"/>
      <c r="N3173" s="167"/>
      <c r="O3173" s="169"/>
    </row>
    <row r="3174" spans="2:15" s="453" customFormat="1" ht="14" x14ac:dyDescent="0.2">
      <c r="B3174" s="295"/>
      <c r="C3174" s="584"/>
      <c r="D3174" s="584"/>
      <c r="E3174" s="584"/>
      <c r="F3174" s="584"/>
      <c r="G3174" s="584"/>
      <c r="H3174" s="294"/>
      <c r="I3174" s="169"/>
      <c r="J3174" s="167"/>
      <c r="K3174" s="169"/>
      <c r="L3174" s="167"/>
      <c r="M3174" s="169"/>
      <c r="N3174" s="167"/>
      <c r="O3174" s="169"/>
    </row>
    <row r="3175" spans="2:15" s="453" customFormat="1" ht="14" x14ac:dyDescent="0.2">
      <c r="B3175" s="295" t="s">
        <v>333</v>
      </c>
      <c r="C3175" s="583" t="s">
        <v>1401</v>
      </c>
      <c r="D3175" s="583"/>
      <c r="E3175" s="583"/>
      <c r="F3175" s="583"/>
      <c r="G3175" s="583"/>
      <c r="H3175" s="294"/>
      <c r="I3175" s="169"/>
      <c r="J3175" s="167"/>
      <c r="K3175" s="169"/>
      <c r="L3175" s="167"/>
      <c r="M3175" s="169"/>
      <c r="N3175" s="167"/>
      <c r="O3175" s="169"/>
    </row>
    <row r="3176" spans="2:15" s="453" customFormat="1" ht="14" x14ac:dyDescent="0.2">
      <c r="B3176" s="295" t="s">
        <v>333</v>
      </c>
      <c r="C3176" s="584" t="s">
        <v>1435</v>
      </c>
      <c r="D3176" s="584"/>
      <c r="E3176" s="584"/>
      <c r="F3176" s="584"/>
      <c r="G3176" s="584"/>
      <c r="H3176" s="294"/>
      <c r="I3176" s="169"/>
      <c r="J3176" s="167"/>
      <c r="K3176" s="169"/>
      <c r="L3176" s="167"/>
      <c r="M3176" s="169"/>
      <c r="N3176" s="167"/>
      <c r="O3176" s="169"/>
    </row>
    <row r="3177" spans="2:15" s="453" customFormat="1" ht="14" x14ac:dyDescent="0.2">
      <c r="B3177" s="295"/>
      <c r="C3177" s="584"/>
      <c r="D3177" s="584"/>
      <c r="E3177" s="584"/>
      <c r="F3177" s="584"/>
      <c r="G3177" s="584"/>
      <c r="H3177" s="294"/>
      <c r="I3177" s="169"/>
      <c r="J3177" s="167"/>
      <c r="K3177" s="169"/>
      <c r="L3177" s="167"/>
      <c r="M3177" s="169"/>
      <c r="N3177" s="167"/>
      <c r="O3177" s="169"/>
    </row>
    <row r="3178" spans="2:15" s="453" customFormat="1" ht="14" x14ac:dyDescent="0.2">
      <c r="B3178" s="295" t="s">
        <v>333</v>
      </c>
      <c r="C3178" s="584" t="s">
        <v>1436</v>
      </c>
      <c r="D3178" s="584"/>
      <c r="E3178" s="584"/>
      <c r="F3178" s="584"/>
      <c r="G3178" s="584"/>
      <c r="H3178" s="294"/>
      <c r="I3178" s="169"/>
      <c r="J3178" s="167"/>
      <c r="K3178" s="169"/>
      <c r="L3178" s="167"/>
      <c r="M3178" s="169"/>
      <c r="N3178" s="167"/>
      <c r="O3178" s="169"/>
    </row>
    <row r="3179" spans="2:15" s="453" customFormat="1" ht="14" x14ac:dyDescent="0.2">
      <c r="B3179" s="295"/>
      <c r="C3179" s="584"/>
      <c r="D3179" s="584"/>
      <c r="E3179" s="584"/>
      <c r="F3179" s="584"/>
      <c r="G3179" s="584"/>
      <c r="H3179" s="294"/>
      <c r="I3179" s="169"/>
      <c r="J3179" s="167"/>
      <c r="K3179" s="169"/>
      <c r="L3179" s="167"/>
      <c r="M3179" s="169"/>
      <c r="N3179" s="167"/>
      <c r="O3179" s="169"/>
    </row>
    <row r="3180" spans="2:15" s="453" customFormat="1" ht="14" x14ac:dyDescent="0.2">
      <c r="B3180" s="295" t="s">
        <v>333</v>
      </c>
      <c r="C3180" s="584" t="s">
        <v>1437</v>
      </c>
      <c r="D3180" s="584"/>
      <c r="E3180" s="584"/>
      <c r="F3180" s="584"/>
      <c r="G3180" s="584"/>
      <c r="H3180" s="294"/>
      <c r="I3180" s="169"/>
      <c r="J3180" s="167"/>
      <c r="K3180" s="169"/>
      <c r="L3180" s="167"/>
      <c r="M3180" s="169"/>
      <c r="N3180" s="167"/>
      <c r="O3180" s="169"/>
    </row>
    <row r="3181" spans="2:15" s="453" customFormat="1" ht="14" x14ac:dyDescent="0.2">
      <c r="B3181" s="295"/>
      <c r="C3181" s="584"/>
      <c r="D3181" s="584"/>
      <c r="E3181" s="584"/>
      <c r="F3181" s="584"/>
      <c r="G3181" s="584"/>
      <c r="H3181" s="294"/>
      <c r="I3181" s="169"/>
      <c r="J3181" s="167"/>
      <c r="K3181" s="169"/>
      <c r="L3181" s="167"/>
      <c r="M3181" s="169"/>
      <c r="N3181" s="167"/>
      <c r="O3181" s="169"/>
    </row>
    <row r="3182" spans="2:15" s="453" customFormat="1" ht="14" x14ac:dyDescent="0.2">
      <c r="B3182" s="291" t="s">
        <v>1438</v>
      </c>
      <c r="C3182" s="832" t="s">
        <v>1402</v>
      </c>
      <c r="D3182" s="832"/>
      <c r="E3182" s="832"/>
      <c r="F3182" s="832"/>
      <c r="G3182" s="832"/>
      <c r="H3182" s="162"/>
      <c r="I3182" s="169"/>
      <c r="J3182" s="167"/>
      <c r="K3182" s="169"/>
      <c r="L3182" s="167"/>
      <c r="M3182" s="169"/>
      <c r="N3182" s="167"/>
      <c r="O3182" s="169"/>
    </row>
    <row r="3183" spans="2:15" s="453" customFormat="1" ht="14" x14ac:dyDescent="0.2">
      <c r="B3183" s="295" t="s">
        <v>333</v>
      </c>
      <c r="C3183" s="584" t="s">
        <v>1439</v>
      </c>
      <c r="D3183" s="584"/>
      <c r="E3183" s="584"/>
      <c r="F3183" s="584"/>
      <c r="G3183" s="584"/>
      <c r="H3183" s="294"/>
      <c r="I3183" s="169"/>
      <c r="J3183" s="167"/>
      <c r="K3183" s="169"/>
      <c r="L3183" s="167"/>
      <c r="M3183" s="169"/>
      <c r="N3183" s="167"/>
      <c r="O3183" s="169"/>
    </row>
    <row r="3184" spans="2:15" s="453" customFormat="1" ht="14" x14ac:dyDescent="0.2">
      <c r="B3184" s="295"/>
      <c r="C3184" s="584"/>
      <c r="D3184" s="584"/>
      <c r="E3184" s="584"/>
      <c r="F3184" s="584"/>
      <c r="G3184" s="584"/>
      <c r="H3184" s="294"/>
      <c r="I3184" s="169"/>
      <c r="J3184" s="167"/>
      <c r="K3184" s="169"/>
      <c r="L3184" s="167"/>
      <c r="M3184" s="169"/>
      <c r="N3184" s="167"/>
      <c r="O3184" s="169"/>
    </row>
    <row r="3185" spans="2:15" s="453" customFormat="1" ht="14" x14ac:dyDescent="0.2">
      <c r="B3185" s="295" t="s">
        <v>333</v>
      </c>
      <c r="C3185" s="584" t="s">
        <v>1440</v>
      </c>
      <c r="D3185" s="584"/>
      <c r="E3185" s="584"/>
      <c r="F3185" s="584"/>
      <c r="G3185" s="584"/>
      <c r="H3185" s="294"/>
      <c r="I3185" s="169"/>
      <c r="J3185" s="167"/>
      <c r="K3185" s="169"/>
      <c r="L3185" s="167"/>
      <c r="M3185" s="169"/>
      <c r="N3185" s="167"/>
      <c r="O3185" s="169"/>
    </row>
    <row r="3186" spans="2:15" s="453" customFormat="1" ht="14" x14ac:dyDescent="0.2">
      <c r="B3186" s="295"/>
      <c r="C3186" s="584"/>
      <c r="D3186" s="584"/>
      <c r="E3186" s="584"/>
      <c r="F3186" s="584"/>
      <c r="G3186" s="584"/>
      <c r="H3186" s="294"/>
      <c r="I3186" s="169"/>
      <c r="J3186" s="167"/>
      <c r="K3186" s="169"/>
      <c r="L3186" s="167"/>
      <c r="M3186" s="169"/>
      <c r="N3186" s="167"/>
      <c r="O3186" s="169"/>
    </row>
    <row r="3187" spans="2:15" s="453" customFormat="1" ht="14" x14ac:dyDescent="0.2">
      <c r="B3187" s="295"/>
      <c r="C3187" s="584"/>
      <c r="D3187" s="584"/>
      <c r="E3187" s="584"/>
      <c r="F3187" s="584"/>
      <c r="G3187" s="584"/>
      <c r="H3187" s="294"/>
      <c r="I3187" s="169"/>
      <c r="J3187" s="167"/>
      <c r="K3187" s="169"/>
      <c r="L3187" s="167"/>
      <c r="M3187" s="169"/>
      <c r="N3187" s="167"/>
      <c r="O3187" s="169"/>
    </row>
    <row r="3188" spans="2:15" s="453" customFormat="1" ht="14" x14ac:dyDescent="0.2">
      <c r="B3188" s="291" t="s">
        <v>1441</v>
      </c>
      <c r="C3188" s="600" t="s">
        <v>1405</v>
      </c>
      <c r="D3188" s="600"/>
      <c r="E3188" s="600"/>
      <c r="F3188" s="600"/>
      <c r="G3188" s="600"/>
      <c r="H3188" s="162"/>
      <c r="I3188" s="169"/>
      <c r="J3188" s="167"/>
      <c r="K3188" s="169"/>
      <c r="L3188" s="167"/>
      <c r="M3188" s="169"/>
      <c r="N3188" s="167"/>
      <c r="O3188" s="169"/>
    </row>
    <row r="3189" spans="2:15" s="453" customFormat="1" ht="14" x14ac:dyDescent="0.2">
      <c r="B3189" s="295" t="s">
        <v>333</v>
      </c>
      <c r="C3189" s="584" t="s">
        <v>1406</v>
      </c>
      <c r="D3189" s="584"/>
      <c r="E3189" s="584"/>
      <c r="F3189" s="584"/>
      <c r="G3189" s="584"/>
      <c r="H3189" s="294"/>
      <c r="I3189" s="169"/>
      <c r="J3189" s="167"/>
      <c r="K3189" s="169"/>
      <c r="L3189" s="167"/>
      <c r="M3189" s="169"/>
      <c r="N3189" s="167"/>
      <c r="O3189" s="169"/>
    </row>
    <row r="3190" spans="2:15" s="453" customFormat="1" ht="14" x14ac:dyDescent="0.2">
      <c r="B3190" s="295"/>
      <c r="C3190" s="584"/>
      <c r="D3190" s="584"/>
      <c r="E3190" s="584"/>
      <c r="F3190" s="584"/>
      <c r="G3190" s="584"/>
      <c r="H3190" s="294"/>
      <c r="I3190" s="169"/>
      <c r="J3190" s="167"/>
      <c r="K3190" s="169"/>
      <c r="L3190" s="167"/>
      <c r="M3190" s="169"/>
      <c r="N3190" s="167"/>
      <c r="O3190" s="169"/>
    </row>
    <row r="3191" spans="2:15" s="453" customFormat="1" ht="14" x14ac:dyDescent="0.2">
      <c r="B3191" s="295"/>
      <c r="C3191" s="584"/>
      <c r="D3191" s="584"/>
      <c r="E3191" s="584"/>
      <c r="F3191" s="584"/>
      <c r="G3191" s="584"/>
      <c r="H3191" s="294"/>
      <c r="I3191" s="169"/>
      <c r="J3191" s="167"/>
      <c r="K3191" s="169"/>
      <c r="L3191" s="167"/>
      <c r="M3191" s="169"/>
      <c r="N3191" s="167"/>
      <c r="O3191" s="169"/>
    </row>
    <row r="3192" spans="2:15" s="453" customFormat="1" ht="14" x14ac:dyDescent="0.2">
      <c r="B3192" s="295" t="s">
        <v>333</v>
      </c>
      <c r="C3192" s="583" t="s">
        <v>1442</v>
      </c>
      <c r="D3192" s="583"/>
      <c r="E3192" s="583"/>
      <c r="F3192" s="583"/>
      <c r="G3192" s="583"/>
      <c r="H3192" s="294"/>
      <c r="I3192" s="169"/>
      <c r="J3192" s="167"/>
      <c r="K3192" s="169"/>
      <c r="L3192" s="167"/>
      <c r="M3192" s="169"/>
      <c r="N3192" s="167"/>
      <c r="O3192" s="169"/>
    </row>
    <row r="3193" spans="2:15" s="453" customFormat="1" ht="14" x14ac:dyDescent="0.2">
      <c r="B3193" s="295"/>
      <c r="C3193" s="403" t="s">
        <v>333</v>
      </c>
      <c r="D3193" s="583" t="s">
        <v>1443</v>
      </c>
      <c r="E3193" s="583"/>
      <c r="F3193" s="583"/>
      <c r="G3193" s="583"/>
      <c r="H3193" s="294"/>
      <c r="I3193" s="169"/>
      <c r="J3193" s="167"/>
      <c r="K3193" s="169"/>
      <c r="L3193" s="167"/>
      <c r="M3193" s="169"/>
      <c r="N3193" s="167"/>
      <c r="O3193" s="169"/>
    </row>
    <row r="3194" spans="2:15" s="453" customFormat="1" ht="14" x14ac:dyDescent="0.2">
      <c r="B3194" s="295" t="s">
        <v>333</v>
      </c>
      <c r="C3194" s="583" t="s">
        <v>1444</v>
      </c>
      <c r="D3194" s="583"/>
      <c r="E3194" s="583"/>
      <c r="F3194" s="583"/>
      <c r="G3194" s="583"/>
      <c r="H3194" s="294"/>
      <c r="I3194" s="169"/>
      <c r="J3194" s="167"/>
      <c r="K3194" s="169"/>
      <c r="L3194" s="167"/>
      <c r="M3194" s="169"/>
      <c r="N3194" s="167"/>
      <c r="O3194" s="169"/>
    </row>
    <row r="3195" spans="2:15" s="453" customFormat="1" ht="14" x14ac:dyDescent="0.2">
      <c r="B3195" s="295"/>
      <c r="C3195" s="403" t="s">
        <v>333</v>
      </c>
      <c r="D3195" s="583" t="s">
        <v>1445</v>
      </c>
      <c r="E3195" s="583"/>
      <c r="F3195" s="583"/>
      <c r="G3195" s="583"/>
      <c r="H3195" s="294"/>
      <c r="I3195" s="169"/>
      <c r="J3195" s="167"/>
      <c r="K3195" s="169"/>
      <c r="L3195" s="167"/>
      <c r="M3195" s="169"/>
      <c r="N3195" s="167"/>
      <c r="O3195" s="169"/>
    </row>
    <row r="3196" spans="2:15" s="453" customFormat="1" ht="14" x14ac:dyDescent="0.2">
      <c r="B3196" s="295"/>
      <c r="C3196" s="403" t="s">
        <v>333</v>
      </c>
      <c r="D3196" s="584" t="s">
        <v>1446</v>
      </c>
      <c r="E3196" s="584"/>
      <c r="F3196" s="584"/>
      <c r="G3196" s="584"/>
      <c r="H3196" s="294"/>
      <c r="I3196" s="169"/>
      <c r="J3196" s="167"/>
      <c r="K3196" s="169"/>
      <c r="L3196" s="167"/>
      <c r="M3196" s="169"/>
      <c r="N3196" s="167"/>
      <c r="O3196" s="169"/>
    </row>
    <row r="3197" spans="2:15" s="453" customFormat="1" ht="14" x14ac:dyDescent="0.2">
      <c r="B3197" s="295"/>
      <c r="C3197" s="403"/>
      <c r="D3197" s="584"/>
      <c r="E3197" s="584"/>
      <c r="F3197" s="584"/>
      <c r="G3197" s="584"/>
      <c r="H3197" s="294"/>
      <c r="I3197" s="169"/>
      <c r="J3197" s="167"/>
      <c r="K3197" s="169"/>
      <c r="L3197" s="167"/>
      <c r="M3197" s="169"/>
      <c r="N3197" s="167"/>
      <c r="O3197" s="169"/>
    </row>
    <row r="3198" spans="2:15" s="453" customFormat="1" ht="14" x14ac:dyDescent="0.2">
      <c r="B3198" s="297"/>
      <c r="C3198" s="404" t="s">
        <v>333</v>
      </c>
      <c r="D3198" s="641" t="s">
        <v>1447</v>
      </c>
      <c r="E3198" s="641"/>
      <c r="F3198" s="641"/>
      <c r="G3198" s="641"/>
      <c r="H3198" s="298"/>
      <c r="I3198" s="169"/>
      <c r="J3198" s="167"/>
      <c r="K3198" s="169"/>
      <c r="L3198" s="167"/>
      <c r="M3198" s="169"/>
      <c r="N3198" s="167"/>
      <c r="O3198" s="169"/>
    </row>
    <row r="3199" spans="2:15" s="246" customFormat="1" ht="14" x14ac:dyDescent="0.2">
      <c r="B3199" s="405"/>
      <c r="C3199" s="406"/>
      <c r="D3199" s="442"/>
      <c r="E3199" s="442"/>
      <c r="F3199" s="442"/>
      <c r="G3199" s="442"/>
      <c r="H3199" s="407"/>
      <c r="I3199" s="138"/>
      <c r="J3199" s="105"/>
      <c r="K3199" s="138"/>
      <c r="L3199" s="105"/>
      <c r="M3199" s="138"/>
      <c r="N3199" s="105"/>
      <c r="O3199" s="138"/>
    </row>
    <row r="3200" spans="2:15" s="246" customFormat="1" ht="14" x14ac:dyDescent="0.2">
      <c r="B3200" s="910" t="s">
        <v>1764</v>
      </c>
      <c r="C3200" s="910"/>
      <c r="D3200" s="910"/>
      <c r="E3200" s="910"/>
      <c r="F3200" s="910"/>
      <c r="G3200" s="444"/>
      <c r="H3200" s="444"/>
      <c r="I3200" s="138"/>
      <c r="J3200" s="105"/>
      <c r="K3200" s="138"/>
      <c r="L3200" s="105"/>
      <c r="M3200" s="138"/>
      <c r="N3200" s="105"/>
      <c r="O3200" s="138"/>
    </row>
    <row r="3201" spans="2:16" s="246" customFormat="1" ht="14" x14ac:dyDescent="0.2">
      <c r="B3201" s="291">
        <v>1</v>
      </c>
      <c r="C3201" s="904" t="s">
        <v>1765</v>
      </c>
      <c r="D3201" s="904"/>
      <c r="E3201" s="904"/>
      <c r="F3201" s="904"/>
      <c r="G3201" s="904"/>
      <c r="H3201" s="408"/>
      <c r="I3201" s="168" t="s">
        <v>211</v>
      </c>
      <c r="J3201" s="166" t="s">
        <v>211</v>
      </c>
      <c r="K3201" s="168" t="s">
        <v>211</v>
      </c>
      <c r="L3201" s="166" t="s">
        <v>211</v>
      </c>
      <c r="M3201" s="168" t="s">
        <v>211</v>
      </c>
      <c r="N3201" s="166" t="s">
        <v>211</v>
      </c>
      <c r="O3201" s="168" t="s">
        <v>211</v>
      </c>
      <c r="P3201" s="409"/>
    </row>
    <row r="3202" spans="2:16" s="246" customFormat="1" ht="14" x14ac:dyDescent="0.2">
      <c r="B3202" s="293"/>
      <c r="C3202" s="406"/>
      <c r="D3202" s="442"/>
      <c r="E3202" s="442"/>
      <c r="F3202" s="442"/>
      <c r="G3202" s="592" t="s">
        <v>1766</v>
      </c>
      <c r="H3202" s="587"/>
      <c r="I3202" s="170"/>
      <c r="J3202" s="167"/>
      <c r="K3202" s="170"/>
      <c r="L3202" s="167"/>
      <c r="M3202" s="170"/>
      <c r="N3202" s="167"/>
      <c r="O3202" s="170"/>
    </row>
    <row r="3203" spans="2:16" s="246" customFormat="1" ht="14" x14ac:dyDescent="0.2">
      <c r="B3203" s="293"/>
      <c r="C3203" s="406"/>
      <c r="D3203" s="442"/>
      <c r="E3203" s="442"/>
      <c r="F3203" s="442"/>
      <c r="G3203" s="599" t="s">
        <v>1767</v>
      </c>
      <c r="H3203" s="615"/>
      <c r="I3203" s="170"/>
      <c r="J3203" s="167"/>
      <c r="K3203" s="170"/>
      <c r="L3203" s="167"/>
      <c r="M3203" s="170"/>
      <c r="N3203" s="167"/>
      <c r="O3203" s="170"/>
    </row>
    <row r="3204" spans="2:16" s="246" customFormat="1" ht="14" x14ac:dyDescent="0.2">
      <c r="B3204" s="293"/>
      <c r="C3204" s="817" t="s">
        <v>1805</v>
      </c>
      <c r="D3204" s="817"/>
      <c r="E3204" s="817"/>
      <c r="F3204" s="817"/>
      <c r="G3204" s="817"/>
      <c r="H3204" s="410"/>
      <c r="I3204" s="170"/>
      <c r="J3204" s="167"/>
      <c r="K3204" s="170"/>
      <c r="L3204" s="167"/>
      <c r="M3204" s="170"/>
      <c r="N3204" s="167"/>
      <c r="O3204" s="170"/>
    </row>
    <row r="3205" spans="2:16" s="246" customFormat="1" ht="14" x14ac:dyDescent="0.2">
      <c r="B3205" s="293"/>
      <c r="C3205" s="817"/>
      <c r="D3205" s="817"/>
      <c r="E3205" s="817"/>
      <c r="F3205" s="817"/>
      <c r="G3205" s="817"/>
      <c r="H3205" s="410"/>
      <c r="I3205" s="170"/>
      <c r="J3205" s="167"/>
      <c r="K3205" s="170"/>
      <c r="L3205" s="167"/>
      <c r="M3205" s="170"/>
      <c r="N3205" s="167"/>
      <c r="O3205" s="170"/>
    </row>
    <row r="3206" spans="2:16" s="246" customFormat="1" ht="14" x14ac:dyDescent="0.2">
      <c r="B3206" s="293"/>
      <c r="C3206" s="406"/>
      <c r="D3206" s="442"/>
      <c r="E3206" s="442"/>
      <c r="F3206" s="442"/>
      <c r="G3206" s="592" t="s">
        <v>1766</v>
      </c>
      <c r="H3206" s="587"/>
      <c r="I3206" s="170"/>
      <c r="J3206" s="167"/>
      <c r="K3206" s="170"/>
      <c r="L3206" s="167"/>
      <c r="M3206" s="170"/>
      <c r="N3206" s="167"/>
      <c r="O3206" s="170"/>
    </row>
    <row r="3207" spans="2:16" s="246" customFormat="1" ht="14" x14ac:dyDescent="0.2">
      <c r="B3207" s="302"/>
      <c r="C3207" s="411"/>
      <c r="D3207" s="412"/>
      <c r="E3207" s="412"/>
      <c r="F3207" s="412"/>
      <c r="G3207" s="599" t="s">
        <v>1806</v>
      </c>
      <c r="H3207" s="615"/>
      <c r="I3207" s="170"/>
      <c r="J3207" s="167"/>
      <c r="K3207" s="170"/>
      <c r="L3207" s="167"/>
      <c r="M3207" s="170"/>
      <c r="N3207" s="167"/>
      <c r="O3207" s="170"/>
    </row>
    <row r="3208" spans="2:16" s="246" customFormat="1" ht="14" x14ac:dyDescent="0.2">
      <c r="B3208" s="291">
        <v>2</v>
      </c>
      <c r="C3208" s="815" t="s">
        <v>1768</v>
      </c>
      <c r="D3208" s="815"/>
      <c r="E3208" s="815"/>
      <c r="F3208" s="815"/>
      <c r="G3208" s="815"/>
      <c r="H3208" s="408"/>
      <c r="I3208" s="168" t="s">
        <v>211</v>
      </c>
      <c r="J3208" s="166" t="s">
        <v>211</v>
      </c>
      <c r="K3208" s="168" t="s">
        <v>211</v>
      </c>
      <c r="L3208" s="166" t="s">
        <v>211</v>
      </c>
      <c r="M3208" s="168" t="s">
        <v>211</v>
      </c>
      <c r="N3208" s="166" t="s">
        <v>211</v>
      </c>
      <c r="O3208" s="168" t="s">
        <v>211</v>
      </c>
    </row>
    <row r="3209" spans="2:16" s="246" customFormat="1" ht="14" x14ac:dyDescent="0.2">
      <c r="B3209" s="293"/>
      <c r="C3209" s="816"/>
      <c r="D3209" s="816"/>
      <c r="E3209" s="816"/>
      <c r="F3209" s="816"/>
      <c r="G3209" s="816"/>
      <c r="H3209" s="413"/>
      <c r="I3209" s="170"/>
      <c r="J3209" s="167"/>
      <c r="K3209" s="170"/>
      <c r="L3209" s="167"/>
      <c r="M3209" s="170"/>
      <c r="N3209" s="167"/>
      <c r="O3209" s="170"/>
    </row>
    <row r="3210" spans="2:16" s="246" customFormat="1" ht="14" x14ac:dyDescent="0.2">
      <c r="B3210" s="293"/>
      <c r="C3210" s="816"/>
      <c r="D3210" s="816"/>
      <c r="E3210" s="816"/>
      <c r="F3210" s="816"/>
      <c r="G3210" s="816"/>
      <c r="H3210" s="413"/>
      <c r="I3210" s="170"/>
      <c r="J3210" s="167"/>
      <c r="K3210" s="170"/>
      <c r="L3210" s="167"/>
      <c r="M3210" s="170"/>
      <c r="N3210" s="167"/>
      <c r="O3210" s="170"/>
    </row>
    <row r="3211" spans="2:16" s="246" customFormat="1" ht="14" x14ac:dyDescent="0.2">
      <c r="B3211" s="293"/>
      <c r="C3211" s="406"/>
      <c r="D3211" s="442"/>
      <c r="E3211" s="442"/>
      <c r="F3211" s="442"/>
      <c r="G3211" s="592" t="s">
        <v>1766</v>
      </c>
      <c r="H3211" s="587"/>
      <c r="I3211" s="170"/>
      <c r="J3211" s="167"/>
      <c r="K3211" s="170"/>
      <c r="L3211" s="167"/>
      <c r="M3211" s="170"/>
      <c r="N3211" s="167"/>
      <c r="O3211" s="170"/>
    </row>
    <row r="3212" spans="2:16" s="246" customFormat="1" ht="15" customHeight="1" x14ac:dyDescent="0.2">
      <c r="B3212" s="302"/>
      <c r="C3212" s="411"/>
      <c r="D3212" s="412"/>
      <c r="E3212" s="412"/>
      <c r="F3212" s="599" t="s">
        <v>1769</v>
      </c>
      <c r="G3212" s="599"/>
      <c r="H3212" s="615"/>
      <c r="I3212" s="170"/>
      <c r="J3212" s="167"/>
      <c r="K3212" s="170"/>
      <c r="L3212" s="167"/>
      <c r="M3212" s="170"/>
      <c r="N3212" s="167"/>
      <c r="O3212" s="170"/>
    </row>
    <row r="3213" spans="2:16" s="246" customFormat="1" ht="14" x14ac:dyDescent="0.2">
      <c r="B3213" s="291">
        <v>3</v>
      </c>
      <c r="C3213" s="818" t="s">
        <v>1770</v>
      </c>
      <c r="D3213" s="818"/>
      <c r="E3213" s="818"/>
      <c r="F3213" s="818"/>
      <c r="G3213" s="818"/>
      <c r="H3213" s="408"/>
      <c r="I3213" s="168" t="s">
        <v>211</v>
      </c>
      <c r="J3213" s="166" t="s">
        <v>211</v>
      </c>
      <c r="K3213" s="168" t="s">
        <v>211</v>
      </c>
      <c r="L3213" s="166" t="s">
        <v>211</v>
      </c>
      <c r="M3213" s="168" t="s">
        <v>211</v>
      </c>
      <c r="N3213" s="166" t="s">
        <v>211</v>
      </c>
      <c r="O3213" s="168" t="s">
        <v>211</v>
      </c>
    </row>
    <row r="3214" spans="2:16" s="246" customFormat="1" ht="14" x14ac:dyDescent="0.2">
      <c r="B3214" s="293"/>
      <c r="C3214" s="819" t="s">
        <v>1771</v>
      </c>
      <c r="D3214" s="819"/>
      <c r="E3214" s="819"/>
      <c r="F3214" s="819"/>
      <c r="G3214" s="819"/>
      <c r="H3214" s="414"/>
      <c r="I3214" s="168" t="s">
        <v>211</v>
      </c>
      <c r="J3214" s="166" t="s">
        <v>211</v>
      </c>
      <c r="K3214" s="168" t="s">
        <v>211</v>
      </c>
      <c r="L3214" s="166" t="s">
        <v>211</v>
      </c>
      <c r="M3214" s="168" t="s">
        <v>211</v>
      </c>
      <c r="N3214" s="166" t="s">
        <v>211</v>
      </c>
      <c r="O3214" s="168" t="s">
        <v>211</v>
      </c>
      <c r="P3214" s="468"/>
    </row>
    <row r="3215" spans="2:16" s="246" customFormat="1" ht="14" x14ac:dyDescent="0.2">
      <c r="B3215" s="293"/>
      <c r="C3215" s="406"/>
      <c r="D3215" s="442"/>
      <c r="E3215" s="442"/>
      <c r="F3215" s="442"/>
      <c r="G3215" s="594" t="s">
        <v>1772</v>
      </c>
      <c r="H3215" s="768"/>
      <c r="I3215" s="170"/>
      <c r="J3215" s="167"/>
      <c r="K3215" s="170"/>
      <c r="L3215" s="167"/>
      <c r="M3215" s="170"/>
      <c r="N3215" s="167"/>
      <c r="O3215" s="170"/>
    </row>
    <row r="3216" spans="2:16" s="246" customFormat="1" ht="15" customHeight="1" x14ac:dyDescent="0.2">
      <c r="B3216" s="302"/>
      <c r="C3216" s="411"/>
      <c r="D3216" s="412"/>
      <c r="E3216" s="412"/>
      <c r="F3216" s="580" t="s">
        <v>1773</v>
      </c>
      <c r="G3216" s="580"/>
      <c r="H3216" s="585"/>
      <c r="I3216" s="170"/>
      <c r="J3216" s="167"/>
      <c r="K3216" s="170"/>
      <c r="L3216" s="167"/>
      <c r="M3216" s="170"/>
      <c r="N3216" s="167"/>
      <c r="O3216" s="170"/>
    </row>
    <row r="3217" spans="2:15" s="246" customFormat="1" ht="14" x14ac:dyDescent="0.2">
      <c r="B3217" s="291">
        <v>4</v>
      </c>
      <c r="C3217" s="815" t="s">
        <v>1774</v>
      </c>
      <c r="D3217" s="815"/>
      <c r="E3217" s="815"/>
      <c r="F3217" s="815"/>
      <c r="G3217" s="815"/>
      <c r="H3217" s="408"/>
      <c r="I3217" s="168" t="s">
        <v>211</v>
      </c>
      <c r="J3217" s="166" t="s">
        <v>211</v>
      </c>
      <c r="K3217" s="168" t="s">
        <v>211</v>
      </c>
      <c r="L3217" s="166" t="s">
        <v>211</v>
      </c>
      <c r="M3217" s="168" t="s">
        <v>211</v>
      </c>
      <c r="N3217" s="166" t="s">
        <v>211</v>
      </c>
      <c r="O3217" s="168" t="s">
        <v>211</v>
      </c>
    </row>
    <row r="3218" spans="2:15" s="246" customFormat="1" ht="14" x14ac:dyDescent="0.2">
      <c r="B3218" s="293"/>
      <c r="C3218" s="816"/>
      <c r="D3218" s="816"/>
      <c r="E3218" s="816"/>
      <c r="F3218" s="816"/>
      <c r="G3218" s="816"/>
      <c r="H3218" s="413"/>
      <c r="I3218" s="170"/>
      <c r="J3218" s="167"/>
      <c r="K3218" s="170"/>
      <c r="L3218" s="167"/>
      <c r="M3218" s="170"/>
      <c r="N3218" s="167"/>
      <c r="O3218" s="170"/>
    </row>
    <row r="3219" spans="2:15" s="246" customFormat="1" ht="14" x14ac:dyDescent="0.2">
      <c r="B3219" s="293"/>
      <c r="C3219" s="817" t="s">
        <v>1775</v>
      </c>
      <c r="D3219" s="817"/>
      <c r="E3219" s="817"/>
      <c r="F3219" s="817"/>
      <c r="G3219" s="817"/>
      <c r="H3219" s="414"/>
      <c r="I3219" s="168" t="s">
        <v>211</v>
      </c>
      <c r="J3219" s="166" t="s">
        <v>211</v>
      </c>
      <c r="K3219" s="168" t="s">
        <v>211</v>
      </c>
      <c r="L3219" s="166" t="s">
        <v>211</v>
      </c>
      <c r="M3219" s="168" t="s">
        <v>211</v>
      </c>
      <c r="N3219" s="166" t="s">
        <v>211</v>
      </c>
      <c r="O3219" s="168" t="s">
        <v>211</v>
      </c>
    </row>
    <row r="3220" spans="2:15" s="246" customFormat="1" ht="14" x14ac:dyDescent="0.2">
      <c r="B3220" s="293"/>
      <c r="C3220" s="817"/>
      <c r="D3220" s="817"/>
      <c r="E3220" s="817"/>
      <c r="F3220" s="817"/>
      <c r="G3220" s="817"/>
      <c r="H3220" s="413"/>
      <c r="I3220" s="170"/>
      <c r="J3220" s="167"/>
      <c r="K3220" s="170"/>
      <c r="L3220" s="167"/>
      <c r="M3220" s="170"/>
      <c r="N3220" s="167"/>
      <c r="O3220" s="170"/>
    </row>
    <row r="3221" spans="2:15" s="246" customFormat="1" ht="14" x14ac:dyDescent="0.2">
      <c r="B3221" s="293"/>
      <c r="C3221" s="817" t="s">
        <v>1776</v>
      </c>
      <c r="D3221" s="817"/>
      <c r="E3221" s="817"/>
      <c r="F3221" s="817"/>
      <c r="G3221" s="817"/>
      <c r="H3221" s="414"/>
      <c r="I3221" s="168" t="s">
        <v>211</v>
      </c>
      <c r="J3221" s="166" t="s">
        <v>211</v>
      </c>
      <c r="K3221" s="168" t="s">
        <v>211</v>
      </c>
      <c r="L3221" s="166" t="s">
        <v>211</v>
      </c>
      <c r="M3221" s="168" t="s">
        <v>211</v>
      </c>
      <c r="N3221" s="166" t="s">
        <v>211</v>
      </c>
      <c r="O3221" s="168" t="s">
        <v>211</v>
      </c>
    </row>
    <row r="3222" spans="2:15" s="246" customFormat="1" ht="14" x14ac:dyDescent="0.2">
      <c r="B3222" s="293"/>
      <c r="C3222" s="817"/>
      <c r="D3222" s="817"/>
      <c r="E3222" s="817"/>
      <c r="F3222" s="817"/>
      <c r="G3222" s="817"/>
      <c r="H3222" s="413"/>
      <c r="I3222" s="170"/>
      <c r="J3222" s="167"/>
      <c r="K3222" s="170"/>
      <c r="L3222" s="167"/>
      <c r="M3222" s="170"/>
      <c r="N3222" s="167"/>
      <c r="O3222" s="170"/>
    </row>
    <row r="3223" spans="2:15" s="246" customFormat="1" ht="14" x14ac:dyDescent="0.2">
      <c r="B3223" s="302"/>
      <c r="C3223" s="411"/>
      <c r="D3223" s="412"/>
      <c r="E3223" s="412"/>
      <c r="F3223" s="412"/>
      <c r="G3223" s="580" t="s">
        <v>870</v>
      </c>
      <c r="H3223" s="585"/>
      <c r="I3223" s="170"/>
      <c r="J3223" s="167"/>
      <c r="K3223" s="170"/>
      <c r="L3223" s="167"/>
      <c r="M3223" s="170"/>
      <c r="N3223" s="167"/>
      <c r="O3223" s="170"/>
    </row>
    <row r="3224" spans="2:15" s="246" customFormat="1" ht="14" x14ac:dyDescent="0.2">
      <c r="B3224" s="291">
        <v>5</v>
      </c>
      <c r="C3224" s="815" t="s">
        <v>1779</v>
      </c>
      <c r="D3224" s="815"/>
      <c r="E3224" s="815"/>
      <c r="F3224" s="815"/>
      <c r="G3224" s="815"/>
      <c r="H3224" s="408"/>
      <c r="I3224" s="168" t="s">
        <v>211</v>
      </c>
      <c r="J3224" s="166" t="s">
        <v>211</v>
      </c>
      <c r="K3224" s="168" t="s">
        <v>211</v>
      </c>
      <c r="L3224" s="166" t="s">
        <v>211</v>
      </c>
      <c r="M3224" s="168" t="s">
        <v>211</v>
      </c>
      <c r="N3224" s="166" t="s">
        <v>211</v>
      </c>
      <c r="O3224" s="168" t="s">
        <v>211</v>
      </c>
    </row>
    <row r="3225" spans="2:15" s="246" customFormat="1" ht="14" x14ac:dyDescent="0.2">
      <c r="B3225" s="293"/>
      <c r="C3225" s="816"/>
      <c r="D3225" s="816"/>
      <c r="E3225" s="816"/>
      <c r="F3225" s="816"/>
      <c r="G3225" s="816"/>
      <c r="H3225" s="413"/>
      <c r="I3225" s="170"/>
      <c r="J3225" s="167"/>
      <c r="K3225" s="170"/>
      <c r="L3225" s="167"/>
      <c r="M3225" s="170"/>
      <c r="N3225" s="167"/>
      <c r="O3225" s="170"/>
    </row>
    <row r="3226" spans="2:15" s="246" customFormat="1" ht="14" x14ac:dyDescent="0.2">
      <c r="B3226" s="293"/>
      <c r="C3226" s="817" t="s">
        <v>1775</v>
      </c>
      <c r="D3226" s="817"/>
      <c r="E3226" s="817"/>
      <c r="F3226" s="817"/>
      <c r="G3226" s="817"/>
      <c r="H3226" s="414"/>
      <c r="I3226" s="168" t="s">
        <v>211</v>
      </c>
      <c r="J3226" s="166" t="s">
        <v>211</v>
      </c>
      <c r="K3226" s="168" t="s">
        <v>211</v>
      </c>
      <c r="L3226" s="166" t="s">
        <v>211</v>
      </c>
      <c r="M3226" s="168" t="s">
        <v>211</v>
      </c>
      <c r="N3226" s="166" t="s">
        <v>211</v>
      </c>
      <c r="O3226" s="168" t="s">
        <v>211</v>
      </c>
    </row>
    <row r="3227" spans="2:15" s="246" customFormat="1" ht="14" x14ac:dyDescent="0.2">
      <c r="B3227" s="293"/>
      <c r="C3227" s="817"/>
      <c r="D3227" s="817"/>
      <c r="E3227" s="817"/>
      <c r="F3227" s="817"/>
      <c r="G3227" s="817"/>
      <c r="H3227" s="413"/>
      <c r="I3227" s="170"/>
      <c r="J3227" s="167"/>
      <c r="K3227" s="170"/>
      <c r="L3227" s="167"/>
      <c r="M3227" s="170"/>
      <c r="N3227" s="167"/>
      <c r="O3227" s="170"/>
    </row>
    <row r="3228" spans="2:15" s="246" customFormat="1" ht="14" x14ac:dyDescent="0.2">
      <c r="B3228" s="293"/>
      <c r="C3228" s="817" t="s">
        <v>1776</v>
      </c>
      <c r="D3228" s="817"/>
      <c r="E3228" s="817"/>
      <c r="F3228" s="817"/>
      <c r="G3228" s="817"/>
      <c r="H3228" s="414"/>
      <c r="I3228" s="168" t="s">
        <v>211</v>
      </c>
      <c r="J3228" s="166" t="s">
        <v>211</v>
      </c>
      <c r="K3228" s="168" t="s">
        <v>211</v>
      </c>
      <c r="L3228" s="166" t="s">
        <v>211</v>
      </c>
      <c r="M3228" s="168" t="s">
        <v>211</v>
      </c>
      <c r="N3228" s="166" t="s">
        <v>211</v>
      </c>
      <c r="O3228" s="168" t="s">
        <v>211</v>
      </c>
    </row>
    <row r="3229" spans="2:15" s="246" customFormat="1" ht="14" x14ac:dyDescent="0.2">
      <c r="B3229" s="293"/>
      <c r="C3229" s="817"/>
      <c r="D3229" s="817"/>
      <c r="E3229" s="817"/>
      <c r="F3229" s="817"/>
      <c r="G3229" s="817"/>
      <c r="H3229" s="413"/>
      <c r="I3229" s="170"/>
      <c r="J3229" s="167"/>
      <c r="K3229" s="170"/>
      <c r="L3229" s="167"/>
      <c r="M3229" s="170"/>
      <c r="N3229" s="167"/>
      <c r="O3229" s="170"/>
    </row>
    <row r="3230" spans="2:15" s="246" customFormat="1" ht="14" x14ac:dyDescent="0.2">
      <c r="B3230" s="302"/>
      <c r="C3230" s="411"/>
      <c r="D3230" s="412"/>
      <c r="E3230" s="412"/>
      <c r="F3230" s="412"/>
      <c r="G3230" s="580" t="s">
        <v>870</v>
      </c>
      <c r="H3230" s="585"/>
      <c r="I3230" s="170"/>
      <c r="J3230" s="167"/>
      <c r="K3230" s="170"/>
      <c r="L3230" s="167"/>
      <c r="M3230" s="170"/>
      <c r="N3230" s="167"/>
      <c r="O3230" s="170"/>
    </row>
    <row r="3231" spans="2:15" s="246" customFormat="1" ht="14" x14ac:dyDescent="0.2">
      <c r="B3231" s="291">
        <v>6</v>
      </c>
      <c r="C3231" s="820" t="s">
        <v>1780</v>
      </c>
      <c r="D3231" s="820"/>
      <c r="E3231" s="820"/>
      <c r="F3231" s="820"/>
      <c r="G3231" s="820"/>
      <c r="H3231" s="408"/>
      <c r="I3231" s="168" t="s">
        <v>211</v>
      </c>
      <c r="J3231" s="166" t="s">
        <v>211</v>
      </c>
      <c r="K3231" s="168" t="s">
        <v>211</v>
      </c>
      <c r="L3231" s="166" t="s">
        <v>211</v>
      </c>
      <c r="M3231" s="168" t="s">
        <v>211</v>
      </c>
      <c r="N3231" s="166" t="s">
        <v>211</v>
      </c>
      <c r="O3231" s="168" t="s">
        <v>211</v>
      </c>
    </row>
    <row r="3232" spans="2:15" s="246" customFormat="1" ht="14" x14ac:dyDescent="0.2">
      <c r="B3232" s="293"/>
      <c r="C3232" s="817"/>
      <c r="D3232" s="817"/>
      <c r="E3232" s="817"/>
      <c r="F3232" s="817"/>
      <c r="G3232" s="817"/>
      <c r="H3232" s="413"/>
      <c r="I3232" s="170"/>
      <c r="J3232" s="167"/>
      <c r="K3232" s="170"/>
      <c r="L3232" s="167"/>
      <c r="M3232" s="170"/>
      <c r="N3232" s="167"/>
      <c r="O3232" s="170"/>
    </row>
    <row r="3233" spans="2:15" s="246" customFormat="1" ht="14" x14ac:dyDescent="0.2">
      <c r="B3233" s="293"/>
      <c r="C3233" s="817" t="s">
        <v>1781</v>
      </c>
      <c r="D3233" s="817"/>
      <c r="E3233" s="817"/>
      <c r="F3233" s="817"/>
      <c r="G3233" s="817"/>
      <c r="H3233" s="414"/>
      <c r="I3233" s="168" t="s">
        <v>211</v>
      </c>
      <c r="J3233" s="166" t="s">
        <v>211</v>
      </c>
      <c r="K3233" s="168" t="s">
        <v>211</v>
      </c>
      <c r="L3233" s="166" t="s">
        <v>211</v>
      </c>
      <c r="M3233" s="168" t="s">
        <v>211</v>
      </c>
      <c r="N3233" s="166" t="s">
        <v>211</v>
      </c>
      <c r="O3233" s="168" t="s">
        <v>211</v>
      </c>
    </row>
    <row r="3234" spans="2:15" s="246" customFormat="1" ht="14" x14ac:dyDescent="0.2">
      <c r="B3234" s="293"/>
      <c r="C3234" s="817"/>
      <c r="D3234" s="817"/>
      <c r="E3234" s="817"/>
      <c r="F3234" s="817"/>
      <c r="G3234" s="817"/>
      <c r="H3234" s="413"/>
      <c r="I3234" s="170"/>
      <c r="J3234" s="167"/>
      <c r="K3234" s="170"/>
      <c r="L3234" s="167"/>
      <c r="M3234" s="170"/>
      <c r="N3234" s="167"/>
      <c r="O3234" s="170"/>
    </row>
    <row r="3235" spans="2:15" s="246" customFormat="1" ht="15" customHeight="1" x14ac:dyDescent="0.2">
      <c r="B3235" s="293"/>
      <c r="C3235" s="406"/>
      <c r="D3235" s="442"/>
      <c r="E3235" s="442"/>
      <c r="F3235" s="811" t="s">
        <v>1782</v>
      </c>
      <c r="G3235" s="811"/>
      <c r="H3235" s="771"/>
      <c r="I3235" s="170"/>
      <c r="J3235" s="167"/>
      <c r="K3235" s="170"/>
      <c r="L3235" s="167"/>
      <c r="M3235" s="170"/>
      <c r="N3235" s="167"/>
      <c r="O3235" s="170"/>
    </row>
    <row r="3236" spans="2:15" s="246" customFormat="1" ht="14" x14ac:dyDescent="0.2">
      <c r="B3236" s="302"/>
      <c r="C3236" s="411"/>
      <c r="D3236" s="412"/>
      <c r="E3236" s="412"/>
      <c r="F3236" s="412"/>
      <c r="G3236" s="613" t="s">
        <v>1777</v>
      </c>
      <c r="H3236" s="775"/>
      <c r="I3236" s="170"/>
      <c r="J3236" s="167"/>
      <c r="K3236" s="170"/>
      <c r="L3236" s="167"/>
      <c r="M3236" s="170"/>
      <c r="N3236" s="167"/>
      <c r="O3236" s="170"/>
    </row>
    <row r="3237" spans="2:15" s="246" customFormat="1" ht="14" x14ac:dyDescent="0.2">
      <c r="B3237" s="291">
        <v>7</v>
      </c>
      <c r="C3237" s="818" t="s">
        <v>1783</v>
      </c>
      <c r="D3237" s="818"/>
      <c r="E3237" s="818"/>
      <c r="F3237" s="818"/>
      <c r="G3237" s="818"/>
      <c r="H3237" s="408"/>
      <c r="I3237" s="168" t="s">
        <v>211</v>
      </c>
      <c r="J3237" s="166" t="s">
        <v>211</v>
      </c>
      <c r="K3237" s="168" t="s">
        <v>211</v>
      </c>
      <c r="L3237" s="166" t="s">
        <v>211</v>
      </c>
      <c r="M3237" s="168" t="s">
        <v>211</v>
      </c>
      <c r="N3237" s="166" t="s">
        <v>211</v>
      </c>
      <c r="O3237" s="168" t="s">
        <v>211</v>
      </c>
    </row>
    <row r="3238" spans="2:15" s="246" customFormat="1" ht="14" x14ac:dyDescent="0.2">
      <c r="B3238" s="293"/>
      <c r="C3238" s="819" t="s">
        <v>1784</v>
      </c>
      <c r="D3238" s="819"/>
      <c r="E3238" s="819"/>
      <c r="F3238" s="819"/>
      <c r="G3238" s="819"/>
      <c r="H3238" s="414"/>
      <c r="I3238" s="168" t="s">
        <v>211</v>
      </c>
      <c r="J3238" s="166" t="s">
        <v>211</v>
      </c>
      <c r="K3238" s="168" t="s">
        <v>211</v>
      </c>
      <c r="L3238" s="166" t="s">
        <v>211</v>
      </c>
      <c r="M3238" s="168" t="s">
        <v>211</v>
      </c>
      <c r="N3238" s="166" t="s">
        <v>211</v>
      </c>
      <c r="O3238" s="168" t="s">
        <v>211</v>
      </c>
    </row>
    <row r="3239" spans="2:15" s="246" customFormat="1" ht="14" x14ac:dyDescent="0.2">
      <c r="B3239" s="293"/>
      <c r="C3239" s="406"/>
      <c r="D3239" s="442"/>
      <c r="E3239" s="442"/>
      <c r="F3239" s="442"/>
      <c r="G3239" s="592" t="s">
        <v>1777</v>
      </c>
      <c r="H3239" s="587"/>
      <c r="I3239" s="170"/>
      <c r="J3239" s="167"/>
      <c r="K3239" s="170"/>
      <c r="L3239" s="167"/>
      <c r="M3239" s="170"/>
      <c r="N3239" s="167"/>
      <c r="O3239" s="170"/>
    </row>
    <row r="3240" spans="2:15" s="246" customFormat="1" ht="14" x14ac:dyDescent="0.2">
      <c r="B3240" s="302"/>
      <c r="C3240" s="411"/>
      <c r="D3240" s="412"/>
      <c r="E3240" s="412"/>
      <c r="F3240" s="412"/>
      <c r="G3240" s="580" t="s">
        <v>1778</v>
      </c>
      <c r="H3240" s="585"/>
      <c r="I3240" s="170"/>
      <c r="J3240" s="167"/>
      <c r="K3240" s="170"/>
      <c r="L3240" s="167"/>
      <c r="M3240" s="170"/>
      <c r="N3240" s="167"/>
      <c r="O3240" s="170"/>
    </row>
    <row r="3241" spans="2:15" s="246" customFormat="1" ht="14" x14ac:dyDescent="0.2">
      <c r="B3241" s="291">
        <v>8</v>
      </c>
      <c r="C3241" s="818" t="s">
        <v>1785</v>
      </c>
      <c r="D3241" s="818"/>
      <c r="E3241" s="818"/>
      <c r="F3241" s="818"/>
      <c r="G3241" s="818"/>
      <c r="H3241" s="408"/>
      <c r="I3241" s="168" t="s">
        <v>211</v>
      </c>
      <c r="J3241" s="166" t="s">
        <v>211</v>
      </c>
      <c r="K3241" s="168" t="s">
        <v>211</v>
      </c>
      <c r="L3241" s="166" t="s">
        <v>211</v>
      </c>
      <c r="M3241" s="168" t="s">
        <v>211</v>
      </c>
      <c r="N3241" s="166" t="s">
        <v>211</v>
      </c>
      <c r="O3241" s="168" t="s">
        <v>211</v>
      </c>
    </row>
    <row r="3242" spans="2:15" s="246" customFormat="1" ht="14" x14ac:dyDescent="0.2">
      <c r="B3242" s="293"/>
      <c r="C3242" s="816" t="s">
        <v>1786</v>
      </c>
      <c r="D3242" s="816"/>
      <c r="E3242" s="816"/>
      <c r="F3242" s="816"/>
      <c r="G3242" s="816"/>
      <c r="H3242" s="414"/>
      <c r="I3242" s="168" t="s">
        <v>211</v>
      </c>
      <c r="J3242" s="166" t="s">
        <v>211</v>
      </c>
      <c r="K3242" s="168" t="s">
        <v>211</v>
      </c>
      <c r="L3242" s="166" t="s">
        <v>211</v>
      </c>
      <c r="M3242" s="168" t="s">
        <v>211</v>
      </c>
      <c r="N3242" s="166" t="s">
        <v>211</v>
      </c>
      <c r="O3242" s="168" t="s">
        <v>211</v>
      </c>
    </row>
    <row r="3243" spans="2:15" s="246" customFormat="1" ht="14" x14ac:dyDescent="0.2">
      <c r="B3243" s="293"/>
      <c r="C3243" s="816"/>
      <c r="D3243" s="816"/>
      <c r="E3243" s="816"/>
      <c r="F3243" s="816"/>
      <c r="G3243" s="816"/>
      <c r="H3243" s="413"/>
      <c r="I3243" s="170"/>
      <c r="J3243" s="167"/>
      <c r="K3243" s="170"/>
      <c r="L3243" s="167"/>
      <c r="M3243" s="170"/>
      <c r="N3243" s="167"/>
      <c r="O3243" s="170"/>
    </row>
    <row r="3244" spans="2:15" s="246" customFormat="1" ht="14" x14ac:dyDescent="0.2">
      <c r="B3244" s="293"/>
      <c r="C3244" s="817" t="s">
        <v>1787</v>
      </c>
      <c r="D3244" s="817"/>
      <c r="E3244" s="817"/>
      <c r="F3244" s="817"/>
      <c r="G3244" s="817"/>
      <c r="H3244" s="414"/>
      <c r="I3244" s="168" t="s">
        <v>211</v>
      </c>
      <c r="J3244" s="166" t="s">
        <v>211</v>
      </c>
      <c r="K3244" s="168" t="s">
        <v>211</v>
      </c>
      <c r="L3244" s="166" t="s">
        <v>211</v>
      </c>
      <c r="M3244" s="168" t="s">
        <v>211</v>
      </c>
      <c r="N3244" s="166" t="s">
        <v>211</v>
      </c>
      <c r="O3244" s="168" t="s">
        <v>211</v>
      </c>
    </row>
    <row r="3245" spans="2:15" s="246" customFormat="1" ht="14" x14ac:dyDescent="0.2">
      <c r="B3245" s="293"/>
      <c r="C3245" s="817"/>
      <c r="D3245" s="817"/>
      <c r="E3245" s="817"/>
      <c r="F3245" s="817"/>
      <c r="G3245" s="817"/>
      <c r="H3245" s="413"/>
      <c r="I3245" s="170"/>
      <c r="J3245" s="167"/>
      <c r="K3245" s="170"/>
      <c r="L3245" s="167"/>
      <c r="M3245" s="170"/>
      <c r="N3245" s="167"/>
      <c r="O3245" s="170"/>
    </row>
    <row r="3246" spans="2:15" s="246" customFormat="1" ht="14" x14ac:dyDescent="0.2">
      <c r="B3246" s="302"/>
      <c r="C3246" s="411"/>
      <c r="D3246" s="412"/>
      <c r="E3246" s="412"/>
      <c r="F3246" s="412"/>
      <c r="G3246" s="613" t="s">
        <v>1788</v>
      </c>
      <c r="H3246" s="775"/>
      <c r="I3246" s="170"/>
      <c r="J3246" s="167"/>
      <c r="K3246" s="170"/>
      <c r="L3246" s="167"/>
      <c r="M3246" s="170"/>
      <c r="N3246" s="167"/>
      <c r="O3246" s="170"/>
    </row>
    <row r="3247" spans="2:15" s="246" customFormat="1" ht="14" x14ac:dyDescent="0.2">
      <c r="B3247" s="291">
        <v>9</v>
      </c>
      <c r="C3247" s="818" t="s">
        <v>1789</v>
      </c>
      <c r="D3247" s="818"/>
      <c r="E3247" s="818"/>
      <c r="F3247" s="818"/>
      <c r="G3247" s="818"/>
      <c r="H3247" s="408"/>
      <c r="I3247" s="168" t="s">
        <v>211</v>
      </c>
      <c r="J3247" s="166" t="s">
        <v>211</v>
      </c>
      <c r="K3247" s="168" t="s">
        <v>211</v>
      </c>
      <c r="L3247" s="166" t="s">
        <v>211</v>
      </c>
      <c r="M3247" s="168" t="s">
        <v>211</v>
      </c>
      <c r="N3247" s="166" t="s">
        <v>211</v>
      </c>
      <c r="O3247" s="168" t="s">
        <v>211</v>
      </c>
    </row>
    <row r="3248" spans="2:15" s="246" customFormat="1" ht="14" x14ac:dyDescent="0.2">
      <c r="B3248" s="295" t="s">
        <v>333</v>
      </c>
      <c r="C3248" s="905" t="s">
        <v>1790</v>
      </c>
      <c r="D3248" s="905"/>
      <c r="E3248" s="905"/>
      <c r="F3248" s="905"/>
      <c r="G3248" s="905"/>
      <c r="H3248" s="906"/>
      <c r="I3248" s="170"/>
      <c r="J3248" s="167"/>
      <c r="K3248" s="170"/>
      <c r="L3248" s="167"/>
      <c r="M3248" s="170"/>
      <c r="N3248" s="167"/>
      <c r="O3248" s="170"/>
    </row>
    <row r="3249" spans="2:15" s="246" customFormat="1" ht="14" x14ac:dyDescent="0.2">
      <c r="B3249" s="293"/>
      <c r="C3249" s="406"/>
      <c r="D3249" s="442"/>
      <c r="E3249" s="442"/>
      <c r="F3249" s="442"/>
      <c r="G3249" s="594" t="s">
        <v>1791</v>
      </c>
      <c r="H3249" s="768"/>
      <c r="I3249" s="170"/>
      <c r="J3249" s="167"/>
      <c r="K3249" s="170"/>
      <c r="L3249" s="167"/>
      <c r="M3249" s="170"/>
      <c r="N3249" s="167"/>
      <c r="O3249" s="170"/>
    </row>
    <row r="3250" spans="2:15" s="246" customFormat="1" ht="14" x14ac:dyDescent="0.2">
      <c r="B3250" s="302"/>
      <c r="C3250" s="411"/>
      <c r="D3250" s="412"/>
      <c r="E3250" s="412"/>
      <c r="F3250" s="412"/>
      <c r="G3250" s="580" t="s">
        <v>1792</v>
      </c>
      <c r="H3250" s="585"/>
      <c r="I3250" s="170"/>
      <c r="J3250" s="167"/>
      <c r="K3250" s="170"/>
      <c r="L3250" s="167"/>
      <c r="M3250" s="170"/>
      <c r="N3250" s="167"/>
      <c r="O3250" s="170"/>
    </row>
    <row r="3251" spans="2:15" s="246" customFormat="1" ht="14" x14ac:dyDescent="0.2">
      <c r="B3251" s="291">
        <v>10</v>
      </c>
      <c r="C3251" s="820" t="s">
        <v>1795</v>
      </c>
      <c r="D3251" s="820"/>
      <c r="E3251" s="820"/>
      <c r="F3251" s="820"/>
      <c r="G3251" s="820"/>
      <c r="H3251" s="408"/>
      <c r="I3251" s="168" t="s">
        <v>211</v>
      </c>
      <c r="J3251" s="166" t="s">
        <v>211</v>
      </c>
      <c r="K3251" s="168" t="s">
        <v>211</v>
      </c>
      <c r="L3251" s="166" t="s">
        <v>211</v>
      </c>
      <c r="M3251" s="168" t="s">
        <v>211</v>
      </c>
      <c r="N3251" s="166" t="s">
        <v>211</v>
      </c>
      <c r="O3251" s="168" t="s">
        <v>211</v>
      </c>
    </row>
    <row r="3252" spans="2:15" s="246" customFormat="1" ht="14" x14ac:dyDescent="0.2">
      <c r="B3252" s="293"/>
      <c r="C3252" s="817"/>
      <c r="D3252" s="817"/>
      <c r="E3252" s="817"/>
      <c r="F3252" s="817"/>
      <c r="G3252" s="817"/>
      <c r="H3252" s="413"/>
      <c r="I3252" s="170"/>
      <c r="J3252" s="167"/>
      <c r="K3252" s="170"/>
      <c r="L3252" s="167"/>
      <c r="M3252" s="170"/>
      <c r="N3252" s="167"/>
      <c r="O3252" s="170"/>
    </row>
    <row r="3253" spans="2:15" s="246" customFormat="1" ht="14" x14ac:dyDescent="0.2">
      <c r="B3253" s="293"/>
      <c r="C3253" s="819" t="s">
        <v>1793</v>
      </c>
      <c r="D3253" s="819"/>
      <c r="E3253" s="819"/>
      <c r="F3253" s="819"/>
      <c r="G3253" s="819"/>
      <c r="H3253" s="414"/>
      <c r="I3253" s="168" t="s">
        <v>211</v>
      </c>
      <c r="J3253" s="166" t="s">
        <v>211</v>
      </c>
      <c r="K3253" s="168" t="s">
        <v>211</v>
      </c>
      <c r="L3253" s="166" t="s">
        <v>211</v>
      </c>
      <c r="M3253" s="168" t="s">
        <v>211</v>
      </c>
      <c r="N3253" s="166" t="s">
        <v>211</v>
      </c>
      <c r="O3253" s="168" t="s">
        <v>211</v>
      </c>
    </row>
    <row r="3254" spans="2:15" s="246" customFormat="1" ht="14" x14ac:dyDescent="0.2">
      <c r="B3254" s="293"/>
      <c r="C3254" s="817" t="s">
        <v>1794</v>
      </c>
      <c r="D3254" s="817"/>
      <c r="E3254" s="817"/>
      <c r="F3254" s="817"/>
      <c r="G3254" s="817"/>
      <c r="H3254" s="414"/>
      <c r="I3254" s="168" t="s">
        <v>211</v>
      </c>
      <c r="J3254" s="166" t="s">
        <v>211</v>
      </c>
      <c r="K3254" s="168" t="s">
        <v>211</v>
      </c>
      <c r="L3254" s="166" t="s">
        <v>211</v>
      </c>
      <c r="M3254" s="168" t="s">
        <v>211</v>
      </c>
      <c r="N3254" s="166" t="s">
        <v>211</v>
      </c>
      <c r="O3254" s="168" t="s">
        <v>211</v>
      </c>
    </row>
    <row r="3255" spans="2:15" s="246" customFormat="1" ht="14" x14ac:dyDescent="0.2">
      <c r="B3255" s="293"/>
      <c r="C3255" s="817"/>
      <c r="D3255" s="817"/>
      <c r="E3255" s="817"/>
      <c r="F3255" s="817"/>
      <c r="G3255" s="817"/>
      <c r="H3255" s="413"/>
      <c r="I3255" s="170"/>
      <c r="J3255" s="167"/>
      <c r="K3255" s="170"/>
      <c r="L3255" s="167"/>
      <c r="M3255" s="170"/>
      <c r="N3255" s="167"/>
      <c r="O3255" s="170"/>
    </row>
    <row r="3256" spans="2:15" s="246" customFormat="1" ht="14" x14ac:dyDescent="0.2">
      <c r="B3256" s="293"/>
      <c r="C3256" s="819" t="s">
        <v>1796</v>
      </c>
      <c r="D3256" s="819"/>
      <c r="E3256" s="819"/>
      <c r="F3256" s="819"/>
      <c r="G3256" s="819"/>
      <c r="H3256" s="413"/>
      <c r="I3256" s="170"/>
      <c r="J3256" s="167"/>
      <c r="K3256" s="170"/>
      <c r="L3256" s="167"/>
      <c r="M3256" s="170"/>
      <c r="N3256" s="167"/>
      <c r="O3256" s="170"/>
    </row>
    <row r="3257" spans="2:15" s="246" customFormat="1" ht="14" x14ac:dyDescent="0.2">
      <c r="B3257" s="302"/>
      <c r="C3257" s="411"/>
      <c r="D3257" s="412"/>
      <c r="E3257" s="412"/>
      <c r="F3257" s="412"/>
      <c r="G3257" s="580" t="s">
        <v>1797</v>
      </c>
      <c r="H3257" s="585"/>
      <c r="I3257" s="170"/>
      <c r="J3257" s="167"/>
      <c r="K3257" s="170"/>
      <c r="L3257" s="167"/>
      <c r="M3257" s="170"/>
      <c r="N3257" s="167"/>
      <c r="O3257" s="170"/>
    </row>
    <row r="3258" spans="2:15" s="246" customFormat="1" ht="14" x14ac:dyDescent="0.2">
      <c r="B3258" s="291">
        <v>11</v>
      </c>
      <c r="C3258" s="818" t="s">
        <v>1798</v>
      </c>
      <c r="D3258" s="818"/>
      <c r="E3258" s="818"/>
      <c r="F3258" s="818"/>
      <c r="G3258" s="818"/>
      <c r="H3258" s="408"/>
      <c r="I3258" s="168" t="s">
        <v>211</v>
      </c>
      <c r="J3258" s="166" t="s">
        <v>211</v>
      </c>
      <c r="K3258" s="168" t="s">
        <v>211</v>
      </c>
      <c r="L3258" s="166" t="s">
        <v>211</v>
      </c>
      <c r="M3258" s="168" t="s">
        <v>211</v>
      </c>
      <c r="N3258" s="166" t="s">
        <v>211</v>
      </c>
      <c r="O3258" s="168" t="s">
        <v>211</v>
      </c>
    </row>
    <row r="3259" spans="2:15" s="246" customFormat="1" ht="14" x14ac:dyDescent="0.2">
      <c r="B3259" s="302"/>
      <c r="C3259" s="411"/>
      <c r="D3259" s="412"/>
      <c r="E3259" s="412"/>
      <c r="F3259" s="412"/>
      <c r="G3259" s="580" t="s">
        <v>1797</v>
      </c>
      <c r="H3259" s="585"/>
      <c r="I3259" s="170"/>
      <c r="J3259" s="167"/>
      <c r="K3259" s="170"/>
      <c r="L3259" s="167"/>
      <c r="M3259" s="170"/>
      <c r="N3259" s="167"/>
      <c r="O3259" s="170"/>
    </row>
    <row r="3260" spans="2:15" s="246" customFormat="1" ht="14" x14ac:dyDescent="0.2">
      <c r="B3260" s="291">
        <v>12</v>
      </c>
      <c r="C3260" s="818" t="s">
        <v>1799</v>
      </c>
      <c r="D3260" s="818"/>
      <c r="E3260" s="818"/>
      <c r="F3260" s="818"/>
      <c r="G3260" s="818"/>
      <c r="H3260" s="408"/>
      <c r="I3260" s="168" t="s">
        <v>211</v>
      </c>
      <c r="J3260" s="166" t="s">
        <v>211</v>
      </c>
      <c r="K3260" s="168" t="s">
        <v>211</v>
      </c>
      <c r="L3260" s="166" t="s">
        <v>211</v>
      </c>
      <c r="M3260" s="168" t="s">
        <v>211</v>
      </c>
      <c r="N3260" s="166" t="s">
        <v>211</v>
      </c>
      <c r="O3260" s="168" t="s">
        <v>211</v>
      </c>
    </row>
    <row r="3261" spans="2:15" s="246" customFormat="1" ht="14" x14ac:dyDescent="0.2">
      <c r="B3261" s="293"/>
      <c r="C3261" s="819" t="s">
        <v>1800</v>
      </c>
      <c r="D3261" s="819"/>
      <c r="E3261" s="819"/>
      <c r="F3261" s="819"/>
      <c r="G3261" s="819"/>
      <c r="H3261" s="413"/>
      <c r="I3261" s="170"/>
      <c r="J3261" s="167"/>
      <c r="K3261" s="170"/>
      <c r="L3261" s="167"/>
      <c r="M3261" s="170"/>
      <c r="N3261" s="167"/>
      <c r="O3261" s="170"/>
    </row>
    <row r="3262" spans="2:15" s="246" customFormat="1" ht="14" x14ac:dyDescent="0.2">
      <c r="B3262" s="302"/>
      <c r="C3262" s="411"/>
      <c r="D3262" s="412"/>
      <c r="E3262" s="412"/>
      <c r="F3262" s="412"/>
      <c r="G3262" s="580" t="s">
        <v>1801</v>
      </c>
      <c r="H3262" s="585"/>
      <c r="I3262" s="170"/>
      <c r="J3262" s="167"/>
      <c r="K3262" s="170"/>
      <c r="L3262" s="167"/>
      <c r="M3262" s="170"/>
      <c r="N3262" s="167"/>
      <c r="O3262" s="170"/>
    </row>
    <row r="3263" spans="2:15" s="246" customFormat="1" ht="14" x14ac:dyDescent="0.2">
      <c r="B3263" s="291">
        <v>13</v>
      </c>
      <c r="C3263" s="820" t="s">
        <v>1802</v>
      </c>
      <c r="D3263" s="820"/>
      <c r="E3263" s="820"/>
      <c r="F3263" s="820"/>
      <c r="G3263" s="820"/>
      <c r="H3263" s="408"/>
      <c r="I3263" s="168" t="s">
        <v>211</v>
      </c>
      <c r="J3263" s="166" t="s">
        <v>211</v>
      </c>
      <c r="K3263" s="168" t="s">
        <v>211</v>
      </c>
      <c r="L3263" s="166" t="s">
        <v>211</v>
      </c>
      <c r="M3263" s="168" t="s">
        <v>211</v>
      </c>
      <c r="N3263" s="166" t="s">
        <v>211</v>
      </c>
      <c r="O3263" s="168" t="s">
        <v>211</v>
      </c>
    </row>
    <row r="3264" spans="2:15" s="246" customFormat="1" ht="14" x14ac:dyDescent="0.2">
      <c r="B3264" s="293"/>
      <c r="C3264" s="817"/>
      <c r="D3264" s="817"/>
      <c r="E3264" s="817"/>
      <c r="F3264" s="817"/>
      <c r="G3264" s="817"/>
      <c r="H3264" s="413"/>
      <c r="I3264" s="170"/>
      <c r="J3264" s="167"/>
      <c r="K3264" s="170"/>
      <c r="L3264" s="167"/>
      <c r="M3264" s="170"/>
      <c r="N3264" s="167"/>
      <c r="O3264" s="170"/>
    </row>
    <row r="3265" spans="2:15" s="246" customFormat="1" ht="14" x14ac:dyDescent="0.2">
      <c r="B3265" s="302"/>
      <c r="C3265" s="411"/>
      <c r="D3265" s="412"/>
      <c r="E3265" s="412"/>
      <c r="F3265" s="412"/>
      <c r="G3265" s="580" t="s">
        <v>1803</v>
      </c>
      <c r="H3265" s="585"/>
      <c r="I3265" s="170"/>
      <c r="J3265" s="167"/>
      <c r="K3265" s="170"/>
      <c r="L3265" s="167"/>
      <c r="M3265" s="170"/>
      <c r="N3265" s="167"/>
      <c r="O3265" s="170"/>
    </row>
    <row r="3266" spans="2:15" s="246" customFormat="1" ht="14" x14ac:dyDescent="0.2">
      <c r="B3266" s="291">
        <v>14</v>
      </c>
      <c r="C3266" s="815" t="s">
        <v>1804</v>
      </c>
      <c r="D3266" s="815"/>
      <c r="E3266" s="815"/>
      <c r="F3266" s="815"/>
      <c r="G3266" s="815"/>
      <c r="H3266" s="408"/>
      <c r="I3266" s="168" t="s">
        <v>211</v>
      </c>
      <c r="J3266" s="166" t="s">
        <v>211</v>
      </c>
      <c r="K3266" s="168" t="s">
        <v>211</v>
      </c>
      <c r="L3266" s="166" t="s">
        <v>211</v>
      </c>
      <c r="M3266" s="168" t="s">
        <v>211</v>
      </c>
      <c r="N3266" s="166" t="s">
        <v>211</v>
      </c>
      <c r="O3266" s="168" t="s">
        <v>211</v>
      </c>
    </row>
    <row r="3267" spans="2:15" s="246" customFormat="1" ht="14" x14ac:dyDescent="0.2">
      <c r="B3267" s="293"/>
      <c r="C3267" s="816"/>
      <c r="D3267" s="816"/>
      <c r="E3267" s="816"/>
      <c r="F3267" s="816"/>
      <c r="G3267" s="816"/>
      <c r="H3267" s="413"/>
      <c r="I3267" s="170"/>
      <c r="J3267" s="167"/>
      <c r="K3267" s="170"/>
      <c r="L3267" s="167"/>
      <c r="M3267" s="170"/>
      <c r="N3267" s="167"/>
      <c r="O3267" s="170"/>
    </row>
    <row r="3268" spans="2:15" s="246" customFormat="1" ht="14" x14ac:dyDescent="0.2">
      <c r="B3268" s="302"/>
      <c r="C3268" s="411"/>
      <c r="D3268" s="412"/>
      <c r="E3268" s="412"/>
      <c r="F3268" s="412"/>
      <c r="G3268" s="580" t="s">
        <v>570</v>
      </c>
      <c r="H3268" s="585"/>
      <c r="I3268" s="170"/>
      <c r="J3268" s="167"/>
      <c r="K3268" s="170"/>
      <c r="L3268" s="167"/>
      <c r="M3268" s="170"/>
      <c r="N3268" s="167"/>
      <c r="O3268" s="170"/>
    </row>
    <row r="3269" spans="2:15" s="453" customFormat="1" ht="14" x14ac:dyDescent="0.2">
      <c r="B3269" s="112"/>
      <c r="I3269" s="134"/>
      <c r="J3269" s="105"/>
      <c r="K3269" s="134"/>
      <c r="L3269" s="105"/>
      <c r="M3269" s="134"/>
      <c r="N3269" s="105"/>
      <c r="O3269" s="134"/>
    </row>
    <row r="3270" spans="2:15" s="453" customFormat="1" ht="14" x14ac:dyDescent="0.2">
      <c r="B3270" s="415" t="s">
        <v>1448</v>
      </c>
      <c r="C3270" s="415"/>
      <c r="D3270" s="415"/>
      <c r="E3270" s="415"/>
      <c r="F3270" s="415"/>
      <c r="G3270" s="415"/>
      <c r="I3270" s="134"/>
      <c r="J3270" s="105"/>
      <c r="K3270" s="134"/>
      <c r="L3270" s="105"/>
      <c r="M3270" s="134"/>
      <c r="N3270" s="105"/>
      <c r="O3270" s="134"/>
    </row>
    <row r="3271" spans="2:15" s="453" customFormat="1" ht="14" x14ac:dyDescent="0.2">
      <c r="B3271" s="416" t="s">
        <v>1449</v>
      </c>
      <c r="C3271" s="416"/>
      <c r="D3271" s="416"/>
      <c r="E3271" s="416"/>
      <c r="F3271" s="416"/>
      <c r="G3271" s="416"/>
      <c r="I3271" s="134"/>
      <c r="J3271" s="105"/>
      <c r="K3271" s="134"/>
      <c r="L3271" s="105"/>
      <c r="M3271" s="134"/>
      <c r="N3271" s="105"/>
      <c r="O3271" s="134"/>
    </row>
    <row r="3272" spans="2:15" s="453" customFormat="1" ht="14" x14ac:dyDescent="0.2">
      <c r="B3272" s="291">
        <v>1</v>
      </c>
      <c r="C3272" s="598" t="s">
        <v>1450</v>
      </c>
      <c r="D3272" s="598"/>
      <c r="E3272" s="598"/>
      <c r="F3272" s="598"/>
      <c r="G3272" s="598"/>
      <c r="H3272" s="292"/>
      <c r="I3272" s="168" t="s">
        <v>211</v>
      </c>
      <c r="J3272" s="166" t="s">
        <v>211</v>
      </c>
      <c r="K3272" s="168" t="s">
        <v>211</v>
      </c>
      <c r="L3272" s="166" t="s">
        <v>211</v>
      </c>
      <c r="M3272" s="168" t="s">
        <v>211</v>
      </c>
      <c r="N3272" s="166" t="s">
        <v>211</v>
      </c>
      <c r="O3272" s="168" t="s">
        <v>211</v>
      </c>
    </row>
    <row r="3273" spans="2:15" s="453" customFormat="1" ht="14" x14ac:dyDescent="0.2">
      <c r="B3273" s="293"/>
      <c r="C3273" s="572" t="s">
        <v>1451</v>
      </c>
      <c r="D3273" s="572"/>
      <c r="E3273" s="572"/>
      <c r="F3273" s="572"/>
      <c r="G3273" s="572"/>
      <c r="H3273" s="296"/>
      <c r="I3273" s="168" t="s">
        <v>211</v>
      </c>
      <c r="J3273" s="166" t="s">
        <v>211</v>
      </c>
      <c r="K3273" s="168" t="s">
        <v>211</v>
      </c>
      <c r="L3273" s="166" t="s">
        <v>211</v>
      </c>
      <c r="M3273" s="168" t="s">
        <v>211</v>
      </c>
      <c r="N3273" s="166" t="s">
        <v>211</v>
      </c>
      <c r="O3273" s="168" t="s">
        <v>211</v>
      </c>
    </row>
    <row r="3274" spans="2:15" s="453" customFormat="1" ht="14" x14ac:dyDescent="0.2">
      <c r="B3274" s="293"/>
      <c r="C3274" s="572"/>
      <c r="D3274" s="572"/>
      <c r="E3274" s="572"/>
      <c r="F3274" s="572"/>
      <c r="G3274" s="572"/>
      <c r="H3274" s="294"/>
      <c r="I3274" s="169"/>
      <c r="J3274" s="167"/>
      <c r="K3274" s="169"/>
      <c r="L3274" s="167"/>
      <c r="M3274" s="169"/>
      <c r="N3274" s="167"/>
      <c r="O3274" s="169"/>
    </row>
    <row r="3275" spans="2:15" s="453" customFormat="1" ht="14" x14ac:dyDescent="0.2">
      <c r="B3275" s="295" t="s">
        <v>333</v>
      </c>
      <c r="C3275" s="597" t="s">
        <v>1454</v>
      </c>
      <c r="D3275" s="597"/>
      <c r="E3275" s="597"/>
      <c r="F3275" s="597"/>
      <c r="G3275" s="597"/>
      <c r="H3275" s="294"/>
      <c r="I3275" s="169"/>
      <c r="J3275" s="167"/>
      <c r="K3275" s="169"/>
      <c r="L3275" s="167"/>
      <c r="M3275" s="169"/>
      <c r="N3275" s="167"/>
      <c r="O3275" s="169"/>
    </row>
    <row r="3276" spans="2:15" s="453" customFormat="1" ht="14" x14ac:dyDescent="0.2">
      <c r="B3276" s="295"/>
      <c r="C3276" s="597"/>
      <c r="D3276" s="597"/>
      <c r="E3276" s="597"/>
      <c r="F3276" s="597"/>
      <c r="G3276" s="597"/>
      <c r="H3276" s="294"/>
      <c r="I3276" s="169"/>
      <c r="J3276" s="167"/>
      <c r="K3276" s="169"/>
      <c r="L3276" s="167"/>
      <c r="M3276" s="169"/>
      <c r="N3276" s="167"/>
      <c r="O3276" s="169"/>
    </row>
    <row r="3277" spans="2:15" s="453" customFormat="1" ht="14" x14ac:dyDescent="0.2">
      <c r="B3277" s="293"/>
      <c r="C3277" s="572" t="s">
        <v>1452</v>
      </c>
      <c r="D3277" s="572"/>
      <c r="E3277" s="572"/>
      <c r="F3277" s="572"/>
      <c r="G3277" s="572"/>
      <c r="H3277" s="296"/>
      <c r="I3277" s="168" t="s">
        <v>211</v>
      </c>
      <c r="J3277" s="166" t="s">
        <v>211</v>
      </c>
      <c r="K3277" s="168" t="s">
        <v>211</v>
      </c>
      <c r="L3277" s="166" t="s">
        <v>211</v>
      </c>
      <c r="M3277" s="168" t="s">
        <v>211</v>
      </c>
      <c r="N3277" s="166" t="s">
        <v>211</v>
      </c>
      <c r="O3277" s="168" t="s">
        <v>211</v>
      </c>
    </row>
    <row r="3278" spans="2:15" s="453" customFormat="1" ht="14" x14ac:dyDescent="0.2">
      <c r="B3278" s="293"/>
      <c r="C3278" s="572" t="s">
        <v>1453</v>
      </c>
      <c r="D3278" s="572"/>
      <c r="E3278" s="572"/>
      <c r="F3278" s="572"/>
      <c r="G3278" s="572"/>
      <c r="H3278" s="296"/>
      <c r="I3278" s="168" t="s">
        <v>211</v>
      </c>
      <c r="J3278" s="166" t="s">
        <v>211</v>
      </c>
      <c r="K3278" s="168" t="s">
        <v>211</v>
      </c>
      <c r="L3278" s="166" t="s">
        <v>211</v>
      </c>
      <c r="M3278" s="168" t="s">
        <v>211</v>
      </c>
      <c r="N3278" s="166" t="s">
        <v>211</v>
      </c>
      <c r="O3278" s="168" t="s">
        <v>211</v>
      </c>
    </row>
    <row r="3279" spans="2:15" s="453" customFormat="1" ht="14" x14ac:dyDescent="0.2">
      <c r="B3279" s="293"/>
      <c r="C3279" s="572"/>
      <c r="D3279" s="572"/>
      <c r="E3279" s="572"/>
      <c r="F3279" s="572"/>
      <c r="G3279" s="572"/>
      <c r="H3279" s="294"/>
      <c r="I3279" s="169"/>
      <c r="J3279" s="167"/>
      <c r="K3279" s="169"/>
      <c r="L3279" s="167"/>
      <c r="M3279" s="169"/>
      <c r="N3279" s="167"/>
      <c r="O3279" s="169"/>
    </row>
    <row r="3280" spans="2:15" s="453" customFormat="1" ht="14" x14ac:dyDescent="0.2">
      <c r="B3280" s="293"/>
      <c r="E3280" s="586" t="s">
        <v>1455</v>
      </c>
      <c r="F3280" s="586"/>
      <c r="G3280" s="586"/>
      <c r="H3280" s="587"/>
      <c r="I3280" s="169"/>
      <c r="J3280" s="167"/>
      <c r="K3280" s="169"/>
      <c r="L3280" s="167"/>
      <c r="M3280" s="169"/>
      <c r="N3280" s="167"/>
      <c r="O3280" s="169"/>
    </row>
    <row r="3281" spans="2:15" s="453" customFormat="1" ht="14" x14ac:dyDescent="0.2">
      <c r="B3281" s="293"/>
      <c r="E3281" s="417"/>
      <c r="F3281" s="586" t="s">
        <v>1456</v>
      </c>
      <c r="G3281" s="586"/>
      <c r="H3281" s="587"/>
      <c r="I3281" s="169"/>
      <c r="J3281" s="167"/>
      <c r="K3281" s="169"/>
      <c r="L3281" s="167"/>
      <c r="M3281" s="169"/>
      <c r="N3281" s="167"/>
      <c r="O3281" s="169"/>
    </row>
    <row r="3282" spans="2:15" s="453" customFormat="1" ht="14" x14ac:dyDescent="0.2">
      <c r="B3282" s="302"/>
      <c r="C3282" s="303"/>
      <c r="D3282" s="303"/>
      <c r="E3282" s="418"/>
      <c r="F3282" s="599" t="s">
        <v>1457</v>
      </c>
      <c r="G3282" s="599"/>
      <c r="H3282" s="615"/>
      <c r="I3282" s="169"/>
      <c r="J3282" s="167"/>
      <c r="K3282" s="169"/>
      <c r="L3282" s="167"/>
      <c r="M3282" s="169"/>
      <c r="N3282" s="167"/>
      <c r="O3282" s="169"/>
    </row>
    <row r="3283" spans="2:15" s="453" customFormat="1" ht="14" x14ac:dyDescent="0.2">
      <c r="B3283" s="291">
        <v>2</v>
      </c>
      <c r="C3283" s="602" t="s">
        <v>1458</v>
      </c>
      <c r="D3283" s="602"/>
      <c r="E3283" s="602"/>
      <c r="F3283" s="602"/>
      <c r="G3283" s="602"/>
      <c r="H3283" s="292"/>
      <c r="I3283" s="168" t="s">
        <v>211</v>
      </c>
      <c r="J3283" s="166" t="s">
        <v>211</v>
      </c>
      <c r="K3283" s="168" t="s">
        <v>211</v>
      </c>
      <c r="L3283" s="166" t="s">
        <v>211</v>
      </c>
      <c r="M3283" s="168" t="s">
        <v>211</v>
      </c>
      <c r="N3283" s="166" t="s">
        <v>211</v>
      </c>
      <c r="O3283" s="168" t="s">
        <v>211</v>
      </c>
    </row>
    <row r="3284" spans="2:15" s="453" customFormat="1" ht="14" x14ac:dyDescent="0.2">
      <c r="B3284" s="293"/>
      <c r="C3284" s="573" t="s">
        <v>1459</v>
      </c>
      <c r="D3284" s="573"/>
      <c r="E3284" s="573"/>
      <c r="F3284" s="573"/>
      <c r="G3284" s="573"/>
      <c r="H3284" s="296"/>
      <c r="I3284" s="168" t="s">
        <v>211</v>
      </c>
      <c r="J3284" s="166" t="s">
        <v>211</v>
      </c>
      <c r="K3284" s="168" t="s">
        <v>211</v>
      </c>
      <c r="L3284" s="166" t="s">
        <v>211</v>
      </c>
      <c r="M3284" s="168" t="s">
        <v>211</v>
      </c>
      <c r="N3284" s="166" t="s">
        <v>211</v>
      </c>
      <c r="O3284" s="168" t="s">
        <v>211</v>
      </c>
    </row>
    <row r="3285" spans="2:15" s="453" customFormat="1" ht="14" x14ac:dyDescent="0.2">
      <c r="B3285" s="293"/>
      <c r="D3285" s="573" t="s">
        <v>1460</v>
      </c>
      <c r="E3285" s="573"/>
      <c r="F3285" s="573"/>
      <c r="G3285" s="573"/>
      <c r="H3285" s="296"/>
      <c r="I3285" s="168" t="s">
        <v>211</v>
      </c>
      <c r="J3285" s="166" t="s">
        <v>211</v>
      </c>
      <c r="K3285" s="168" t="s">
        <v>211</v>
      </c>
      <c r="L3285" s="166" t="s">
        <v>211</v>
      </c>
      <c r="M3285" s="168" t="s">
        <v>211</v>
      </c>
      <c r="N3285" s="166" t="s">
        <v>211</v>
      </c>
      <c r="O3285" s="168" t="s">
        <v>211</v>
      </c>
    </row>
    <row r="3286" spans="2:15" s="453" customFormat="1" ht="14" x14ac:dyDescent="0.2">
      <c r="B3286" s="293"/>
      <c r="D3286" s="573" t="s">
        <v>1461</v>
      </c>
      <c r="E3286" s="573"/>
      <c r="F3286" s="573"/>
      <c r="G3286" s="573"/>
      <c r="H3286" s="296"/>
      <c r="I3286" s="168" t="s">
        <v>211</v>
      </c>
      <c r="J3286" s="166" t="s">
        <v>211</v>
      </c>
      <c r="K3286" s="168" t="s">
        <v>211</v>
      </c>
      <c r="L3286" s="166" t="s">
        <v>211</v>
      </c>
      <c r="M3286" s="168" t="s">
        <v>211</v>
      </c>
      <c r="N3286" s="166" t="s">
        <v>211</v>
      </c>
      <c r="O3286" s="168" t="s">
        <v>211</v>
      </c>
    </row>
    <row r="3287" spans="2:15" s="453" customFormat="1" ht="14" x14ac:dyDescent="0.2">
      <c r="B3287" s="293"/>
      <c r="D3287" s="573" t="s">
        <v>1462</v>
      </c>
      <c r="E3287" s="573"/>
      <c r="F3287" s="573"/>
      <c r="G3287" s="573"/>
      <c r="H3287" s="296"/>
      <c r="I3287" s="168" t="s">
        <v>211</v>
      </c>
      <c r="J3287" s="166" t="s">
        <v>211</v>
      </c>
      <c r="K3287" s="168" t="s">
        <v>211</v>
      </c>
      <c r="L3287" s="166" t="s">
        <v>211</v>
      </c>
      <c r="M3287" s="168" t="s">
        <v>211</v>
      </c>
      <c r="N3287" s="166" t="s">
        <v>211</v>
      </c>
      <c r="O3287" s="168" t="s">
        <v>211</v>
      </c>
    </row>
    <row r="3288" spans="2:15" s="453" customFormat="1" ht="14" x14ac:dyDescent="0.2">
      <c r="B3288" s="293"/>
      <c r="D3288" s="785" t="s">
        <v>1463</v>
      </c>
      <c r="E3288" s="785"/>
      <c r="F3288" s="785"/>
      <c r="G3288" s="785"/>
      <c r="H3288" s="296"/>
      <c r="I3288" s="168" t="s">
        <v>211</v>
      </c>
      <c r="J3288" s="166" t="s">
        <v>211</v>
      </c>
      <c r="K3288" s="168" t="s">
        <v>211</v>
      </c>
      <c r="L3288" s="166" t="s">
        <v>211</v>
      </c>
      <c r="M3288" s="168" t="s">
        <v>211</v>
      </c>
      <c r="N3288" s="166" t="s">
        <v>211</v>
      </c>
      <c r="O3288" s="168" t="s">
        <v>211</v>
      </c>
    </row>
    <row r="3289" spans="2:15" s="453" customFormat="1" ht="14" x14ac:dyDescent="0.2">
      <c r="B3289" s="293"/>
      <c r="F3289" s="593" t="s">
        <v>1464</v>
      </c>
      <c r="G3289" s="593"/>
      <c r="H3289" s="768"/>
      <c r="I3289" s="169"/>
      <c r="J3289" s="167"/>
      <c r="K3289" s="169"/>
      <c r="L3289" s="167"/>
      <c r="M3289" s="169"/>
      <c r="N3289" s="167"/>
      <c r="O3289" s="169"/>
    </row>
    <row r="3290" spans="2:15" s="453" customFormat="1" ht="14" x14ac:dyDescent="0.2">
      <c r="B3290" s="293"/>
      <c r="C3290" s="572" t="s">
        <v>1465</v>
      </c>
      <c r="D3290" s="572"/>
      <c r="E3290" s="572"/>
      <c r="F3290" s="572"/>
      <c r="G3290" s="572"/>
      <c r="H3290" s="296"/>
      <c r="I3290" s="168" t="s">
        <v>211</v>
      </c>
      <c r="J3290" s="166" t="s">
        <v>211</v>
      </c>
      <c r="K3290" s="168" t="s">
        <v>211</v>
      </c>
      <c r="L3290" s="166" t="s">
        <v>211</v>
      </c>
      <c r="M3290" s="168" t="s">
        <v>211</v>
      </c>
      <c r="N3290" s="166" t="s">
        <v>211</v>
      </c>
      <c r="O3290" s="168" t="s">
        <v>211</v>
      </c>
    </row>
    <row r="3291" spans="2:15" s="453" customFormat="1" ht="14" x14ac:dyDescent="0.2">
      <c r="B3291" s="293"/>
      <c r="C3291" s="572"/>
      <c r="D3291" s="572"/>
      <c r="E3291" s="572"/>
      <c r="F3291" s="572"/>
      <c r="G3291" s="572"/>
      <c r="H3291" s="294"/>
      <c r="I3291" s="169"/>
      <c r="J3291" s="167"/>
      <c r="K3291" s="169"/>
      <c r="L3291" s="167"/>
      <c r="M3291" s="169"/>
      <c r="N3291" s="167"/>
      <c r="O3291" s="169"/>
    </row>
    <row r="3292" spans="2:15" s="453" customFormat="1" ht="14" x14ac:dyDescent="0.2">
      <c r="B3292" s="293"/>
      <c r="F3292" s="593" t="s">
        <v>570</v>
      </c>
      <c r="G3292" s="593"/>
      <c r="H3292" s="768"/>
      <c r="I3292" s="169"/>
      <c r="J3292" s="167"/>
      <c r="K3292" s="169"/>
      <c r="L3292" s="167"/>
      <c r="M3292" s="169"/>
      <c r="N3292" s="167"/>
      <c r="O3292" s="169"/>
    </row>
    <row r="3293" spans="2:15" s="453" customFormat="1" ht="14" x14ac:dyDescent="0.2">
      <c r="B3293" s="295" t="s">
        <v>333</v>
      </c>
      <c r="C3293" s="597" t="s">
        <v>1466</v>
      </c>
      <c r="D3293" s="597"/>
      <c r="E3293" s="597"/>
      <c r="F3293" s="597"/>
      <c r="G3293" s="597"/>
      <c r="H3293" s="294"/>
      <c r="I3293" s="169"/>
      <c r="J3293" s="167"/>
      <c r="K3293" s="169"/>
      <c r="L3293" s="167"/>
      <c r="M3293" s="169"/>
      <c r="N3293" s="167"/>
      <c r="O3293" s="169"/>
    </row>
    <row r="3294" spans="2:15" s="453" customFormat="1" ht="14" x14ac:dyDescent="0.2">
      <c r="B3294" s="295"/>
      <c r="C3294" s="597"/>
      <c r="D3294" s="597"/>
      <c r="E3294" s="597"/>
      <c r="F3294" s="597"/>
      <c r="G3294" s="597"/>
      <c r="H3294" s="294"/>
      <c r="I3294" s="169"/>
      <c r="J3294" s="167"/>
      <c r="K3294" s="169"/>
      <c r="L3294" s="167"/>
      <c r="M3294" s="169"/>
      <c r="N3294" s="167"/>
      <c r="O3294" s="169"/>
    </row>
    <row r="3295" spans="2:15" s="453" customFormat="1" ht="14" x14ac:dyDescent="0.2">
      <c r="B3295" s="297"/>
      <c r="C3295" s="641"/>
      <c r="D3295" s="641"/>
      <c r="E3295" s="641"/>
      <c r="F3295" s="641"/>
      <c r="G3295" s="641"/>
      <c r="H3295" s="298"/>
      <c r="I3295" s="169"/>
      <c r="J3295" s="167"/>
      <c r="K3295" s="169"/>
      <c r="L3295" s="167"/>
      <c r="M3295" s="169"/>
      <c r="N3295" s="167"/>
      <c r="O3295" s="169"/>
    </row>
    <row r="3296" spans="2:15" s="453" customFormat="1" ht="14" x14ac:dyDescent="0.2">
      <c r="B3296" s="291">
        <v>3</v>
      </c>
      <c r="C3296" s="598" t="s">
        <v>555</v>
      </c>
      <c r="D3296" s="598"/>
      <c r="E3296" s="598"/>
      <c r="F3296" s="598"/>
      <c r="G3296" s="598"/>
      <c r="H3296" s="292"/>
      <c r="I3296" s="168" t="s">
        <v>211</v>
      </c>
      <c r="J3296" s="166" t="s">
        <v>211</v>
      </c>
      <c r="K3296" s="168" t="s">
        <v>211</v>
      </c>
      <c r="L3296" s="166" t="s">
        <v>211</v>
      </c>
      <c r="M3296" s="168" t="s">
        <v>211</v>
      </c>
      <c r="N3296" s="166" t="s">
        <v>211</v>
      </c>
      <c r="O3296" s="168" t="s">
        <v>211</v>
      </c>
    </row>
    <row r="3297" spans="2:15" s="453" customFormat="1" ht="14" x14ac:dyDescent="0.2">
      <c r="B3297" s="293"/>
      <c r="C3297" s="573" t="s">
        <v>1478</v>
      </c>
      <c r="D3297" s="573"/>
      <c r="E3297" s="573"/>
      <c r="F3297" s="573"/>
      <c r="G3297" s="573"/>
      <c r="H3297" s="296"/>
      <c r="I3297" s="168" t="s">
        <v>211</v>
      </c>
      <c r="J3297" s="166" t="s">
        <v>211</v>
      </c>
      <c r="K3297" s="168" t="s">
        <v>211</v>
      </c>
      <c r="L3297" s="166" t="s">
        <v>211</v>
      </c>
      <c r="M3297" s="168" t="s">
        <v>211</v>
      </c>
      <c r="N3297" s="166" t="s">
        <v>211</v>
      </c>
      <c r="O3297" s="168" t="s">
        <v>211</v>
      </c>
    </row>
    <row r="3298" spans="2:15" s="453" customFormat="1" ht="14" x14ac:dyDescent="0.2">
      <c r="B3298" s="293"/>
      <c r="C3298" s="573" t="s">
        <v>1479</v>
      </c>
      <c r="D3298" s="573"/>
      <c r="E3298" s="573"/>
      <c r="F3298" s="573"/>
      <c r="G3298" s="573"/>
      <c r="H3298" s="296"/>
      <c r="I3298" s="168" t="s">
        <v>211</v>
      </c>
      <c r="J3298" s="166" t="s">
        <v>211</v>
      </c>
      <c r="K3298" s="168" t="s">
        <v>211</v>
      </c>
      <c r="L3298" s="166" t="s">
        <v>211</v>
      </c>
      <c r="M3298" s="168" t="s">
        <v>211</v>
      </c>
      <c r="N3298" s="166" t="s">
        <v>211</v>
      </c>
      <c r="O3298" s="168" t="s">
        <v>211</v>
      </c>
    </row>
    <row r="3299" spans="2:15" s="453" customFormat="1" ht="14" x14ac:dyDescent="0.2">
      <c r="B3299" s="302"/>
      <c r="C3299" s="455"/>
      <c r="D3299" s="455"/>
      <c r="E3299" s="455"/>
      <c r="F3299" s="613" t="s">
        <v>604</v>
      </c>
      <c r="G3299" s="613"/>
      <c r="H3299" s="775"/>
      <c r="I3299" s="169"/>
      <c r="J3299" s="167"/>
      <c r="K3299" s="169"/>
      <c r="L3299" s="167"/>
      <c r="M3299" s="169"/>
      <c r="N3299" s="167"/>
      <c r="O3299" s="169"/>
    </row>
    <row r="3300" spans="2:15" s="453" customFormat="1" ht="14" x14ac:dyDescent="0.2">
      <c r="B3300" s="291">
        <v>4</v>
      </c>
      <c r="C3300" s="598" t="s">
        <v>1480</v>
      </c>
      <c r="D3300" s="598"/>
      <c r="E3300" s="598"/>
      <c r="F3300" s="598"/>
      <c r="G3300" s="598"/>
      <c r="H3300" s="292"/>
      <c r="I3300" s="168" t="s">
        <v>211</v>
      </c>
      <c r="J3300" s="166" t="s">
        <v>211</v>
      </c>
      <c r="K3300" s="168" t="s">
        <v>211</v>
      </c>
      <c r="L3300" s="166" t="s">
        <v>211</v>
      </c>
      <c r="M3300" s="168" t="s">
        <v>211</v>
      </c>
      <c r="N3300" s="166" t="s">
        <v>211</v>
      </c>
      <c r="O3300" s="168" t="s">
        <v>211</v>
      </c>
    </row>
    <row r="3301" spans="2:15" s="453" customFormat="1" ht="14" x14ac:dyDescent="0.2">
      <c r="B3301" s="293"/>
      <c r="C3301" s="573" t="s">
        <v>1481</v>
      </c>
      <c r="D3301" s="573"/>
      <c r="E3301" s="573"/>
      <c r="F3301" s="573"/>
      <c r="G3301" s="573"/>
      <c r="H3301" s="296"/>
      <c r="I3301" s="168" t="s">
        <v>211</v>
      </c>
      <c r="J3301" s="166" t="s">
        <v>211</v>
      </c>
      <c r="K3301" s="168" t="s">
        <v>211</v>
      </c>
      <c r="L3301" s="166" t="s">
        <v>211</v>
      </c>
      <c r="M3301" s="168" t="s">
        <v>211</v>
      </c>
      <c r="N3301" s="166" t="s">
        <v>211</v>
      </c>
      <c r="O3301" s="168" t="s">
        <v>211</v>
      </c>
    </row>
    <row r="3302" spans="2:15" s="453" customFormat="1" ht="14" x14ac:dyDescent="0.2">
      <c r="B3302" s="293"/>
      <c r="C3302" s="572" t="s">
        <v>1482</v>
      </c>
      <c r="D3302" s="572"/>
      <c r="E3302" s="572"/>
      <c r="F3302" s="572"/>
      <c r="G3302" s="572"/>
      <c r="H3302" s="296"/>
      <c r="I3302" s="168" t="s">
        <v>211</v>
      </c>
      <c r="J3302" s="166" t="s">
        <v>211</v>
      </c>
      <c r="K3302" s="168" t="s">
        <v>211</v>
      </c>
      <c r="L3302" s="166" t="s">
        <v>211</v>
      </c>
      <c r="M3302" s="168" t="s">
        <v>211</v>
      </c>
      <c r="N3302" s="166" t="s">
        <v>211</v>
      </c>
      <c r="O3302" s="168" t="s">
        <v>211</v>
      </c>
    </row>
    <row r="3303" spans="2:15" s="453" customFormat="1" ht="14" x14ac:dyDescent="0.2">
      <c r="B3303" s="293"/>
      <c r="C3303" s="572"/>
      <c r="D3303" s="572"/>
      <c r="E3303" s="572"/>
      <c r="F3303" s="572"/>
      <c r="G3303" s="572"/>
      <c r="H3303" s="294"/>
      <c r="I3303" s="169"/>
      <c r="J3303" s="167"/>
      <c r="K3303" s="169"/>
      <c r="L3303" s="167"/>
      <c r="M3303" s="169"/>
      <c r="N3303" s="167"/>
      <c r="O3303" s="169"/>
    </row>
    <row r="3304" spans="2:15" s="453" customFormat="1" ht="14" x14ac:dyDescent="0.2">
      <c r="B3304" s="302"/>
      <c r="C3304" s="455"/>
      <c r="D3304" s="455"/>
      <c r="E3304" s="455"/>
      <c r="F3304" s="580" t="s">
        <v>570</v>
      </c>
      <c r="G3304" s="580"/>
      <c r="H3304" s="585"/>
      <c r="I3304" s="169"/>
      <c r="J3304" s="167"/>
      <c r="K3304" s="169"/>
      <c r="L3304" s="167"/>
      <c r="M3304" s="169"/>
      <c r="N3304" s="167"/>
      <c r="O3304" s="169"/>
    </row>
    <row r="3305" spans="2:15" s="453" customFormat="1" ht="14" x14ac:dyDescent="0.2">
      <c r="B3305" s="112"/>
      <c r="C3305" s="443"/>
      <c r="D3305" s="443"/>
      <c r="E3305" s="443"/>
      <c r="F3305" s="443"/>
      <c r="G3305" s="443"/>
      <c r="I3305" s="135"/>
      <c r="J3305" s="105"/>
      <c r="K3305" s="135"/>
      <c r="L3305" s="105"/>
      <c r="M3305" s="135"/>
      <c r="N3305" s="105"/>
      <c r="O3305" s="135"/>
    </row>
    <row r="3306" spans="2:15" s="453" customFormat="1" ht="14" x14ac:dyDescent="0.2">
      <c r="B3306" s="419" t="s">
        <v>1467</v>
      </c>
      <c r="C3306" s="419"/>
      <c r="D3306" s="419"/>
      <c r="E3306" s="419"/>
      <c r="F3306" s="419"/>
      <c r="G3306" s="419"/>
      <c r="I3306" s="135"/>
      <c r="J3306" s="105"/>
      <c r="K3306" s="135"/>
      <c r="L3306" s="105"/>
      <c r="M3306" s="135"/>
      <c r="N3306" s="105"/>
      <c r="O3306" s="135"/>
    </row>
    <row r="3307" spans="2:15" s="453" customFormat="1" ht="14" x14ac:dyDescent="0.2">
      <c r="B3307" s="291">
        <v>1</v>
      </c>
      <c r="C3307" s="598" t="s">
        <v>1468</v>
      </c>
      <c r="D3307" s="598"/>
      <c r="E3307" s="598"/>
      <c r="F3307" s="598"/>
      <c r="G3307" s="598"/>
      <c r="H3307" s="292"/>
      <c r="I3307" s="168" t="s">
        <v>211</v>
      </c>
      <c r="J3307" s="166" t="s">
        <v>211</v>
      </c>
      <c r="K3307" s="168" t="s">
        <v>211</v>
      </c>
      <c r="L3307" s="166" t="s">
        <v>211</v>
      </c>
      <c r="M3307" s="168" t="s">
        <v>211</v>
      </c>
      <c r="N3307" s="166" t="s">
        <v>211</v>
      </c>
      <c r="O3307" s="168" t="s">
        <v>211</v>
      </c>
    </row>
    <row r="3308" spans="2:15" s="453" customFormat="1" ht="14" x14ac:dyDescent="0.2">
      <c r="B3308" s="293"/>
      <c r="C3308" s="595" t="s">
        <v>1469</v>
      </c>
      <c r="D3308" s="595"/>
      <c r="E3308" s="595"/>
      <c r="F3308" s="595"/>
      <c r="G3308" s="595"/>
      <c r="H3308" s="296"/>
      <c r="I3308" s="168" t="s">
        <v>211</v>
      </c>
      <c r="J3308" s="166" t="s">
        <v>211</v>
      </c>
      <c r="K3308" s="168" t="s">
        <v>211</v>
      </c>
      <c r="L3308" s="166" t="s">
        <v>211</v>
      </c>
      <c r="M3308" s="168" t="s">
        <v>211</v>
      </c>
      <c r="N3308" s="166" t="s">
        <v>211</v>
      </c>
      <c r="O3308" s="168" t="s">
        <v>211</v>
      </c>
    </row>
    <row r="3309" spans="2:15" s="453" customFormat="1" ht="14" x14ac:dyDescent="0.2">
      <c r="B3309" s="293"/>
      <c r="C3309" s="595"/>
      <c r="D3309" s="595"/>
      <c r="E3309" s="595"/>
      <c r="F3309" s="595"/>
      <c r="G3309" s="595"/>
      <c r="H3309" s="294"/>
      <c r="I3309" s="169"/>
      <c r="J3309" s="167"/>
      <c r="K3309" s="169"/>
      <c r="L3309" s="167"/>
      <c r="M3309" s="169"/>
      <c r="N3309" s="167"/>
      <c r="O3309" s="169"/>
    </row>
    <row r="3310" spans="2:15" s="453" customFormat="1" ht="14" x14ac:dyDescent="0.2">
      <c r="B3310" s="295" t="s">
        <v>333</v>
      </c>
      <c r="C3310" s="597" t="s">
        <v>1454</v>
      </c>
      <c r="D3310" s="597"/>
      <c r="E3310" s="597"/>
      <c r="F3310" s="597"/>
      <c r="G3310" s="597"/>
      <c r="H3310" s="294"/>
      <c r="I3310" s="169"/>
      <c r="J3310" s="167"/>
      <c r="K3310" s="169"/>
      <c r="L3310" s="167"/>
      <c r="M3310" s="169"/>
      <c r="N3310" s="167"/>
      <c r="O3310" s="169"/>
    </row>
    <row r="3311" spans="2:15" s="453" customFormat="1" ht="14" x14ac:dyDescent="0.2">
      <c r="B3311" s="295"/>
      <c r="C3311" s="597"/>
      <c r="D3311" s="597"/>
      <c r="E3311" s="597"/>
      <c r="F3311" s="597"/>
      <c r="G3311" s="597"/>
      <c r="H3311" s="294"/>
      <c r="I3311" s="169"/>
      <c r="J3311" s="167"/>
      <c r="K3311" s="169"/>
      <c r="L3311" s="167"/>
      <c r="M3311" s="169"/>
      <c r="N3311" s="167"/>
      <c r="O3311" s="169"/>
    </row>
    <row r="3312" spans="2:15" s="453" customFormat="1" ht="14" x14ac:dyDescent="0.2">
      <c r="B3312" s="293"/>
      <c r="C3312" s="572" t="s">
        <v>1470</v>
      </c>
      <c r="D3312" s="572"/>
      <c r="E3312" s="572"/>
      <c r="F3312" s="572"/>
      <c r="G3312" s="572"/>
      <c r="H3312" s="296"/>
      <c r="I3312" s="168" t="s">
        <v>211</v>
      </c>
      <c r="J3312" s="166" t="s">
        <v>211</v>
      </c>
      <c r="K3312" s="168" t="s">
        <v>211</v>
      </c>
      <c r="L3312" s="166" t="s">
        <v>211</v>
      </c>
      <c r="M3312" s="168" t="s">
        <v>211</v>
      </c>
      <c r="N3312" s="166" t="s">
        <v>211</v>
      </c>
      <c r="O3312" s="168" t="s">
        <v>211</v>
      </c>
    </row>
    <row r="3313" spans="2:15" s="453" customFormat="1" ht="14" x14ac:dyDescent="0.2">
      <c r="B3313" s="293"/>
      <c r="C3313" s="572"/>
      <c r="D3313" s="572"/>
      <c r="E3313" s="572"/>
      <c r="F3313" s="572"/>
      <c r="G3313" s="572"/>
      <c r="H3313" s="294"/>
      <c r="I3313" s="169"/>
      <c r="J3313" s="167"/>
      <c r="K3313" s="169"/>
      <c r="L3313" s="167"/>
      <c r="M3313" s="169"/>
      <c r="N3313" s="167"/>
      <c r="O3313" s="169"/>
    </row>
    <row r="3314" spans="2:15" s="453" customFormat="1" ht="14" x14ac:dyDescent="0.2">
      <c r="B3314" s="293"/>
      <c r="C3314" s="595" t="s">
        <v>1471</v>
      </c>
      <c r="D3314" s="595"/>
      <c r="E3314" s="595"/>
      <c r="F3314" s="595"/>
      <c r="G3314" s="595"/>
      <c r="H3314" s="296"/>
      <c r="I3314" s="168" t="s">
        <v>211</v>
      </c>
      <c r="J3314" s="166" t="s">
        <v>211</v>
      </c>
      <c r="K3314" s="168" t="s">
        <v>211</v>
      </c>
      <c r="L3314" s="166" t="s">
        <v>211</v>
      </c>
      <c r="M3314" s="168" t="s">
        <v>211</v>
      </c>
      <c r="N3314" s="166" t="s">
        <v>211</v>
      </c>
      <c r="O3314" s="168" t="s">
        <v>211</v>
      </c>
    </row>
    <row r="3315" spans="2:15" s="453" customFormat="1" ht="14" x14ac:dyDescent="0.2">
      <c r="B3315" s="293"/>
      <c r="C3315" s="595"/>
      <c r="D3315" s="595"/>
      <c r="E3315" s="595"/>
      <c r="F3315" s="595"/>
      <c r="G3315" s="595"/>
      <c r="H3315" s="294"/>
      <c r="I3315" s="169"/>
      <c r="J3315" s="167"/>
      <c r="K3315" s="169"/>
      <c r="L3315" s="167"/>
      <c r="M3315" s="169"/>
      <c r="N3315" s="167"/>
      <c r="O3315" s="169"/>
    </row>
    <row r="3316" spans="2:15" s="453" customFormat="1" ht="14" x14ac:dyDescent="0.2">
      <c r="B3316" s="293"/>
      <c r="E3316" s="586" t="s">
        <v>1455</v>
      </c>
      <c r="F3316" s="586"/>
      <c r="G3316" s="586"/>
      <c r="H3316" s="587"/>
      <c r="I3316" s="169"/>
      <c r="J3316" s="167"/>
      <c r="K3316" s="169"/>
      <c r="L3316" s="167"/>
      <c r="M3316" s="169"/>
      <c r="N3316" s="167"/>
      <c r="O3316" s="169"/>
    </row>
    <row r="3317" spans="2:15" s="453" customFormat="1" ht="14" x14ac:dyDescent="0.2">
      <c r="B3317" s="293"/>
      <c r="E3317" s="417"/>
      <c r="F3317" s="586" t="s">
        <v>1456</v>
      </c>
      <c r="G3317" s="586"/>
      <c r="H3317" s="587"/>
      <c r="I3317" s="169"/>
      <c r="J3317" s="167"/>
      <c r="K3317" s="169"/>
      <c r="L3317" s="167"/>
      <c r="M3317" s="169"/>
      <c r="N3317" s="167"/>
      <c r="O3317" s="169"/>
    </row>
    <row r="3318" spans="2:15" s="453" customFormat="1" ht="14" x14ac:dyDescent="0.2">
      <c r="B3318" s="302"/>
      <c r="C3318" s="303"/>
      <c r="D3318" s="303"/>
      <c r="E3318" s="418"/>
      <c r="F3318" s="599" t="s">
        <v>1457</v>
      </c>
      <c r="G3318" s="599"/>
      <c r="H3318" s="615"/>
      <c r="I3318" s="169"/>
      <c r="J3318" s="167"/>
      <c r="K3318" s="169"/>
      <c r="L3318" s="167"/>
      <c r="M3318" s="169"/>
      <c r="N3318" s="167"/>
      <c r="O3318" s="169"/>
    </row>
    <row r="3319" spans="2:15" s="453" customFormat="1" ht="14" x14ac:dyDescent="0.2">
      <c r="B3319" s="291">
        <v>2</v>
      </c>
      <c r="C3319" s="598" t="s">
        <v>1472</v>
      </c>
      <c r="D3319" s="598"/>
      <c r="E3319" s="598"/>
      <c r="F3319" s="598"/>
      <c r="G3319" s="598"/>
      <c r="H3319" s="292"/>
      <c r="I3319" s="168" t="s">
        <v>211</v>
      </c>
      <c r="J3319" s="166" t="s">
        <v>211</v>
      </c>
      <c r="K3319" s="168" t="s">
        <v>211</v>
      </c>
      <c r="L3319" s="166" t="s">
        <v>211</v>
      </c>
      <c r="M3319" s="168" t="s">
        <v>211</v>
      </c>
      <c r="N3319" s="166" t="s">
        <v>211</v>
      </c>
      <c r="O3319" s="168" t="s">
        <v>211</v>
      </c>
    </row>
    <row r="3320" spans="2:15" s="453" customFormat="1" ht="14" x14ac:dyDescent="0.2">
      <c r="B3320" s="293"/>
      <c r="C3320" s="572" t="s">
        <v>1473</v>
      </c>
      <c r="D3320" s="572"/>
      <c r="E3320" s="572"/>
      <c r="F3320" s="572"/>
      <c r="G3320" s="572"/>
      <c r="H3320" s="296"/>
      <c r="I3320" s="168" t="s">
        <v>211</v>
      </c>
      <c r="J3320" s="166" t="s">
        <v>211</v>
      </c>
      <c r="K3320" s="168" t="s">
        <v>211</v>
      </c>
      <c r="L3320" s="166" t="s">
        <v>211</v>
      </c>
      <c r="M3320" s="168" t="s">
        <v>211</v>
      </c>
      <c r="N3320" s="166" t="s">
        <v>211</v>
      </c>
      <c r="O3320" s="168" t="s">
        <v>211</v>
      </c>
    </row>
    <row r="3321" spans="2:15" s="453" customFormat="1" ht="14" x14ac:dyDescent="0.2">
      <c r="B3321" s="293"/>
      <c r="C3321" s="572"/>
      <c r="D3321" s="572"/>
      <c r="E3321" s="572"/>
      <c r="F3321" s="572"/>
      <c r="G3321" s="572"/>
      <c r="H3321" s="294"/>
      <c r="I3321" s="169"/>
      <c r="J3321" s="167"/>
      <c r="K3321" s="169"/>
      <c r="L3321" s="167"/>
      <c r="M3321" s="169"/>
      <c r="N3321" s="167"/>
      <c r="O3321" s="169"/>
    </row>
    <row r="3322" spans="2:15" s="453" customFormat="1" ht="14" x14ac:dyDescent="0.2">
      <c r="B3322" s="293"/>
      <c r="C3322" s="573" t="s">
        <v>1474</v>
      </c>
      <c r="D3322" s="573"/>
      <c r="E3322" s="573"/>
      <c r="F3322" s="573"/>
      <c r="G3322" s="573"/>
      <c r="H3322" s="296"/>
      <c r="I3322" s="168" t="s">
        <v>211</v>
      </c>
      <c r="J3322" s="166" t="s">
        <v>211</v>
      </c>
      <c r="K3322" s="168" t="s">
        <v>211</v>
      </c>
      <c r="L3322" s="166" t="s">
        <v>211</v>
      </c>
      <c r="M3322" s="168" t="s">
        <v>211</v>
      </c>
      <c r="N3322" s="166" t="s">
        <v>211</v>
      </c>
      <c r="O3322" s="168" t="s">
        <v>211</v>
      </c>
    </row>
    <row r="3323" spans="2:15" s="453" customFormat="1" ht="14" x14ac:dyDescent="0.2">
      <c r="B3323" s="293"/>
      <c r="D3323" s="573" t="s">
        <v>1460</v>
      </c>
      <c r="E3323" s="573"/>
      <c r="F3323" s="573"/>
      <c r="G3323" s="573"/>
      <c r="H3323" s="296"/>
      <c r="I3323" s="168" t="s">
        <v>211</v>
      </c>
      <c r="J3323" s="166" t="s">
        <v>211</v>
      </c>
      <c r="K3323" s="168" t="s">
        <v>211</v>
      </c>
      <c r="L3323" s="166" t="s">
        <v>211</v>
      </c>
      <c r="M3323" s="168" t="s">
        <v>211</v>
      </c>
      <c r="N3323" s="166" t="s">
        <v>211</v>
      </c>
      <c r="O3323" s="168" t="s">
        <v>211</v>
      </c>
    </row>
    <row r="3324" spans="2:15" s="453" customFormat="1" ht="14" x14ac:dyDescent="0.2">
      <c r="B3324" s="293"/>
      <c r="D3324" s="573" t="s">
        <v>1475</v>
      </c>
      <c r="E3324" s="573"/>
      <c r="F3324" s="573"/>
      <c r="G3324" s="573"/>
      <c r="H3324" s="296"/>
      <c r="I3324" s="168" t="s">
        <v>211</v>
      </c>
      <c r="J3324" s="166" t="s">
        <v>211</v>
      </c>
      <c r="K3324" s="168" t="s">
        <v>211</v>
      </c>
      <c r="L3324" s="166" t="s">
        <v>211</v>
      </c>
      <c r="M3324" s="168" t="s">
        <v>211</v>
      </c>
      <c r="N3324" s="166" t="s">
        <v>211</v>
      </c>
      <c r="O3324" s="168" t="s">
        <v>211</v>
      </c>
    </row>
    <row r="3325" spans="2:15" s="453" customFormat="1" ht="14" x14ac:dyDescent="0.2">
      <c r="B3325" s="293"/>
      <c r="D3325" s="573" t="s">
        <v>1462</v>
      </c>
      <c r="E3325" s="573"/>
      <c r="F3325" s="573"/>
      <c r="G3325" s="573"/>
      <c r="H3325" s="296"/>
      <c r="I3325" s="168" t="s">
        <v>211</v>
      </c>
      <c r="J3325" s="166" t="s">
        <v>211</v>
      </c>
      <c r="K3325" s="168" t="s">
        <v>211</v>
      </c>
      <c r="L3325" s="166" t="s">
        <v>211</v>
      </c>
      <c r="M3325" s="168" t="s">
        <v>211</v>
      </c>
      <c r="N3325" s="166" t="s">
        <v>211</v>
      </c>
      <c r="O3325" s="168" t="s">
        <v>211</v>
      </c>
    </row>
    <row r="3326" spans="2:15" s="453" customFormat="1" ht="14" x14ac:dyDescent="0.2">
      <c r="B3326" s="293"/>
      <c r="D3326" s="785" t="s">
        <v>1463</v>
      </c>
      <c r="E3326" s="785"/>
      <c r="F3326" s="785"/>
      <c r="G3326" s="785"/>
      <c r="H3326" s="296"/>
      <c r="I3326" s="168" t="s">
        <v>211</v>
      </c>
      <c r="J3326" s="166" t="s">
        <v>211</v>
      </c>
      <c r="K3326" s="168" t="s">
        <v>211</v>
      </c>
      <c r="L3326" s="166" t="s">
        <v>211</v>
      </c>
      <c r="M3326" s="168" t="s">
        <v>211</v>
      </c>
      <c r="N3326" s="166" t="s">
        <v>211</v>
      </c>
      <c r="O3326" s="168" t="s">
        <v>211</v>
      </c>
    </row>
    <row r="3327" spans="2:15" s="453" customFormat="1" ht="14" x14ac:dyDescent="0.2">
      <c r="B3327" s="293"/>
      <c r="D3327" s="573" t="s">
        <v>1476</v>
      </c>
      <c r="E3327" s="573"/>
      <c r="F3327" s="573"/>
      <c r="G3327" s="573"/>
      <c r="H3327" s="296"/>
      <c r="I3327" s="168" t="s">
        <v>211</v>
      </c>
      <c r="J3327" s="166" t="s">
        <v>211</v>
      </c>
      <c r="K3327" s="168" t="s">
        <v>211</v>
      </c>
      <c r="L3327" s="166" t="s">
        <v>211</v>
      </c>
      <c r="M3327" s="168" t="s">
        <v>211</v>
      </c>
      <c r="N3327" s="166" t="s">
        <v>211</v>
      </c>
      <c r="O3327" s="168" t="s">
        <v>211</v>
      </c>
    </row>
    <row r="3328" spans="2:15" s="453" customFormat="1" ht="14" x14ac:dyDescent="0.2">
      <c r="B3328" s="293"/>
      <c r="F3328" s="593" t="s">
        <v>1464</v>
      </c>
      <c r="G3328" s="593"/>
      <c r="H3328" s="768"/>
      <c r="I3328" s="169"/>
      <c r="J3328" s="167"/>
      <c r="K3328" s="169"/>
      <c r="L3328" s="167"/>
      <c r="M3328" s="169"/>
      <c r="N3328" s="167"/>
      <c r="O3328" s="169"/>
    </row>
    <row r="3329" spans="2:15" s="453" customFormat="1" ht="14" x14ac:dyDescent="0.2">
      <c r="B3329" s="293"/>
      <c r="C3329" s="572" t="s">
        <v>1477</v>
      </c>
      <c r="D3329" s="572"/>
      <c r="E3329" s="572"/>
      <c r="F3329" s="572"/>
      <c r="G3329" s="572"/>
      <c r="H3329" s="296"/>
      <c r="I3329" s="168" t="s">
        <v>211</v>
      </c>
      <c r="J3329" s="166" t="s">
        <v>211</v>
      </c>
      <c r="K3329" s="168" t="s">
        <v>211</v>
      </c>
      <c r="L3329" s="166" t="s">
        <v>211</v>
      </c>
      <c r="M3329" s="168" t="s">
        <v>211</v>
      </c>
      <c r="N3329" s="166" t="s">
        <v>211</v>
      </c>
      <c r="O3329" s="168" t="s">
        <v>211</v>
      </c>
    </row>
    <row r="3330" spans="2:15" s="453" customFormat="1" ht="14" x14ac:dyDescent="0.2">
      <c r="B3330" s="293"/>
      <c r="C3330" s="572"/>
      <c r="D3330" s="572"/>
      <c r="E3330" s="572"/>
      <c r="F3330" s="572"/>
      <c r="G3330" s="572"/>
      <c r="H3330" s="294"/>
      <c r="I3330" s="169"/>
      <c r="J3330" s="167"/>
      <c r="K3330" s="169"/>
      <c r="L3330" s="167"/>
      <c r="M3330" s="169"/>
      <c r="N3330" s="167"/>
      <c r="O3330" s="169"/>
    </row>
    <row r="3331" spans="2:15" s="453" customFormat="1" ht="14" x14ac:dyDescent="0.2">
      <c r="B3331" s="302"/>
      <c r="C3331" s="303"/>
      <c r="D3331" s="303"/>
      <c r="E3331" s="303"/>
      <c r="F3331" s="580" t="s">
        <v>570</v>
      </c>
      <c r="G3331" s="580"/>
      <c r="H3331" s="585"/>
      <c r="I3331" s="169"/>
      <c r="J3331" s="167"/>
      <c r="K3331" s="169"/>
      <c r="L3331" s="167"/>
      <c r="M3331" s="169"/>
      <c r="N3331" s="167"/>
      <c r="O3331" s="169"/>
    </row>
    <row r="3332" spans="2:15" s="453" customFormat="1" ht="14" x14ac:dyDescent="0.2">
      <c r="B3332" s="291">
        <v>3</v>
      </c>
      <c r="C3332" s="598" t="s">
        <v>555</v>
      </c>
      <c r="D3332" s="598"/>
      <c r="E3332" s="598"/>
      <c r="F3332" s="598"/>
      <c r="G3332" s="598"/>
      <c r="H3332" s="292"/>
      <c r="I3332" s="168" t="s">
        <v>211</v>
      </c>
      <c r="J3332" s="166" t="s">
        <v>211</v>
      </c>
      <c r="K3332" s="168" t="s">
        <v>211</v>
      </c>
      <c r="L3332" s="166" t="s">
        <v>211</v>
      </c>
      <c r="M3332" s="168" t="s">
        <v>211</v>
      </c>
      <c r="N3332" s="166" t="s">
        <v>211</v>
      </c>
      <c r="O3332" s="168" t="s">
        <v>211</v>
      </c>
    </row>
    <row r="3333" spans="2:15" s="453" customFormat="1" ht="14" x14ac:dyDescent="0.2">
      <c r="B3333" s="293"/>
      <c r="C3333" s="573" t="s">
        <v>1483</v>
      </c>
      <c r="D3333" s="573"/>
      <c r="E3333" s="573"/>
      <c r="F3333" s="573"/>
      <c r="G3333" s="573"/>
      <c r="H3333" s="296"/>
      <c r="I3333" s="168" t="s">
        <v>211</v>
      </c>
      <c r="J3333" s="166" t="s">
        <v>211</v>
      </c>
      <c r="K3333" s="168" t="s">
        <v>211</v>
      </c>
      <c r="L3333" s="166" t="s">
        <v>211</v>
      </c>
      <c r="M3333" s="168" t="s">
        <v>211</v>
      </c>
      <c r="N3333" s="166" t="s">
        <v>211</v>
      </c>
      <c r="O3333" s="168" t="s">
        <v>211</v>
      </c>
    </row>
    <row r="3334" spans="2:15" s="453" customFormat="1" ht="14" x14ac:dyDescent="0.2">
      <c r="B3334" s="293"/>
      <c r="C3334" s="572" t="s">
        <v>1484</v>
      </c>
      <c r="D3334" s="572"/>
      <c r="E3334" s="572"/>
      <c r="F3334" s="572"/>
      <c r="G3334" s="572"/>
      <c r="H3334" s="296"/>
      <c r="I3334" s="168" t="s">
        <v>211</v>
      </c>
      <c r="J3334" s="166" t="s">
        <v>211</v>
      </c>
      <c r="K3334" s="168" t="s">
        <v>211</v>
      </c>
      <c r="L3334" s="166" t="s">
        <v>211</v>
      </c>
      <c r="M3334" s="168" t="s">
        <v>211</v>
      </c>
      <c r="N3334" s="166" t="s">
        <v>211</v>
      </c>
      <c r="O3334" s="168" t="s">
        <v>211</v>
      </c>
    </row>
    <row r="3335" spans="2:15" s="453" customFormat="1" ht="14" x14ac:dyDescent="0.2">
      <c r="B3335" s="293"/>
      <c r="C3335" s="572"/>
      <c r="D3335" s="572"/>
      <c r="E3335" s="572"/>
      <c r="F3335" s="572"/>
      <c r="G3335" s="572"/>
      <c r="H3335" s="294"/>
      <c r="I3335" s="169"/>
      <c r="J3335" s="167"/>
      <c r="K3335" s="169"/>
      <c r="L3335" s="167"/>
      <c r="M3335" s="169"/>
      <c r="N3335" s="167"/>
      <c r="O3335" s="169"/>
    </row>
    <row r="3336" spans="2:15" s="453" customFormat="1" ht="14" x14ac:dyDescent="0.2">
      <c r="B3336" s="293"/>
      <c r="C3336" s="572" t="s">
        <v>1485</v>
      </c>
      <c r="D3336" s="572"/>
      <c r="E3336" s="572"/>
      <c r="F3336" s="572"/>
      <c r="G3336" s="572"/>
      <c r="H3336" s="296"/>
      <c r="I3336" s="168" t="s">
        <v>211</v>
      </c>
      <c r="J3336" s="166" t="s">
        <v>211</v>
      </c>
      <c r="K3336" s="168" t="s">
        <v>211</v>
      </c>
      <c r="L3336" s="166" t="s">
        <v>211</v>
      </c>
      <c r="M3336" s="168" t="s">
        <v>211</v>
      </c>
      <c r="N3336" s="166" t="s">
        <v>211</v>
      </c>
      <c r="O3336" s="168" t="s">
        <v>211</v>
      </c>
    </row>
    <row r="3337" spans="2:15" s="453" customFormat="1" ht="14" x14ac:dyDescent="0.2">
      <c r="B3337" s="293"/>
      <c r="C3337" s="572"/>
      <c r="D3337" s="572"/>
      <c r="E3337" s="572"/>
      <c r="F3337" s="572"/>
      <c r="G3337" s="572"/>
      <c r="H3337" s="294"/>
      <c r="I3337" s="169"/>
      <c r="J3337" s="167"/>
      <c r="K3337" s="169"/>
      <c r="L3337" s="167"/>
      <c r="M3337" s="169"/>
      <c r="N3337" s="167"/>
      <c r="O3337" s="169"/>
    </row>
    <row r="3338" spans="2:15" s="453" customFormat="1" ht="14" x14ac:dyDescent="0.2">
      <c r="B3338" s="293"/>
      <c r="F3338" s="604" t="s">
        <v>1486</v>
      </c>
      <c r="G3338" s="604"/>
      <c r="H3338" s="767"/>
      <c r="I3338" s="169"/>
      <c r="J3338" s="167"/>
      <c r="K3338" s="169"/>
      <c r="L3338" s="167"/>
      <c r="M3338" s="169"/>
      <c r="N3338" s="167"/>
      <c r="O3338" s="169"/>
    </row>
    <row r="3339" spans="2:15" s="453" customFormat="1" ht="14" x14ac:dyDescent="0.2">
      <c r="B3339" s="293"/>
      <c r="C3339" s="595" t="s">
        <v>1066</v>
      </c>
      <c r="D3339" s="595"/>
      <c r="E3339" s="595"/>
      <c r="F3339" s="595"/>
      <c r="G3339" s="595"/>
      <c r="H3339" s="296"/>
      <c r="I3339" s="168" t="s">
        <v>211</v>
      </c>
      <c r="J3339" s="166" t="s">
        <v>211</v>
      </c>
      <c r="K3339" s="168" t="s">
        <v>211</v>
      </c>
      <c r="L3339" s="166" t="s">
        <v>211</v>
      </c>
      <c r="M3339" s="168" t="s">
        <v>211</v>
      </c>
      <c r="N3339" s="166" t="s">
        <v>211</v>
      </c>
      <c r="O3339" s="168" t="s">
        <v>211</v>
      </c>
    </row>
    <row r="3340" spans="2:15" s="453" customFormat="1" ht="14" x14ac:dyDescent="0.2">
      <c r="B3340" s="293"/>
      <c r="C3340" s="290"/>
      <c r="D3340" s="290"/>
      <c r="E3340" s="290"/>
      <c r="F3340" s="290"/>
      <c r="G3340" s="290"/>
      <c r="H3340" s="294"/>
      <c r="I3340" s="169"/>
      <c r="J3340" s="167"/>
      <c r="K3340" s="169"/>
      <c r="L3340" s="167"/>
      <c r="M3340" s="169"/>
      <c r="N3340" s="167"/>
      <c r="O3340" s="169"/>
    </row>
    <row r="3341" spans="2:15" s="453" customFormat="1" ht="14" x14ac:dyDescent="0.2">
      <c r="B3341" s="293"/>
      <c r="F3341" s="593" t="s">
        <v>1487</v>
      </c>
      <c r="G3341" s="593"/>
      <c r="H3341" s="768"/>
      <c r="I3341" s="169"/>
      <c r="J3341" s="167"/>
      <c r="K3341" s="169"/>
      <c r="L3341" s="167"/>
      <c r="M3341" s="169"/>
      <c r="N3341" s="167"/>
      <c r="O3341" s="169"/>
    </row>
    <row r="3342" spans="2:15" s="453" customFormat="1" ht="14" x14ac:dyDescent="0.2">
      <c r="B3342" s="302"/>
      <c r="C3342" s="303"/>
      <c r="D3342" s="303"/>
      <c r="E3342" s="303"/>
      <c r="F3342" s="613" t="s">
        <v>604</v>
      </c>
      <c r="G3342" s="613"/>
      <c r="H3342" s="775"/>
      <c r="I3342" s="169"/>
      <c r="J3342" s="167"/>
      <c r="K3342" s="169"/>
      <c r="L3342" s="167"/>
      <c r="M3342" s="169"/>
      <c r="N3342" s="167"/>
      <c r="O3342" s="169"/>
    </row>
    <row r="3343" spans="2:15" s="453" customFormat="1" ht="14" x14ac:dyDescent="0.2">
      <c r="B3343" s="291">
        <v>4</v>
      </c>
      <c r="C3343" s="614" t="s">
        <v>1488</v>
      </c>
      <c r="D3343" s="614"/>
      <c r="E3343" s="614"/>
      <c r="F3343" s="614"/>
      <c r="G3343" s="614"/>
      <c r="H3343" s="292"/>
      <c r="I3343" s="168" t="s">
        <v>211</v>
      </c>
      <c r="J3343" s="166" t="s">
        <v>211</v>
      </c>
      <c r="K3343" s="168" t="s">
        <v>211</v>
      </c>
      <c r="L3343" s="166" t="s">
        <v>211</v>
      </c>
      <c r="M3343" s="168" t="s">
        <v>211</v>
      </c>
      <c r="N3343" s="166" t="s">
        <v>211</v>
      </c>
      <c r="O3343" s="168" t="s">
        <v>211</v>
      </c>
    </row>
    <row r="3344" spans="2:15" s="453" customFormat="1" ht="14" x14ac:dyDescent="0.2">
      <c r="B3344" s="293"/>
      <c r="C3344" s="572" t="s">
        <v>1473</v>
      </c>
      <c r="D3344" s="572"/>
      <c r="E3344" s="572"/>
      <c r="F3344" s="572"/>
      <c r="G3344" s="572"/>
      <c r="H3344" s="296"/>
      <c r="I3344" s="168" t="s">
        <v>211</v>
      </c>
      <c r="J3344" s="166" t="s">
        <v>211</v>
      </c>
      <c r="K3344" s="168" t="s">
        <v>211</v>
      </c>
      <c r="L3344" s="166" t="s">
        <v>211</v>
      </c>
      <c r="M3344" s="168" t="s">
        <v>211</v>
      </c>
      <c r="N3344" s="166" t="s">
        <v>211</v>
      </c>
      <c r="O3344" s="168" t="s">
        <v>211</v>
      </c>
    </row>
    <row r="3345" spans="2:15" s="453" customFormat="1" ht="14" x14ac:dyDescent="0.2">
      <c r="B3345" s="293"/>
      <c r="C3345" s="572"/>
      <c r="D3345" s="572"/>
      <c r="E3345" s="572"/>
      <c r="F3345" s="572"/>
      <c r="G3345" s="572"/>
      <c r="H3345" s="294"/>
      <c r="I3345" s="169"/>
      <c r="J3345" s="167"/>
      <c r="K3345" s="169"/>
      <c r="L3345" s="167"/>
      <c r="M3345" s="169"/>
      <c r="N3345" s="167"/>
      <c r="O3345" s="169"/>
    </row>
    <row r="3346" spans="2:15" s="453" customFormat="1" ht="14" x14ac:dyDescent="0.2">
      <c r="B3346" s="293"/>
      <c r="C3346" s="572" t="s">
        <v>1489</v>
      </c>
      <c r="D3346" s="572"/>
      <c r="E3346" s="572"/>
      <c r="F3346" s="572"/>
      <c r="G3346" s="572"/>
      <c r="H3346" s="296"/>
      <c r="I3346" s="168" t="s">
        <v>211</v>
      </c>
      <c r="J3346" s="166" t="s">
        <v>211</v>
      </c>
      <c r="K3346" s="168" t="s">
        <v>211</v>
      </c>
      <c r="L3346" s="166" t="s">
        <v>211</v>
      </c>
      <c r="M3346" s="168" t="s">
        <v>211</v>
      </c>
      <c r="N3346" s="166" t="s">
        <v>211</v>
      </c>
      <c r="O3346" s="168" t="s">
        <v>211</v>
      </c>
    </row>
    <row r="3347" spans="2:15" s="453" customFormat="1" ht="14" x14ac:dyDescent="0.2">
      <c r="B3347" s="293"/>
      <c r="C3347" s="572"/>
      <c r="D3347" s="572"/>
      <c r="E3347" s="572"/>
      <c r="F3347" s="572"/>
      <c r="G3347" s="572"/>
      <c r="H3347" s="294"/>
      <c r="I3347" s="169"/>
      <c r="J3347" s="167"/>
      <c r="K3347" s="169"/>
      <c r="L3347" s="167"/>
      <c r="M3347" s="169"/>
      <c r="N3347" s="167"/>
      <c r="O3347" s="169"/>
    </row>
    <row r="3348" spans="2:15" s="453" customFormat="1" ht="14" x14ac:dyDescent="0.2">
      <c r="B3348" s="302"/>
      <c r="C3348" s="303"/>
      <c r="D3348" s="303"/>
      <c r="E3348" s="303"/>
      <c r="F3348" s="580" t="s">
        <v>570</v>
      </c>
      <c r="G3348" s="580"/>
      <c r="H3348" s="585"/>
      <c r="I3348" s="169"/>
      <c r="J3348" s="167"/>
      <c r="K3348" s="169"/>
      <c r="L3348" s="167"/>
      <c r="M3348" s="169"/>
      <c r="N3348" s="167"/>
      <c r="O3348" s="169"/>
    </row>
    <row r="3349" spans="2:15" s="453" customFormat="1" ht="14" x14ac:dyDescent="0.2">
      <c r="B3349" s="420"/>
      <c r="F3349" s="463"/>
      <c r="G3349" s="463"/>
      <c r="H3349" s="421"/>
      <c r="I3349" s="135"/>
      <c r="J3349" s="105"/>
      <c r="K3349" s="135"/>
      <c r="L3349" s="105"/>
      <c r="M3349" s="135"/>
      <c r="N3349" s="105"/>
      <c r="O3349" s="135"/>
    </row>
    <row r="3350" spans="2:15" s="453" customFormat="1" ht="14" x14ac:dyDescent="0.2">
      <c r="B3350" s="291">
        <v>5</v>
      </c>
      <c r="C3350" s="602" t="s">
        <v>1490</v>
      </c>
      <c r="D3350" s="602"/>
      <c r="E3350" s="602"/>
      <c r="F3350" s="602"/>
      <c r="G3350" s="602"/>
      <c r="H3350" s="292"/>
      <c r="I3350" s="168" t="s">
        <v>211</v>
      </c>
      <c r="J3350" s="166" t="s">
        <v>211</v>
      </c>
      <c r="K3350" s="168" t="s">
        <v>211</v>
      </c>
      <c r="L3350" s="166" t="s">
        <v>211</v>
      </c>
      <c r="M3350" s="168" t="s">
        <v>211</v>
      </c>
      <c r="N3350" s="166" t="s">
        <v>211</v>
      </c>
      <c r="O3350" s="168" t="s">
        <v>211</v>
      </c>
    </row>
    <row r="3351" spans="2:15" s="453" customFormat="1" ht="14" x14ac:dyDescent="0.2">
      <c r="B3351" s="293"/>
      <c r="C3351" s="572"/>
      <c r="D3351" s="572"/>
      <c r="E3351" s="572"/>
      <c r="F3351" s="572"/>
      <c r="G3351" s="572"/>
      <c r="H3351" s="294"/>
      <c r="I3351" s="169"/>
      <c r="J3351" s="167"/>
      <c r="K3351" s="169"/>
      <c r="L3351" s="167"/>
      <c r="M3351" s="169"/>
      <c r="N3351" s="167"/>
      <c r="O3351" s="169"/>
    </row>
    <row r="3352" spans="2:15" s="453" customFormat="1" ht="14" x14ac:dyDescent="0.2">
      <c r="B3352" s="293"/>
      <c r="C3352" s="572" t="s">
        <v>1491</v>
      </c>
      <c r="D3352" s="572"/>
      <c r="E3352" s="572"/>
      <c r="F3352" s="572"/>
      <c r="G3352" s="572"/>
      <c r="H3352" s="296"/>
      <c r="I3352" s="168" t="s">
        <v>211</v>
      </c>
      <c r="J3352" s="166" t="s">
        <v>211</v>
      </c>
      <c r="K3352" s="168" t="s">
        <v>211</v>
      </c>
      <c r="L3352" s="166" t="s">
        <v>211</v>
      </c>
      <c r="M3352" s="168" t="s">
        <v>211</v>
      </c>
      <c r="N3352" s="166" t="s">
        <v>211</v>
      </c>
      <c r="O3352" s="168" t="s">
        <v>211</v>
      </c>
    </row>
    <row r="3353" spans="2:15" s="453" customFormat="1" ht="14" x14ac:dyDescent="0.2">
      <c r="B3353" s="293"/>
      <c r="C3353" s="572"/>
      <c r="D3353" s="572"/>
      <c r="E3353" s="572"/>
      <c r="F3353" s="572"/>
      <c r="G3353" s="572"/>
      <c r="H3353" s="294"/>
      <c r="I3353" s="169"/>
      <c r="J3353" s="167"/>
      <c r="K3353" s="169"/>
      <c r="L3353" s="167"/>
      <c r="M3353" s="169"/>
      <c r="N3353" s="167"/>
      <c r="O3353" s="169"/>
    </row>
    <row r="3354" spans="2:15" s="453" customFormat="1" ht="14" x14ac:dyDescent="0.2">
      <c r="B3354" s="293"/>
      <c r="C3354" s="785" t="s">
        <v>1492</v>
      </c>
      <c r="D3354" s="785"/>
      <c r="E3354" s="785"/>
      <c r="F3354" s="785"/>
      <c r="G3354" s="785"/>
      <c r="H3354" s="296"/>
      <c r="I3354" s="168" t="s">
        <v>211</v>
      </c>
      <c r="J3354" s="166" t="s">
        <v>211</v>
      </c>
      <c r="K3354" s="168" t="s">
        <v>211</v>
      </c>
      <c r="L3354" s="166" t="s">
        <v>211</v>
      </c>
      <c r="M3354" s="168" t="s">
        <v>211</v>
      </c>
      <c r="N3354" s="166" t="s">
        <v>211</v>
      </c>
      <c r="O3354" s="168" t="s">
        <v>211</v>
      </c>
    </row>
    <row r="3355" spans="2:15" s="453" customFormat="1" ht="14" x14ac:dyDescent="0.2">
      <c r="B3355" s="293"/>
      <c r="C3355" s="785"/>
      <c r="D3355" s="785"/>
      <c r="E3355" s="785"/>
      <c r="F3355" s="785"/>
      <c r="G3355" s="785"/>
      <c r="H3355" s="294"/>
      <c r="I3355" s="169"/>
      <c r="J3355" s="167"/>
      <c r="K3355" s="169"/>
      <c r="L3355" s="167"/>
      <c r="M3355" s="169"/>
      <c r="N3355" s="167"/>
      <c r="O3355" s="169"/>
    </row>
    <row r="3356" spans="2:15" s="453" customFormat="1" ht="14" x14ac:dyDescent="0.2">
      <c r="B3356" s="293"/>
      <c r="C3356" s="595" t="s">
        <v>1493</v>
      </c>
      <c r="D3356" s="595"/>
      <c r="E3356" s="595"/>
      <c r="F3356" s="595"/>
      <c r="G3356" s="595"/>
      <c r="H3356" s="296"/>
      <c r="I3356" s="168" t="s">
        <v>211</v>
      </c>
      <c r="J3356" s="166" t="s">
        <v>211</v>
      </c>
      <c r="K3356" s="168" t="s">
        <v>211</v>
      </c>
      <c r="L3356" s="166" t="s">
        <v>211</v>
      </c>
      <c r="M3356" s="168" t="s">
        <v>211</v>
      </c>
      <c r="N3356" s="166" t="s">
        <v>211</v>
      </c>
      <c r="O3356" s="168" t="s">
        <v>211</v>
      </c>
    </row>
    <row r="3357" spans="2:15" s="453" customFormat="1" ht="14" x14ac:dyDescent="0.2">
      <c r="B3357" s="293"/>
      <c r="C3357" s="573" t="s">
        <v>1494</v>
      </c>
      <c r="D3357" s="573"/>
      <c r="E3357" s="573"/>
      <c r="F3357" s="573"/>
      <c r="G3357" s="573"/>
      <c r="H3357" s="296"/>
      <c r="I3357" s="168" t="s">
        <v>211</v>
      </c>
      <c r="J3357" s="166" t="s">
        <v>211</v>
      </c>
      <c r="K3357" s="168" t="s">
        <v>211</v>
      </c>
      <c r="L3357" s="166" t="s">
        <v>211</v>
      </c>
      <c r="M3357" s="168" t="s">
        <v>211</v>
      </c>
      <c r="N3357" s="166" t="s">
        <v>211</v>
      </c>
      <c r="O3357" s="168" t="s">
        <v>211</v>
      </c>
    </row>
    <row r="3358" spans="2:15" s="453" customFormat="1" ht="14" x14ac:dyDescent="0.2">
      <c r="B3358" s="293"/>
      <c r="F3358" s="593" t="s">
        <v>1495</v>
      </c>
      <c r="G3358" s="593"/>
      <c r="H3358" s="768"/>
      <c r="I3358" s="169"/>
      <c r="J3358" s="167"/>
      <c r="K3358" s="169"/>
      <c r="L3358" s="167"/>
      <c r="M3358" s="169"/>
      <c r="N3358" s="167"/>
      <c r="O3358" s="169"/>
    </row>
    <row r="3359" spans="2:15" s="453" customFormat="1" ht="14" x14ac:dyDescent="0.2">
      <c r="B3359" s="293"/>
      <c r="F3359" s="604" t="s">
        <v>1487</v>
      </c>
      <c r="G3359" s="604"/>
      <c r="H3359" s="767"/>
      <c r="I3359" s="169"/>
      <c r="J3359" s="167"/>
      <c r="K3359" s="169"/>
      <c r="L3359" s="167"/>
      <c r="M3359" s="169"/>
      <c r="N3359" s="167"/>
      <c r="O3359" s="169"/>
    </row>
    <row r="3360" spans="2:15" s="453" customFormat="1" ht="14" x14ac:dyDescent="0.2">
      <c r="B3360" s="293"/>
      <c r="F3360" s="770" t="s">
        <v>1496</v>
      </c>
      <c r="G3360" s="770"/>
      <c r="H3360" s="771"/>
      <c r="I3360" s="169"/>
      <c r="J3360" s="167"/>
      <c r="K3360" s="169"/>
      <c r="L3360" s="167"/>
      <c r="M3360" s="169"/>
      <c r="N3360" s="167"/>
      <c r="O3360" s="169"/>
    </row>
    <row r="3361" spans="2:16" s="453" customFormat="1" ht="14" x14ac:dyDescent="0.2">
      <c r="B3361" s="302"/>
      <c r="C3361" s="303"/>
      <c r="D3361" s="303"/>
      <c r="E3361" s="303"/>
      <c r="F3361" s="599" t="s">
        <v>1497</v>
      </c>
      <c r="G3361" s="599"/>
      <c r="H3361" s="615"/>
      <c r="I3361" s="169"/>
      <c r="J3361" s="167"/>
      <c r="K3361" s="169"/>
      <c r="L3361" s="167"/>
      <c r="M3361" s="169"/>
      <c r="N3361" s="167"/>
      <c r="O3361" s="169"/>
    </row>
    <row r="3362" spans="2:16" s="453" customFormat="1" ht="14" x14ac:dyDescent="0.2">
      <c r="B3362" s="291" t="s">
        <v>273</v>
      </c>
      <c r="C3362" s="614" t="s">
        <v>1498</v>
      </c>
      <c r="D3362" s="614"/>
      <c r="E3362" s="614"/>
      <c r="F3362" s="614"/>
      <c r="G3362" s="614"/>
      <c r="H3362" s="292"/>
      <c r="I3362" s="168" t="s">
        <v>211</v>
      </c>
      <c r="J3362" s="166" t="s">
        <v>211</v>
      </c>
      <c r="K3362" s="168" t="s">
        <v>211</v>
      </c>
      <c r="L3362" s="166" t="s">
        <v>211</v>
      </c>
      <c r="M3362" s="168" t="s">
        <v>211</v>
      </c>
      <c r="N3362" s="166" t="s">
        <v>211</v>
      </c>
      <c r="O3362" s="168" t="s">
        <v>211</v>
      </c>
    </row>
    <row r="3363" spans="2:16" s="453" customFormat="1" ht="14" x14ac:dyDescent="0.2">
      <c r="B3363" s="293"/>
      <c r="C3363" s="806"/>
      <c r="D3363" s="806"/>
      <c r="E3363" s="806"/>
      <c r="F3363" s="806"/>
      <c r="G3363" s="806"/>
      <c r="H3363" s="294"/>
      <c r="I3363" s="169"/>
      <c r="J3363" s="167"/>
      <c r="K3363" s="169"/>
      <c r="L3363" s="167"/>
      <c r="M3363" s="169"/>
      <c r="N3363" s="167"/>
      <c r="O3363" s="169"/>
    </row>
    <row r="3364" spans="2:16" s="453" customFormat="1" ht="14" x14ac:dyDescent="0.2">
      <c r="B3364" s="293"/>
      <c r="C3364" s="573" t="s">
        <v>1499</v>
      </c>
      <c r="D3364" s="573"/>
      <c r="E3364" s="573"/>
      <c r="F3364" s="573"/>
      <c r="G3364" s="573"/>
      <c r="H3364" s="296"/>
      <c r="I3364" s="168" t="s">
        <v>211</v>
      </c>
      <c r="J3364" s="166" t="s">
        <v>211</v>
      </c>
      <c r="K3364" s="168" t="s">
        <v>211</v>
      </c>
      <c r="L3364" s="166" t="s">
        <v>211</v>
      </c>
      <c r="M3364" s="168" t="s">
        <v>211</v>
      </c>
      <c r="N3364" s="166" t="s">
        <v>211</v>
      </c>
      <c r="O3364" s="168" t="s">
        <v>211</v>
      </c>
    </row>
    <row r="3365" spans="2:16" s="453" customFormat="1" ht="14" x14ac:dyDescent="0.2">
      <c r="B3365" s="293"/>
      <c r="C3365" s="572" t="s">
        <v>1500</v>
      </c>
      <c r="D3365" s="572"/>
      <c r="E3365" s="572"/>
      <c r="F3365" s="572"/>
      <c r="G3365" s="572"/>
      <c r="H3365" s="296"/>
      <c r="I3365" s="168" t="s">
        <v>211</v>
      </c>
      <c r="J3365" s="166" t="s">
        <v>211</v>
      </c>
      <c r="K3365" s="168" t="s">
        <v>211</v>
      </c>
      <c r="L3365" s="166" t="s">
        <v>211</v>
      </c>
      <c r="M3365" s="168" t="s">
        <v>211</v>
      </c>
      <c r="N3365" s="166" t="s">
        <v>211</v>
      </c>
      <c r="O3365" s="168" t="s">
        <v>211</v>
      </c>
    </row>
    <row r="3366" spans="2:16" s="453" customFormat="1" ht="14" x14ac:dyDescent="0.2">
      <c r="B3366" s="293"/>
      <c r="F3366" s="593" t="s">
        <v>1495</v>
      </c>
      <c r="G3366" s="593"/>
      <c r="H3366" s="768"/>
      <c r="I3366" s="169"/>
      <c r="J3366" s="167"/>
      <c r="K3366" s="169"/>
      <c r="L3366" s="167"/>
      <c r="M3366" s="169"/>
      <c r="N3366" s="167"/>
      <c r="O3366" s="169"/>
    </row>
    <row r="3367" spans="2:16" s="453" customFormat="1" ht="14" x14ac:dyDescent="0.2">
      <c r="B3367" s="302"/>
      <c r="C3367" s="303"/>
      <c r="D3367" s="303"/>
      <c r="E3367" s="303"/>
      <c r="F3367" s="603" t="s">
        <v>1487</v>
      </c>
      <c r="G3367" s="603"/>
      <c r="H3367" s="769"/>
      <c r="I3367" s="169"/>
      <c r="J3367" s="167"/>
      <c r="K3367" s="169"/>
      <c r="L3367" s="167"/>
      <c r="M3367" s="169"/>
      <c r="N3367" s="167"/>
      <c r="O3367" s="169"/>
    </row>
    <row r="3368" spans="2:16" s="453" customFormat="1" ht="14" x14ac:dyDescent="0.2">
      <c r="B3368" s="291">
        <v>6</v>
      </c>
      <c r="C3368" s="602" t="s">
        <v>1501</v>
      </c>
      <c r="D3368" s="602"/>
      <c r="E3368" s="602"/>
      <c r="F3368" s="602"/>
      <c r="G3368" s="602"/>
      <c r="H3368" s="292"/>
      <c r="I3368" s="168" t="s">
        <v>211</v>
      </c>
      <c r="J3368" s="166" t="s">
        <v>211</v>
      </c>
      <c r="K3368" s="168" t="s">
        <v>211</v>
      </c>
      <c r="L3368" s="166" t="s">
        <v>211</v>
      </c>
      <c r="M3368" s="168" t="s">
        <v>211</v>
      </c>
      <c r="N3368" s="166" t="s">
        <v>211</v>
      </c>
      <c r="O3368" s="168" t="s">
        <v>211</v>
      </c>
    </row>
    <row r="3369" spans="2:16" s="453" customFormat="1" ht="14" x14ac:dyDescent="0.2">
      <c r="B3369" s="293"/>
      <c r="C3369" s="572"/>
      <c r="D3369" s="572"/>
      <c r="E3369" s="572"/>
      <c r="F3369" s="572"/>
      <c r="G3369" s="572"/>
      <c r="H3369" s="294"/>
      <c r="I3369" s="169"/>
      <c r="J3369" s="167"/>
      <c r="K3369" s="169"/>
      <c r="L3369" s="167"/>
      <c r="M3369" s="169"/>
      <c r="N3369" s="167"/>
      <c r="O3369" s="169"/>
    </row>
    <row r="3370" spans="2:16" s="453" customFormat="1" ht="14" x14ac:dyDescent="0.2">
      <c r="B3370" s="293"/>
      <c r="C3370" s="595" t="s">
        <v>1502</v>
      </c>
      <c r="D3370" s="595"/>
      <c r="E3370" s="595"/>
      <c r="F3370" s="595"/>
      <c r="G3370" s="595"/>
      <c r="H3370" s="296"/>
      <c r="I3370" s="168" t="s">
        <v>211</v>
      </c>
      <c r="J3370" s="166" t="s">
        <v>211</v>
      </c>
      <c r="K3370" s="168" t="s">
        <v>211</v>
      </c>
      <c r="L3370" s="166" t="s">
        <v>211</v>
      </c>
      <c r="M3370" s="168" t="s">
        <v>211</v>
      </c>
      <c r="N3370" s="166" t="s">
        <v>211</v>
      </c>
      <c r="O3370" s="168" t="s">
        <v>211</v>
      </c>
    </row>
    <row r="3371" spans="2:16" s="453" customFormat="1" ht="14" x14ac:dyDescent="0.2">
      <c r="B3371" s="293"/>
      <c r="F3371" s="593" t="s">
        <v>1495</v>
      </c>
      <c r="G3371" s="593"/>
      <c r="H3371" s="768"/>
      <c r="I3371" s="169"/>
      <c r="J3371" s="167"/>
      <c r="K3371" s="169"/>
      <c r="L3371" s="167"/>
      <c r="M3371" s="169"/>
      <c r="N3371" s="167"/>
      <c r="O3371" s="169"/>
    </row>
    <row r="3372" spans="2:16" s="453" customFormat="1" ht="14" x14ac:dyDescent="0.2">
      <c r="B3372" s="293"/>
      <c r="F3372" s="604" t="s">
        <v>1487</v>
      </c>
      <c r="G3372" s="604"/>
      <c r="H3372" s="767"/>
      <c r="I3372" s="169"/>
      <c r="J3372" s="167"/>
      <c r="K3372" s="169"/>
      <c r="L3372" s="167"/>
      <c r="M3372" s="169"/>
      <c r="N3372" s="167"/>
      <c r="O3372" s="169"/>
    </row>
    <row r="3373" spans="2:16" s="453" customFormat="1" ht="14" x14ac:dyDescent="0.2">
      <c r="B3373" s="302"/>
      <c r="C3373" s="303"/>
      <c r="D3373" s="303"/>
      <c r="E3373" s="303"/>
      <c r="F3373" s="599" t="s">
        <v>1503</v>
      </c>
      <c r="G3373" s="599"/>
      <c r="H3373" s="615"/>
      <c r="I3373" s="169"/>
      <c r="J3373" s="167"/>
      <c r="K3373" s="169"/>
      <c r="L3373" s="167"/>
      <c r="M3373" s="169"/>
      <c r="N3373" s="167"/>
      <c r="O3373" s="169"/>
    </row>
    <row r="3374" spans="2:16" s="453" customFormat="1" ht="14" x14ac:dyDescent="0.2">
      <c r="B3374" s="291" t="s">
        <v>19</v>
      </c>
      <c r="C3374" s="598" t="s">
        <v>1504</v>
      </c>
      <c r="D3374" s="598"/>
      <c r="E3374" s="598"/>
      <c r="F3374" s="598"/>
      <c r="G3374" s="598"/>
      <c r="H3374" s="292"/>
      <c r="I3374" s="168" t="s">
        <v>211</v>
      </c>
      <c r="J3374" s="166" t="s">
        <v>211</v>
      </c>
      <c r="K3374" s="168" t="s">
        <v>211</v>
      </c>
      <c r="L3374" s="166" t="s">
        <v>211</v>
      </c>
      <c r="M3374" s="168" t="s">
        <v>211</v>
      </c>
      <c r="N3374" s="166" t="s">
        <v>211</v>
      </c>
      <c r="O3374" s="168" t="s">
        <v>211</v>
      </c>
    </row>
    <row r="3375" spans="2:16" s="453" customFormat="1" ht="14" x14ac:dyDescent="0.2">
      <c r="B3375" s="293"/>
      <c r="C3375" s="595" t="s">
        <v>1505</v>
      </c>
      <c r="D3375" s="595"/>
      <c r="E3375" s="595"/>
      <c r="F3375" s="595"/>
      <c r="G3375" s="595"/>
      <c r="H3375" s="296"/>
      <c r="I3375" s="168" t="s">
        <v>211</v>
      </c>
      <c r="J3375" s="166" t="s">
        <v>211</v>
      </c>
      <c r="K3375" s="168" t="s">
        <v>211</v>
      </c>
      <c r="L3375" s="166" t="s">
        <v>211</v>
      </c>
      <c r="M3375" s="168" t="s">
        <v>211</v>
      </c>
      <c r="N3375" s="166" t="s">
        <v>211</v>
      </c>
      <c r="O3375" s="168" t="s">
        <v>211</v>
      </c>
    </row>
    <row r="3376" spans="2:16" s="453" customFormat="1" ht="14" x14ac:dyDescent="0.2">
      <c r="B3376" s="293"/>
      <c r="C3376" s="573" t="s">
        <v>1506</v>
      </c>
      <c r="D3376" s="573"/>
      <c r="E3376" s="573"/>
      <c r="F3376" s="573"/>
      <c r="G3376" s="573"/>
      <c r="H3376" s="296"/>
      <c r="I3376" s="168" t="s">
        <v>211</v>
      </c>
      <c r="J3376" s="166" t="s">
        <v>211</v>
      </c>
      <c r="K3376" s="168" t="s">
        <v>211</v>
      </c>
      <c r="L3376" s="166" t="s">
        <v>211</v>
      </c>
      <c r="M3376" s="168" t="s">
        <v>211</v>
      </c>
      <c r="N3376" s="166" t="s">
        <v>211</v>
      </c>
      <c r="O3376" s="168" t="s">
        <v>211</v>
      </c>
      <c r="P3376" s="107">
        <f>SUM(I3377:K3377,M3377:N3377)</f>
        <v>0</v>
      </c>
    </row>
    <row r="3377" spans="2:16" s="453" customFormat="1" ht="14" x14ac:dyDescent="0.2">
      <c r="B3377" s="293"/>
      <c r="F3377" s="593" t="s">
        <v>1495</v>
      </c>
      <c r="G3377" s="593"/>
      <c r="H3377" s="768"/>
      <c r="I3377" s="172">
        <f>COUNTIF(I3092:I3376,Data!$A$1)</f>
        <v>0</v>
      </c>
      <c r="J3377" s="205">
        <f>COUNTIF(J3092:J3376,Data!$A$1)</f>
        <v>0</v>
      </c>
      <c r="K3377" s="172">
        <f>COUNTIF(K3092:K3376,Data!$A$1)</f>
        <v>0</v>
      </c>
      <c r="L3377" s="205">
        <f>COUNTIF(L3092:L3376,Data!$A$1)</f>
        <v>0</v>
      </c>
      <c r="M3377" s="172">
        <f>COUNTIF(M3092:M3376,Data!$A$1)</f>
        <v>0</v>
      </c>
      <c r="N3377" s="205">
        <f>COUNTIF(N3092:N3376,Data!$A$1)</f>
        <v>0</v>
      </c>
      <c r="O3377" s="172">
        <f>COUNTIF(O3092:O3376,Data!$A$1)</f>
        <v>0</v>
      </c>
      <c r="P3377" s="107">
        <f>SUM(P3376*5)</f>
        <v>0</v>
      </c>
    </row>
    <row r="3378" spans="2:16" s="453" customFormat="1" ht="14" x14ac:dyDescent="0.2">
      <c r="B3378" s="302"/>
      <c r="C3378" s="303"/>
      <c r="D3378" s="303"/>
      <c r="E3378" s="303"/>
      <c r="F3378" s="603" t="s">
        <v>1507</v>
      </c>
      <c r="G3378" s="603"/>
      <c r="H3378" s="769"/>
      <c r="I3378" s="172">
        <f>SUM(I3377*5)</f>
        <v>0</v>
      </c>
      <c r="J3378" s="202"/>
      <c r="K3378" s="172">
        <f>SUM(K3377*4)</f>
        <v>0</v>
      </c>
      <c r="L3378" s="202"/>
      <c r="M3378" s="172">
        <f>SUM(M3377*5)</f>
        <v>0</v>
      </c>
      <c r="N3378" s="202">
        <f>SUM(N3377*5)</f>
        <v>0</v>
      </c>
      <c r="O3378" s="172">
        <f>SUM(I3378:N3378)</f>
        <v>0</v>
      </c>
    </row>
    <row r="3379" spans="2:16" s="453" customFormat="1" ht="14" x14ac:dyDescent="0.2">
      <c r="B3379" s="291">
        <v>7</v>
      </c>
      <c r="C3379" s="602" t="s">
        <v>1508</v>
      </c>
      <c r="D3379" s="602"/>
      <c r="E3379" s="602"/>
      <c r="F3379" s="602"/>
      <c r="G3379" s="602"/>
      <c r="H3379" s="292"/>
      <c r="I3379" s="168" t="s">
        <v>211</v>
      </c>
      <c r="J3379" s="166" t="s">
        <v>211</v>
      </c>
      <c r="K3379" s="168" t="s">
        <v>211</v>
      </c>
      <c r="L3379" s="166" t="s">
        <v>211</v>
      </c>
      <c r="M3379" s="168" t="s">
        <v>211</v>
      </c>
      <c r="N3379" s="166" t="s">
        <v>211</v>
      </c>
      <c r="O3379" s="168" t="s">
        <v>211</v>
      </c>
    </row>
    <row r="3380" spans="2:16" s="453" customFormat="1" ht="14" x14ac:dyDescent="0.2">
      <c r="B3380" s="293"/>
      <c r="C3380" s="572" t="s">
        <v>1510</v>
      </c>
      <c r="D3380" s="572"/>
      <c r="E3380" s="572"/>
      <c r="F3380" s="572"/>
      <c r="G3380" s="572"/>
      <c r="H3380" s="296"/>
      <c r="I3380" s="168" t="s">
        <v>211</v>
      </c>
      <c r="J3380" s="166" t="s">
        <v>211</v>
      </c>
      <c r="K3380" s="168" t="s">
        <v>211</v>
      </c>
      <c r="L3380" s="166" t="s">
        <v>211</v>
      </c>
      <c r="M3380" s="168" t="s">
        <v>211</v>
      </c>
      <c r="N3380" s="166" t="s">
        <v>211</v>
      </c>
      <c r="O3380" s="168" t="s">
        <v>211</v>
      </c>
    </row>
    <row r="3381" spans="2:16" s="453" customFormat="1" ht="14" x14ac:dyDescent="0.2">
      <c r="B3381" s="293"/>
      <c r="C3381" s="572"/>
      <c r="D3381" s="572"/>
      <c r="E3381" s="572"/>
      <c r="F3381" s="572"/>
      <c r="G3381" s="572"/>
      <c r="H3381" s="294"/>
      <c r="I3381" s="169"/>
      <c r="J3381" s="167"/>
      <c r="K3381" s="169"/>
      <c r="L3381" s="167"/>
      <c r="M3381" s="169"/>
      <c r="N3381" s="167"/>
      <c r="O3381" s="169"/>
    </row>
    <row r="3382" spans="2:16" s="453" customFormat="1" ht="14" x14ac:dyDescent="0.2">
      <c r="B3382" s="293"/>
      <c r="C3382" s="572" t="s">
        <v>1509</v>
      </c>
      <c r="D3382" s="572"/>
      <c r="E3382" s="572"/>
      <c r="F3382" s="572"/>
      <c r="G3382" s="572"/>
      <c r="H3382" s="296"/>
      <c r="I3382" s="168" t="s">
        <v>211</v>
      </c>
      <c r="J3382" s="166" t="s">
        <v>211</v>
      </c>
      <c r="K3382" s="168" t="s">
        <v>211</v>
      </c>
      <c r="L3382" s="166" t="s">
        <v>211</v>
      </c>
      <c r="M3382" s="168" t="s">
        <v>211</v>
      </c>
      <c r="N3382" s="166" t="s">
        <v>211</v>
      </c>
      <c r="O3382" s="168" t="s">
        <v>211</v>
      </c>
    </row>
    <row r="3383" spans="2:16" s="453" customFormat="1" ht="14" x14ac:dyDescent="0.2">
      <c r="B3383" s="293"/>
      <c r="C3383" s="572"/>
      <c r="D3383" s="572"/>
      <c r="E3383" s="572"/>
      <c r="F3383" s="572"/>
      <c r="G3383" s="572"/>
      <c r="H3383" s="294"/>
      <c r="I3383" s="169"/>
      <c r="J3383" s="167"/>
      <c r="K3383" s="169"/>
      <c r="L3383" s="167"/>
      <c r="M3383" s="169"/>
      <c r="N3383" s="167"/>
      <c r="O3383" s="169"/>
    </row>
    <row r="3384" spans="2:16" s="453" customFormat="1" ht="14" x14ac:dyDescent="0.2">
      <c r="B3384" s="293"/>
      <c r="F3384" s="770" t="s">
        <v>1511</v>
      </c>
      <c r="G3384" s="770"/>
      <c r="H3384" s="771"/>
      <c r="I3384" s="169"/>
      <c r="J3384" s="167"/>
      <c r="K3384" s="169"/>
      <c r="L3384" s="167"/>
      <c r="M3384" s="169"/>
      <c r="N3384" s="167"/>
      <c r="O3384" s="169"/>
    </row>
    <row r="3385" spans="2:16" s="453" customFormat="1" ht="14" x14ac:dyDescent="0.2">
      <c r="B3385" s="293"/>
      <c r="F3385" s="770" t="s">
        <v>1512</v>
      </c>
      <c r="G3385" s="770"/>
      <c r="H3385" s="771"/>
      <c r="I3385" s="169"/>
      <c r="J3385" s="167"/>
      <c r="K3385" s="169"/>
      <c r="L3385" s="167"/>
      <c r="M3385" s="169"/>
      <c r="N3385" s="167"/>
      <c r="O3385" s="169"/>
    </row>
    <row r="3386" spans="2:16" s="453" customFormat="1" ht="14" x14ac:dyDescent="0.2">
      <c r="B3386" s="302"/>
      <c r="C3386" s="303"/>
      <c r="D3386" s="303"/>
      <c r="E3386" s="303"/>
      <c r="F3386" s="580" t="s">
        <v>570</v>
      </c>
      <c r="G3386" s="580"/>
      <c r="H3386" s="585"/>
      <c r="I3386" s="169"/>
      <c r="J3386" s="167"/>
      <c r="K3386" s="169"/>
      <c r="L3386" s="167"/>
      <c r="M3386" s="169"/>
      <c r="N3386" s="167"/>
      <c r="O3386" s="169"/>
    </row>
    <row r="3387" spans="2:16" s="453" customFormat="1" ht="14" x14ac:dyDescent="0.2">
      <c r="B3387" s="291" t="s">
        <v>118</v>
      </c>
      <c r="C3387" s="602" t="s">
        <v>1513</v>
      </c>
      <c r="D3387" s="602"/>
      <c r="E3387" s="602"/>
      <c r="F3387" s="602"/>
      <c r="G3387" s="602"/>
      <c r="H3387" s="292"/>
      <c r="I3387" s="168" t="s">
        <v>211</v>
      </c>
      <c r="J3387" s="166" t="s">
        <v>211</v>
      </c>
      <c r="K3387" s="168" t="s">
        <v>211</v>
      </c>
      <c r="L3387" s="166" t="s">
        <v>211</v>
      </c>
      <c r="M3387" s="168" t="s">
        <v>211</v>
      </c>
      <c r="N3387" s="166" t="s">
        <v>211</v>
      </c>
      <c r="O3387" s="168" t="s">
        <v>211</v>
      </c>
    </row>
    <row r="3388" spans="2:16" s="453" customFormat="1" ht="14" x14ac:dyDescent="0.2">
      <c r="B3388" s="293"/>
      <c r="C3388" s="572"/>
      <c r="D3388" s="572"/>
      <c r="E3388" s="572"/>
      <c r="F3388" s="572"/>
      <c r="G3388" s="572"/>
      <c r="H3388" s="294"/>
      <c r="I3388" s="169"/>
      <c r="J3388" s="167"/>
      <c r="K3388" s="169"/>
      <c r="L3388" s="167"/>
      <c r="M3388" s="169"/>
      <c r="N3388" s="167"/>
      <c r="O3388" s="169"/>
    </row>
    <row r="3389" spans="2:16" s="453" customFormat="1" ht="14" x14ac:dyDescent="0.2">
      <c r="B3389" s="293"/>
      <c r="C3389" s="572" t="s">
        <v>1514</v>
      </c>
      <c r="D3389" s="572"/>
      <c r="E3389" s="572"/>
      <c r="F3389" s="572"/>
      <c r="G3389" s="572"/>
      <c r="H3389" s="296"/>
      <c r="I3389" s="168" t="s">
        <v>211</v>
      </c>
      <c r="J3389" s="166" t="s">
        <v>211</v>
      </c>
      <c r="K3389" s="168" t="s">
        <v>211</v>
      </c>
      <c r="L3389" s="166" t="s">
        <v>211</v>
      </c>
      <c r="M3389" s="168" t="s">
        <v>211</v>
      </c>
      <c r="N3389" s="166" t="s">
        <v>211</v>
      </c>
      <c r="O3389" s="168" t="s">
        <v>211</v>
      </c>
    </row>
    <row r="3390" spans="2:16" s="453" customFormat="1" ht="14" x14ac:dyDescent="0.2">
      <c r="B3390" s="293"/>
      <c r="C3390" s="572"/>
      <c r="D3390" s="572"/>
      <c r="E3390" s="572"/>
      <c r="F3390" s="572"/>
      <c r="G3390" s="572"/>
      <c r="H3390" s="294"/>
      <c r="I3390" s="169"/>
      <c r="J3390" s="167"/>
      <c r="K3390" s="169"/>
      <c r="L3390" s="167"/>
      <c r="M3390" s="169"/>
      <c r="N3390" s="167"/>
      <c r="O3390" s="169"/>
    </row>
    <row r="3391" spans="2:16" s="453" customFormat="1" ht="14" x14ac:dyDescent="0.2">
      <c r="B3391" s="293"/>
      <c r="C3391" s="572" t="s">
        <v>1515</v>
      </c>
      <c r="D3391" s="572"/>
      <c r="E3391" s="572"/>
      <c r="F3391" s="572"/>
      <c r="G3391" s="572"/>
      <c r="H3391" s="296"/>
      <c r="I3391" s="168" t="s">
        <v>211</v>
      </c>
      <c r="J3391" s="166" t="s">
        <v>211</v>
      </c>
      <c r="K3391" s="168" t="s">
        <v>211</v>
      </c>
      <c r="L3391" s="166" t="s">
        <v>211</v>
      </c>
      <c r="M3391" s="168" t="s">
        <v>211</v>
      </c>
      <c r="N3391" s="166" t="s">
        <v>211</v>
      </c>
      <c r="O3391" s="168" t="s">
        <v>211</v>
      </c>
    </row>
    <row r="3392" spans="2:16" s="453" customFormat="1" ht="14" x14ac:dyDescent="0.2">
      <c r="B3392" s="293"/>
      <c r="C3392" s="572"/>
      <c r="D3392" s="572"/>
      <c r="E3392" s="572"/>
      <c r="F3392" s="572"/>
      <c r="G3392" s="572"/>
      <c r="H3392" s="294"/>
      <c r="I3392" s="169"/>
      <c r="J3392" s="167"/>
      <c r="K3392" s="169"/>
      <c r="L3392" s="167"/>
      <c r="M3392" s="169"/>
      <c r="N3392" s="167"/>
      <c r="O3392" s="169"/>
    </row>
    <row r="3393" spans="2:15" s="453" customFormat="1" ht="14" x14ac:dyDescent="0.2">
      <c r="B3393" s="293"/>
      <c r="D3393" s="770" t="s">
        <v>1516</v>
      </c>
      <c r="E3393" s="770"/>
      <c r="F3393" s="770"/>
      <c r="G3393" s="770"/>
      <c r="H3393" s="771"/>
      <c r="I3393" s="169"/>
      <c r="J3393" s="167"/>
      <c r="K3393" s="169"/>
      <c r="L3393" s="167"/>
      <c r="M3393" s="169"/>
      <c r="N3393" s="167"/>
      <c r="O3393" s="169"/>
    </row>
    <row r="3394" spans="2:15" s="453" customFormat="1" ht="14" x14ac:dyDescent="0.2">
      <c r="B3394" s="293"/>
      <c r="F3394" s="770" t="s">
        <v>1512</v>
      </c>
      <c r="G3394" s="770"/>
      <c r="H3394" s="771"/>
      <c r="I3394" s="169"/>
      <c r="J3394" s="167"/>
      <c r="K3394" s="169"/>
      <c r="L3394" s="167"/>
      <c r="M3394" s="169"/>
      <c r="N3394" s="167"/>
      <c r="O3394" s="169"/>
    </row>
    <row r="3395" spans="2:15" s="453" customFormat="1" ht="14" x14ac:dyDescent="0.2">
      <c r="B3395" s="302"/>
      <c r="C3395" s="303"/>
      <c r="D3395" s="303"/>
      <c r="E3395" s="303"/>
      <c r="F3395" s="580" t="s">
        <v>570</v>
      </c>
      <c r="G3395" s="580"/>
      <c r="H3395" s="585"/>
      <c r="I3395" s="169"/>
      <c r="J3395" s="167"/>
      <c r="K3395" s="169"/>
      <c r="L3395" s="167"/>
      <c r="M3395" s="169"/>
      <c r="N3395" s="167"/>
      <c r="O3395" s="169"/>
    </row>
    <row r="3396" spans="2:15" s="453" customFormat="1" ht="14" x14ac:dyDescent="0.2">
      <c r="B3396" s="291">
        <v>8</v>
      </c>
      <c r="C3396" s="598" t="s">
        <v>1517</v>
      </c>
      <c r="D3396" s="598"/>
      <c r="E3396" s="598"/>
      <c r="F3396" s="598"/>
      <c r="G3396" s="598"/>
      <c r="H3396" s="292"/>
      <c r="I3396" s="168" t="s">
        <v>211</v>
      </c>
      <c r="J3396" s="166" t="s">
        <v>211</v>
      </c>
      <c r="K3396" s="168" t="s">
        <v>211</v>
      </c>
      <c r="L3396" s="166" t="s">
        <v>211</v>
      </c>
      <c r="M3396" s="168" t="s">
        <v>211</v>
      </c>
      <c r="N3396" s="166" t="s">
        <v>211</v>
      </c>
      <c r="O3396" s="168" t="s">
        <v>211</v>
      </c>
    </row>
    <row r="3397" spans="2:15" s="453" customFormat="1" ht="14" x14ac:dyDescent="0.2">
      <c r="B3397" s="293"/>
      <c r="C3397" s="572" t="s">
        <v>1518</v>
      </c>
      <c r="D3397" s="572"/>
      <c r="E3397" s="572"/>
      <c r="F3397" s="572"/>
      <c r="G3397" s="572"/>
      <c r="H3397" s="296"/>
      <c r="I3397" s="168" t="s">
        <v>211</v>
      </c>
      <c r="J3397" s="166" t="s">
        <v>211</v>
      </c>
      <c r="K3397" s="168" t="s">
        <v>211</v>
      </c>
      <c r="L3397" s="166" t="s">
        <v>211</v>
      </c>
      <c r="M3397" s="168" t="s">
        <v>211</v>
      </c>
      <c r="N3397" s="166" t="s">
        <v>211</v>
      </c>
      <c r="O3397" s="168" t="s">
        <v>211</v>
      </c>
    </row>
    <row r="3398" spans="2:15" s="453" customFormat="1" ht="14" x14ac:dyDescent="0.2">
      <c r="B3398" s="293"/>
      <c r="C3398" s="573" t="s">
        <v>1519</v>
      </c>
      <c r="D3398" s="573"/>
      <c r="E3398" s="573"/>
      <c r="F3398" s="573"/>
      <c r="G3398" s="573"/>
      <c r="H3398" s="296"/>
      <c r="I3398" s="168" t="s">
        <v>211</v>
      </c>
      <c r="J3398" s="166" t="s">
        <v>211</v>
      </c>
      <c r="K3398" s="168" t="s">
        <v>211</v>
      </c>
      <c r="L3398" s="166" t="s">
        <v>211</v>
      </c>
      <c r="M3398" s="168" t="s">
        <v>211</v>
      </c>
      <c r="N3398" s="166" t="s">
        <v>211</v>
      </c>
      <c r="O3398" s="168" t="s">
        <v>211</v>
      </c>
    </row>
    <row r="3399" spans="2:15" s="453" customFormat="1" ht="14" x14ac:dyDescent="0.2">
      <c r="B3399" s="293"/>
      <c r="F3399" s="593" t="s">
        <v>1520</v>
      </c>
      <c r="G3399" s="593"/>
      <c r="H3399" s="768"/>
      <c r="I3399" s="169"/>
      <c r="J3399" s="167"/>
      <c r="K3399" s="169"/>
      <c r="L3399" s="167"/>
      <c r="M3399" s="169"/>
      <c r="N3399" s="167"/>
      <c r="O3399" s="169"/>
    </row>
    <row r="3400" spans="2:15" s="453" customFormat="1" ht="14" x14ac:dyDescent="0.2">
      <c r="B3400" s="293"/>
      <c r="F3400" s="770" t="s">
        <v>1521</v>
      </c>
      <c r="G3400" s="770"/>
      <c r="H3400" s="771"/>
      <c r="I3400" s="169"/>
      <c r="J3400" s="167"/>
      <c r="K3400" s="169"/>
      <c r="L3400" s="167"/>
      <c r="M3400" s="169"/>
      <c r="N3400" s="167"/>
      <c r="O3400" s="169"/>
    </row>
    <row r="3401" spans="2:15" s="453" customFormat="1" ht="14" x14ac:dyDescent="0.2">
      <c r="B3401" s="293"/>
      <c r="C3401" s="572" t="s">
        <v>1522</v>
      </c>
      <c r="D3401" s="572"/>
      <c r="E3401" s="572"/>
      <c r="F3401" s="572"/>
      <c r="G3401" s="572"/>
      <c r="H3401" s="296"/>
      <c r="I3401" s="168" t="s">
        <v>211</v>
      </c>
      <c r="J3401" s="166" t="s">
        <v>211</v>
      </c>
      <c r="K3401" s="168" t="s">
        <v>211</v>
      </c>
      <c r="L3401" s="166" t="s">
        <v>211</v>
      </c>
      <c r="M3401" s="168" t="s">
        <v>211</v>
      </c>
      <c r="N3401" s="166" t="s">
        <v>211</v>
      </c>
      <c r="O3401" s="168" t="s">
        <v>211</v>
      </c>
    </row>
    <row r="3402" spans="2:15" s="453" customFormat="1" ht="14" x14ac:dyDescent="0.2">
      <c r="B3402" s="293"/>
      <c r="C3402" s="572"/>
      <c r="D3402" s="572"/>
      <c r="E3402" s="572"/>
      <c r="F3402" s="572"/>
      <c r="G3402" s="572"/>
      <c r="H3402" s="294"/>
      <c r="I3402" s="169"/>
      <c r="J3402" s="167"/>
      <c r="K3402" s="169"/>
      <c r="L3402" s="167"/>
      <c r="M3402" s="169"/>
      <c r="N3402" s="167"/>
      <c r="O3402" s="169"/>
    </row>
    <row r="3403" spans="2:15" s="453" customFormat="1" ht="14" x14ac:dyDescent="0.2">
      <c r="B3403" s="293"/>
      <c r="F3403" s="604" t="s">
        <v>1523</v>
      </c>
      <c r="G3403" s="604"/>
      <c r="H3403" s="767"/>
      <c r="I3403" s="169"/>
      <c r="J3403" s="167"/>
      <c r="K3403" s="169"/>
      <c r="L3403" s="167"/>
      <c r="M3403" s="169"/>
      <c r="N3403" s="167"/>
      <c r="O3403" s="169"/>
    </row>
    <row r="3404" spans="2:15" s="453" customFormat="1" ht="14" x14ac:dyDescent="0.2">
      <c r="B3404" s="302"/>
      <c r="C3404" s="303"/>
      <c r="D3404" s="303"/>
      <c r="E3404" s="303"/>
      <c r="F3404" s="599" t="s">
        <v>1116</v>
      </c>
      <c r="G3404" s="599"/>
      <c r="H3404" s="615"/>
      <c r="I3404" s="169"/>
      <c r="J3404" s="167"/>
      <c r="K3404" s="169"/>
      <c r="L3404" s="167"/>
      <c r="M3404" s="169"/>
      <c r="N3404" s="167"/>
      <c r="O3404" s="169"/>
    </row>
    <row r="3405" spans="2:15" s="453" customFormat="1" ht="14" x14ac:dyDescent="0.2">
      <c r="B3405" s="291">
        <v>9</v>
      </c>
      <c r="C3405" s="598" t="s">
        <v>1524</v>
      </c>
      <c r="D3405" s="598"/>
      <c r="E3405" s="598"/>
      <c r="F3405" s="598"/>
      <c r="G3405" s="598"/>
      <c r="H3405" s="292"/>
      <c r="I3405" s="168" t="s">
        <v>211</v>
      </c>
      <c r="J3405" s="166" t="s">
        <v>211</v>
      </c>
      <c r="K3405" s="168" t="s">
        <v>211</v>
      </c>
      <c r="L3405" s="166" t="s">
        <v>211</v>
      </c>
      <c r="M3405" s="168" t="s">
        <v>211</v>
      </c>
      <c r="N3405" s="166" t="s">
        <v>211</v>
      </c>
      <c r="O3405" s="168" t="s">
        <v>211</v>
      </c>
    </row>
    <row r="3406" spans="2:15" s="453" customFormat="1" ht="14" x14ac:dyDescent="0.2">
      <c r="B3406" s="293"/>
      <c r="C3406" s="595" t="s">
        <v>1525</v>
      </c>
      <c r="D3406" s="595"/>
      <c r="E3406" s="595"/>
      <c r="F3406" s="595"/>
      <c r="G3406" s="595"/>
      <c r="H3406" s="296"/>
      <c r="I3406" s="168" t="s">
        <v>211</v>
      </c>
      <c r="J3406" s="166" t="s">
        <v>211</v>
      </c>
      <c r="K3406" s="168" t="s">
        <v>211</v>
      </c>
      <c r="L3406" s="166" t="s">
        <v>211</v>
      </c>
      <c r="M3406" s="168" t="s">
        <v>211</v>
      </c>
      <c r="N3406" s="166" t="s">
        <v>211</v>
      </c>
      <c r="O3406" s="168" t="s">
        <v>211</v>
      </c>
    </row>
    <row r="3407" spans="2:15" s="453" customFormat="1" ht="14" x14ac:dyDescent="0.2">
      <c r="B3407" s="293"/>
      <c r="C3407" s="573" t="s">
        <v>1519</v>
      </c>
      <c r="D3407" s="573"/>
      <c r="E3407" s="573"/>
      <c r="F3407" s="573"/>
      <c r="G3407" s="573"/>
      <c r="H3407" s="296"/>
      <c r="I3407" s="168" t="s">
        <v>211</v>
      </c>
      <c r="J3407" s="166" t="s">
        <v>211</v>
      </c>
      <c r="K3407" s="168" t="s">
        <v>211</v>
      </c>
      <c r="L3407" s="166" t="s">
        <v>211</v>
      </c>
      <c r="M3407" s="168" t="s">
        <v>211</v>
      </c>
      <c r="N3407" s="166" t="s">
        <v>211</v>
      </c>
      <c r="O3407" s="168" t="s">
        <v>211</v>
      </c>
    </row>
    <row r="3408" spans="2:15" s="453" customFormat="1" ht="14" x14ac:dyDescent="0.2">
      <c r="B3408" s="293"/>
      <c r="C3408" s="785" t="s">
        <v>1526</v>
      </c>
      <c r="D3408" s="785"/>
      <c r="E3408" s="785"/>
      <c r="F3408" s="785"/>
      <c r="G3408" s="785"/>
      <c r="H3408" s="296"/>
      <c r="I3408" s="168" t="s">
        <v>211</v>
      </c>
      <c r="J3408" s="166" t="s">
        <v>211</v>
      </c>
      <c r="K3408" s="168" t="s">
        <v>211</v>
      </c>
      <c r="L3408" s="166" t="s">
        <v>211</v>
      </c>
      <c r="M3408" s="168" t="s">
        <v>211</v>
      </c>
      <c r="N3408" s="166" t="s">
        <v>211</v>
      </c>
      <c r="O3408" s="168" t="s">
        <v>211</v>
      </c>
    </row>
    <row r="3409" spans="2:15" s="453" customFormat="1" ht="14" x14ac:dyDescent="0.2">
      <c r="B3409" s="293"/>
      <c r="F3409" s="586" t="s">
        <v>765</v>
      </c>
      <c r="G3409" s="586"/>
      <c r="H3409" s="587"/>
      <c r="I3409" s="169"/>
      <c r="J3409" s="167"/>
      <c r="K3409" s="169"/>
      <c r="L3409" s="167"/>
      <c r="M3409" s="169"/>
      <c r="N3409" s="167"/>
      <c r="O3409" s="169"/>
    </row>
    <row r="3410" spans="2:15" s="453" customFormat="1" ht="14" x14ac:dyDescent="0.2">
      <c r="B3410" s="293"/>
      <c r="F3410" s="770" t="s">
        <v>1116</v>
      </c>
      <c r="G3410" s="770"/>
      <c r="H3410" s="771"/>
      <c r="I3410" s="169"/>
      <c r="J3410" s="167"/>
      <c r="K3410" s="169"/>
      <c r="L3410" s="167"/>
      <c r="M3410" s="169"/>
      <c r="N3410" s="167"/>
      <c r="O3410" s="169"/>
    </row>
    <row r="3411" spans="2:15" s="453" customFormat="1" ht="14" x14ac:dyDescent="0.2">
      <c r="B3411" s="302"/>
      <c r="C3411" s="303"/>
      <c r="D3411" s="303"/>
      <c r="E3411" s="303"/>
      <c r="F3411" s="599" t="s">
        <v>1512</v>
      </c>
      <c r="G3411" s="599"/>
      <c r="H3411" s="615"/>
      <c r="I3411" s="169"/>
      <c r="J3411" s="167"/>
      <c r="K3411" s="169"/>
      <c r="L3411" s="167"/>
      <c r="M3411" s="169"/>
      <c r="N3411" s="167"/>
      <c r="O3411" s="169"/>
    </row>
    <row r="3412" spans="2:15" s="453" customFormat="1" ht="14" x14ac:dyDescent="0.2">
      <c r="B3412" s="291">
        <v>10</v>
      </c>
      <c r="C3412" s="801" t="s">
        <v>1527</v>
      </c>
      <c r="D3412" s="801"/>
      <c r="E3412" s="801"/>
      <c r="F3412" s="801"/>
      <c r="G3412" s="801"/>
      <c r="H3412" s="292"/>
      <c r="I3412" s="168" t="s">
        <v>211</v>
      </c>
      <c r="J3412" s="166" t="s">
        <v>211</v>
      </c>
      <c r="K3412" s="168" t="s">
        <v>211</v>
      </c>
      <c r="L3412" s="166" t="s">
        <v>211</v>
      </c>
      <c r="M3412" s="168" t="s">
        <v>211</v>
      </c>
      <c r="N3412" s="166" t="s">
        <v>211</v>
      </c>
      <c r="O3412" s="168" t="s">
        <v>211</v>
      </c>
    </row>
    <row r="3413" spans="2:15" s="453" customFormat="1" ht="14" x14ac:dyDescent="0.2">
      <c r="B3413" s="293"/>
      <c r="C3413" s="785"/>
      <c r="D3413" s="785"/>
      <c r="E3413" s="785"/>
      <c r="F3413" s="785"/>
      <c r="G3413" s="785"/>
      <c r="H3413" s="294"/>
      <c r="I3413" s="169"/>
      <c r="J3413" s="167"/>
      <c r="K3413" s="169"/>
      <c r="L3413" s="167"/>
      <c r="M3413" s="169"/>
      <c r="N3413" s="167"/>
      <c r="O3413" s="169"/>
    </row>
    <row r="3414" spans="2:15" s="453" customFormat="1" ht="14" x14ac:dyDescent="0.2">
      <c r="B3414" s="293"/>
      <c r="C3414" s="785"/>
      <c r="D3414" s="785"/>
      <c r="E3414" s="785"/>
      <c r="F3414" s="785"/>
      <c r="G3414" s="785"/>
      <c r="H3414" s="294"/>
      <c r="I3414" s="169"/>
      <c r="J3414" s="167"/>
      <c r="K3414" s="169"/>
      <c r="L3414" s="167"/>
      <c r="M3414" s="169"/>
      <c r="N3414" s="167"/>
      <c r="O3414" s="169"/>
    </row>
    <row r="3415" spans="2:15" s="453" customFormat="1" ht="14" x14ac:dyDescent="0.2">
      <c r="B3415" s="293"/>
      <c r="C3415" s="573" t="s">
        <v>1519</v>
      </c>
      <c r="D3415" s="573"/>
      <c r="E3415" s="573"/>
      <c r="F3415" s="573"/>
      <c r="G3415" s="573"/>
      <c r="H3415" s="296"/>
      <c r="I3415" s="168" t="s">
        <v>211</v>
      </c>
      <c r="J3415" s="166" t="s">
        <v>211</v>
      </c>
      <c r="K3415" s="168" t="s">
        <v>211</v>
      </c>
      <c r="L3415" s="166" t="s">
        <v>211</v>
      </c>
      <c r="M3415" s="168" t="s">
        <v>211</v>
      </c>
      <c r="N3415" s="166" t="s">
        <v>211</v>
      </c>
      <c r="O3415" s="168" t="s">
        <v>211</v>
      </c>
    </row>
    <row r="3416" spans="2:15" s="453" customFormat="1" ht="14" x14ac:dyDescent="0.2">
      <c r="B3416" s="293"/>
      <c r="C3416" s="573" t="s">
        <v>1528</v>
      </c>
      <c r="D3416" s="573"/>
      <c r="E3416" s="573"/>
      <c r="F3416" s="573"/>
      <c r="G3416" s="573"/>
      <c r="H3416" s="296"/>
      <c r="I3416" s="168" t="s">
        <v>211</v>
      </c>
      <c r="J3416" s="166" t="s">
        <v>211</v>
      </c>
      <c r="K3416" s="168" t="s">
        <v>211</v>
      </c>
      <c r="L3416" s="166" t="s">
        <v>211</v>
      </c>
      <c r="M3416" s="168" t="s">
        <v>211</v>
      </c>
      <c r="N3416" s="166" t="s">
        <v>211</v>
      </c>
      <c r="O3416" s="168" t="s">
        <v>211</v>
      </c>
    </row>
    <row r="3417" spans="2:15" s="453" customFormat="1" ht="14" x14ac:dyDescent="0.2">
      <c r="B3417" s="293"/>
      <c r="F3417" s="586" t="s">
        <v>1529</v>
      </c>
      <c r="G3417" s="586"/>
      <c r="H3417" s="587"/>
      <c r="I3417" s="169"/>
      <c r="J3417" s="167"/>
      <c r="K3417" s="169"/>
      <c r="L3417" s="167"/>
      <c r="M3417" s="169"/>
      <c r="N3417" s="167"/>
      <c r="O3417" s="169"/>
    </row>
    <row r="3418" spans="2:15" s="453" customFormat="1" ht="14" x14ac:dyDescent="0.2">
      <c r="B3418" s="293"/>
      <c r="F3418" s="604" t="s">
        <v>1530</v>
      </c>
      <c r="G3418" s="604"/>
      <c r="H3418" s="767"/>
      <c r="I3418" s="169"/>
      <c r="J3418" s="167"/>
      <c r="K3418" s="169"/>
      <c r="L3418" s="167"/>
      <c r="M3418" s="169"/>
      <c r="N3418" s="167"/>
      <c r="O3418" s="169"/>
    </row>
    <row r="3419" spans="2:15" s="453" customFormat="1" ht="14" x14ac:dyDescent="0.2">
      <c r="B3419" s="302"/>
      <c r="C3419" s="303"/>
      <c r="D3419" s="303"/>
      <c r="E3419" s="303"/>
      <c r="F3419" s="599" t="s">
        <v>1531</v>
      </c>
      <c r="G3419" s="599"/>
      <c r="H3419" s="615"/>
      <c r="I3419" s="169"/>
      <c r="J3419" s="167"/>
      <c r="K3419" s="169"/>
      <c r="L3419" s="167"/>
      <c r="M3419" s="169"/>
      <c r="N3419" s="167"/>
      <c r="O3419" s="169"/>
    </row>
    <row r="3420" spans="2:15" s="453" customFormat="1" ht="14" x14ac:dyDescent="0.2">
      <c r="B3420" s="291">
        <v>11</v>
      </c>
      <c r="C3420" s="801" t="s">
        <v>1532</v>
      </c>
      <c r="D3420" s="801"/>
      <c r="E3420" s="801"/>
      <c r="F3420" s="801"/>
      <c r="G3420" s="801"/>
      <c r="H3420" s="292"/>
      <c r="I3420" s="168" t="s">
        <v>211</v>
      </c>
      <c r="J3420" s="166" t="s">
        <v>211</v>
      </c>
      <c r="K3420" s="168" t="s">
        <v>211</v>
      </c>
      <c r="L3420" s="166" t="s">
        <v>211</v>
      </c>
      <c r="M3420" s="168" t="s">
        <v>211</v>
      </c>
      <c r="N3420" s="166" t="s">
        <v>211</v>
      </c>
      <c r="O3420" s="168" t="s">
        <v>211</v>
      </c>
    </row>
    <row r="3421" spans="2:15" s="453" customFormat="1" ht="14" x14ac:dyDescent="0.2">
      <c r="B3421" s="293"/>
      <c r="C3421" s="827"/>
      <c r="D3421" s="827"/>
      <c r="E3421" s="827"/>
      <c r="F3421" s="827"/>
      <c r="G3421" s="827"/>
      <c r="H3421" s="294"/>
      <c r="I3421" s="169"/>
      <c r="J3421" s="167"/>
      <c r="K3421" s="169"/>
      <c r="L3421" s="167"/>
      <c r="M3421" s="169"/>
      <c r="N3421" s="167"/>
      <c r="O3421" s="169"/>
    </row>
    <row r="3422" spans="2:15" s="453" customFormat="1" ht="14" x14ac:dyDescent="0.2">
      <c r="B3422" s="293"/>
      <c r="C3422" s="573" t="s">
        <v>1533</v>
      </c>
      <c r="D3422" s="573"/>
      <c r="E3422" s="573"/>
      <c r="F3422" s="573"/>
      <c r="G3422" s="573"/>
      <c r="H3422" s="296"/>
      <c r="I3422" s="168" t="s">
        <v>211</v>
      </c>
      <c r="J3422" s="166" t="s">
        <v>211</v>
      </c>
      <c r="K3422" s="168" t="s">
        <v>211</v>
      </c>
      <c r="L3422" s="166" t="s">
        <v>211</v>
      </c>
      <c r="M3422" s="168" t="s">
        <v>211</v>
      </c>
      <c r="N3422" s="166" t="s">
        <v>211</v>
      </c>
      <c r="O3422" s="168" t="s">
        <v>211</v>
      </c>
    </row>
    <row r="3423" spans="2:15" s="453" customFormat="1" ht="14" x14ac:dyDescent="0.2">
      <c r="B3423" s="293"/>
      <c r="F3423" s="770" t="s">
        <v>1534</v>
      </c>
      <c r="G3423" s="770"/>
      <c r="H3423" s="771"/>
      <c r="I3423" s="169"/>
      <c r="J3423" s="167"/>
      <c r="K3423" s="169"/>
      <c r="L3423" s="167"/>
      <c r="M3423" s="169"/>
      <c r="N3423" s="167"/>
      <c r="O3423" s="169"/>
    </row>
    <row r="3424" spans="2:15" s="453" customFormat="1" ht="14" x14ac:dyDescent="0.2">
      <c r="B3424" s="302"/>
      <c r="C3424" s="303"/>
      <c r="D3424" s="303"/>
      <c r="E3424" s="303"/>
      <c r="F3424" s="603" t="s">
        <v>1535</v>
      </c>
      <c r="G3424" s="603"/>
      <c r="H3424" s="769"/>
      <c r="I3424" s="169"/>
      <c r="J3424" s="167"/>
      <c r="K3424" s="169"/>
      <c r="L3424" s="167"/>
      <c r="M3424" s="169"/>
      <c r="N3424" s="167"/>
      <c r="O3424" s="169"/>
    </row>
    <row r="3425" spans="2:16" s="453" customFormat="1" ht="14" x14ac:dyDescent="0.2">
      <c r="B3425" s="291">
        <v>12</v>
      </c>
      <c r="C3425" s="614" t="s">
        <v>1536</v>
      </c>
      <c r="D3425" s="614"/>
      <c r="E3425" s="614"/>
      <c r="F3425" s="614"/>
      <c r="G3425" s="614"/>
      <c r="H3425" s="292"/>
      <c r="I3425" s="168" t="s">
        <v>211</v>
      </c>
      <c r="J3425" s="166" t="s">
        <v>211</v>
      </c>
      <c r="K3425" s="168" t="s">
        <v>211</v>
      </c>
      <c r="L3425" s="166" t="s">
        <v>211</v>
      </c>
      <c r="M3425" s="168" t="s">
        <v>211</v>
      </c>
      <c r="N3425" s="166" t="s">
        <v>211</v>
      </c>
      <c r="O3425" s="168" t="s">
        <v>211</v>
      </c>
    </row>
    <row r="3426" spans="2:16" s="453" customFormat="1" ht="14" x14ac:dyDescent="0.2">
      <c r="B3426" s="293"/>
      <c r="C3426" s="806"/>
      <c r="D3426" s="806"/>
      <c r="E3426" s="806"/>
      <c r="F3426" s="806"/>
      <c r="G3426" s="806"/>
      <c r="H3426" s="294"/>
      <c r="I3426" s="169"/>
      <c r="J3426" s="167"/>
      <c r="K3426" s="169"/>
      <c r="L3426" s="167"/>
      <c r="M3426" s="169"/>
      <c r="N3426" s="167"/>
      <c r="O3426" s="169"/>
    </row>
    <row r="3427" spans="2:16" s="453" customFormat="1" ht="14" x14ac:dyDescent="0.2">
      <c r="B3427" s="302"/>
      <c r="C3427" s="303"/>
      <c r="D3427" s="303"/>
      <c r="E3427" s="303"/>
      <c r="F3427" s="603" t="s">
        <v>570</v>
      </c>
      <c r="G3427" s="603"/>
      <c r="H3427" s="769"/>
      <c r="I3427" s="169"/>
      <c r="J3427" s="167"/>
      <c r="K3427" s="169"/>
      <c r="L3427" s="167"/>
      <c r="M3427" s="169"/>
      <c r="N3427" s="167"/>
      <c r="O3427" s="169"/>
    </row>
    <row r="3428" spans="2:16" s="453" customFormat="1" ht="14" x14ac:dyDescent="0.2">
      <c r="B3428" s="291">
        <v>13</v>
      </c>
      <c r="C3428" s="614" t="s">
        <v>1537</v>
      </c>
      <c r="D3428" s="614"/>
      <c r="E3428" s="614"/>
      <c r="F3428" s="614"/>
      <c r="G3428" s="614"/>
      <c r="H3428" s="292"/>
      <c r="I3428" s="168" t="s">
        <v>211</v>
      </c>
      <c r="J3428" s="166" t="s">
        <v>211</v>
      </c>
      <c r="K3428" s="168" t="s">
        <v>211</v>
      </c>
      <c r="L3428" s="166" t="s">
        <v>211</v>
      </c>
      <c r="M3428" s="168" t="s">
        <v>211</v>
      </c>
      <c r="N3428" s="166" t="s">
        <v>211</v>
      </c>
      <c r="O3428" s="168" t="s">
        <v>211</v>
      </c>
    </row>
    <row r="3429" spans="2:16" s="453" customFormat="1" ht="14" x14ac:dyDescent="0.2">
      <c r="B3429" s="293"/>
      <c r="C3429" s="595" t="s">
        <v>1538</v>
      </c>
      <c r="D3429" s="595"/>
      <c r="E3429" s="595"/>
      <c r="F3429" s="595"/>
      <c r="G3429" s="595"/>
      <c r="H3429" s="296"/>
      <c r="I3429" s="168" t="s">
        <v>211</v>
      </c>
      <c r="J3429" s="166" t="s">
        <v>211</v>
      </c>
      <c r="K3429" s="168" t="s">
        <v>211</v>
      </c>
      <c r="L3429" s="166" t="s">
        <v>211</v>
      </c>
      <c r="M3429" s="168" t="s">
        <v>211</v>
      </c>
      <c r="N3429" s="166" t="s">
        <v>211</v>
      </c>
      <c r="O3429" s="168" t="s">
        <v>211</v>
      </c>
    </row>
    <row r="3430" spans="2:16" s="453" customFormat="1" ht="14" x14ac:dyDescent="0.2">
      <c r="B3430" s="293"/>
      <c r="C3430" s="573" t="s">
        <v>1539</v>
      </c>
      <c r="D3430" s="573"/>
      <c r="E3430" s="573"/>
      <c r="F3430" s="573"/>
      <c r="G3430" s="573"/>
      <c r="H3430" s="296"/>
      <c r="I3430" s="168" t="s">
        <v>211</v>
      </c>
      <c r="J3430" s="166" t="s">
        <v>211</v>
      </c>
      <c r="K3430" s="168" t="s">
        <v>211</v>
      </c>
      <c r="L3430" s="166" t="s">
        <v>211</v>
      </c>
      <c r="M3430" s="168" t="s">
        <v>211</v>
      </c>
      <c r="N3430" s="166" t="s">
        <v>211</v>
      </c>
      <c r="O3430" s="168" t="s">
        <v>211</v>
      </c>
    </row>
    <row r="3431" spans="2:16" s="453" customFormat="1" ht="14" x14ac:dyDescent="0.2">
      <c r="B3431" s="293"/>
      <c r="F3431" s="604" t="s">
        <v>1495</v>
      </c>
      <c r="G3431" s="604"/>
      <c r="H3431" s="767"/>
      <c r="I3431" s="422">
        <f>COUNTIF(I3092:I3430,Data!$A$1)</f>
        <v>0</v>
      </c>
      <c r="J3431" s="423">
        <f>COUNTIF(J3092:J3430,Data!$A$1)</f>
        <v>0</v>
      </c>
      <c r="K3431" s="422">
        <f>COUNTIF(K3092:K3430,Data!$A$1)</f>
        <v>0</v>
      </c>
      <c r="L3431" s="423">
        <f>COUNTIF(L3092:L3430,Data!$A$1)</f>
        <v>0</v>
      </c>
      <c r="M3431" s="422">
        <f>COUNTIF(M3092:M3430,Data!$A$1)</f>
        <v>0</v>
      </c>
      <c r="N3431" s="423">
        <f>COUNTIF(N3092:N3430,Data!$A$1)</f>
        <v>0</v>
      </c>
      <c r="O3431" s="422">
        <f>COUNTIF(O3092:O3430,Data!$A$1)</f>
        <v>0</v>
      </c>
    </row>
    <row r="3432" spans="2:16" s="453" customFormat="1" ht="14" x14ac:dyDescent="0.2">
      <c r="B3432" s="302"/>
      <c r="C3432" s="303"/>
      <c r="D3432" s="303"/>
      <c r="E3432" s="303"/>
      <c r="F3432" s="603" t="s">
        <v>1487</v>
      </c>
      <c r="G3432" s="603"/>
      <c r="H3432" s="769"/>
      <c r="I3432" s="424">
        <f>COUNTIF(I64:I3430,Data!$A$1)</f>
        <v>0</v>
      </c>
      <c r="J3432" s="424">
        <f>COUNTIF(J64:J3430,Data!$A$1)</f>
        <v>0</v>
      </c>
      <c r="K3432" s="424">
        <f>COUNTIF(K64:K3430,Data!$A$1)</f>
        <v>0</v>
      </c>
      <c r="L3432" s="424">
        <f>COUNTIF(L64:L3430,Data!$A$1)</f>
        <v>4</v>
      </c>
      <c r="M3432" s="424">
        <f>COUNTIF(M64:M3430,Data!$A$1)</f>
        <v>0</v>
      </c>
      <c r="N3432" s="424">
        <f>COUNTIF(N64:N3430,Data!$A$1)</f>
        <v>0</v>
      </c>
      <c r="O3432" s="424">
        <f>COUNTIF(O64:O3430,Data!$A$1)</f>
        <v>0</v>
      </c>
      <c r="P3432" s="107">
        <f>SUM(I3431:K3431,M3431:N3431)</f>
        <v>0</v>
      </c>
    </row>
    <row r="3433" spans="2:16" s="453" customFormat="1" x14ac:dyDescent="0.2">
      <c r="B3433" s="112"/>
      <c r="I3433" s="188">
        <v>1</v>
      </c>
      <c r="J3433" s="188">
        <v>2</v>
      </c>
      <c r="K3433" s="188">
        <v>3</v>
      </c>
      <c r="L3433" s="188">
        <v>4</v>
      </c>
      <c r="M3433" s="188">
        <v>5</v>
      </c>
      <c r="N3433" s="188">
        <v>6</v>
      </c>
      <c r="O3433" s="188" t="s">
        <v>1549</v>
      </c>
    </row>
    <row r="3434" spans="2:16" s="453" customFormat="1" ht="9" customHeight="1" x14ac:dyDescent="0.2">
      <c r="B3434" s="112">
        <v>3</v>
      </c>
      <c r="C3434" s="453" t="s">
        <v>228</v>
      </c>
      <c r="L3434" s="830"/>
      <c r="M3434" s="831"/>
      <c r="N3434" s="107">
        <f>COUNTIF(J968:L968,Data!A1)</f>
        <v>1</v>
      </c>
      <c r="O3434" s="107" t="b">
        <f>IF(L3434="C",10,IF(L3434="M",8,IF(L3434="D",5,IF(L3434="J",2,IF(L3434="A",0)))))</f>
        <v>0</v>
      </c>
      <c r="P3434" s="107"/>
    </row>
    <row r="3435" spans="2:16" s="453" customFormat="1" ht="8.25" customHeight="1" thickBot="1" x14ac:dyDescent="0.25">
      <c r="N3435" s="107">
        <f>COUNTIF(J609:L609,Data!A1)</f>
        <v>1</v>
      </c>
      <c r="O3435" s="107"/>
      <c r="P3435" s="107"/>
    </row>
    <row r="3436" spans="2:16" s="108" customFormat="1" ht="17" thickBot="1" x14ac:dyDescent="0.25">
      <c r="D3436" s="907" t="s">
        <v>1594</v>
      </c>
      <c r="E3436" s="908"/>
      <c r="F3436" s="908"/>
      <c r="G3436" s="908"/>
      <c r="H3436" s="908"/>
      <c r="I3436" s="908"/>
      <c r="J3436" s="908"/>
      <c r="K3436" s="909"/>
      <c r="L3436" s="828">
        <f>SUM(J3466,K3465,J3468,K3468)</f>
        <v>0</v>
      </c>
      <c r="M3436" s="829"/>
    </row>
    <row r="3437" spans="2:16" s="453" customFormat="1" ht="14" x14ac:dyDescent="0.2">
      <c r="B3437" s="453" t="s">
        <v>224</v>
      </c>
      <c r="G3437" s="730" t="b">
        <v>0</v>
      </c>
      <c r="H3437" s="732"/>
      <c r="I3437" s="107">
        <f>SUM(I3431*30)</f>
        <v>0</v>
      </c>
      <c r="J3437" s="107"/>
      <c r="K3437" s="107">
        <f>SUM(K3431*15)</f>
        <v>0</v>
      </c>
      <c r="L3437" s="107"/>
      <c r="M3437" s="107">
        <f>SUM(M3431*30)</f>
        <v>0</v>
      </c>
      <c r="N3437" s="107">
        <f>SUM(N3431*30)</f>
        <v>0</v>
      </c>
      <c r="O3437" s="107">
        <f>SUM(I3437,M3437:N3437,K3437)</f>
        <v>0</v>
      </c>
      <c r="P3437" s="107">
        <f>SUM(P3432*30)</f>
        <v>0</v>
      </c>
    </row>
    <row r="3438" spans="2:16" s="453" customFormat="1" ht="7.5" customHeight="1" x14ac:dyDescent="0.2"/>
    <row r="3439" spans="2:16" s="453" customFormat="1" ht="12.75" customHeight="1" x14ac:dyDescent="0.2">
      <c r="B3439" s="453" t="s">
        <v>225</v>
      </c>
      <c r="D3439" s="642"/>
      <c r="E3439" s="685"/>
      <c r="F3439" s="685"/>
      <c r="G3439" s="685"/>
      <c r="H3439" s="685"/>
      <c r="I3439" s="685"/>
      <c r="J3439" s="685"/>
      <c r="K3439" s="685"/>
      <c r="L3439" s="685"/>
      <c r="M3439" s="685"/>
      <c r="N3439" s="685"/>
      <c r="O3439" s="686"/>
    </row>
    <row r="3440" spans="2:16" s="453" customFormat="1" ht="14" x14ac:dyDescent="0.2">
      <c r="D3440" s="687"/>
      <c r="E3440" s="826"/>
      <c r="F3440" s="826"/>
      <c r="G3440" s="826"/>
      <c r="H3440" s="826"/>
      <c r="I3440" s="826"/>
      <c r="J3440" s="826"/>
      <c r="K3440" s="826"/>
      <c r="L3440" s="826"/>
      <c r="M3440" s="826"/>
      <c r="N3440" s="826"/>
      <c r="O3440" s="689"/>
    </row>
    <row r="3441" spans="2:25" s="453" customFormat="1" ht="14" x14ac:dyDescent="0.2">
      <c r="D3441" s="687"/>
      <c r="E3441" s="826"/>
      <c r="F3441" s="826"/>
      <c r="G3441" s="826"/>
      <c r="H3441" s="826"/>
      <c r="I3441" s="826"/>
      <c r="J3441" s="826"/>
      <c r="K3441" s="826"/>
      <c r="L3441" s="826"/>
      <c r="M3441" s="826"/>
      <c r="N3441" s="826"/>
      <c r="O3441" s="689"/>
    </row>
    <row r="3442" spans="2:25" s="453" customFormat="1" ht="14" x14ac:dyDescent="0.2">
      <c r="D3442" s="690"/>
      <c r="E3442" s="691"/>
      <c r="F3442" s="691"/>
      <c r="G3442" s="691"/>
      <c r="H3442" s="691"/>
      <c r="I3442" s="691"/>
      <c r="J3442" s="691"/>
      <c r="K3442" s="691"/>
      <c r="L3442" s="691"/>
      <c r="M3442" s="691"/>
      <c r="N3442" s="691"/>
      <c r="O3442" s="692"/>
      <c r="U3442" s="105"/>
      <c r="W3442" s="105"/>
      <c r="Y3442" s="105"/>
    </row>
    <row r="3443" spans="2:25" s="453" customFormat="1" ht="14" x14ac:dyDescent="0.2">
      <c r="D3443" s="139"/>
      <c r="E3443" s="139"/>
      <c r="F3443" s="139"/>
      <c r="G3443" s="454"/>
      <c r="H3443" s="454"/>
      <c r="U3443" s="105"/>
      <c r="W3443" s="105"/>
      <c r="Y3443" s="105"/>
    </row>
    <row r="3444" spans="2:25" s="453" customFormat="1" ht="6.75" customHeight="1" x14ac:dyDescent="0.2">
      <c r="B3444" s="140"/>
      <c r="C3444" s="141"/>
      <c r="D3444" s="141"/>
      <c r="E3444" s="141"/>
      <c r="F3444" s="142"/>
      <c r="G3444" s="143"/>
      <c r="H3444" s="143"/>
      <c r="I3444" s="143"/>
      <c r="J3444" s="143"/>
      <c r="K3444" s="143"/>
      <c r="L3444" s="143"/>
      <c r="M3444" s="143"/>
      <c r="N3444" s="144"/>
      <c r="O3444" s="145"/>
    </row>
    <row r="3445" spans="2:25" s="453" customFormat="1" ht="14" x14ac:dyDescent="0.2">
      <c r="B3445" s="146"/>
      <c r="C3445" s="680" t="s">
        <v>1559</v>
      </c>
      <c r="D3445" s="680"/>
      <c r="E3445" s="680"/>
      <c r="F3445" s="680"/>
      <c r="G3445" s="680"/>
      <c r="H3445" s="680"/>
      <c r="I3445" s="680"/>
      <c r="J3445" s="680"/>
      <c r="K3445" s="737"/>
      <c r="L3445" s="710"/>
      <c r="M3445" s="711"/>
      <c r="N3445" s="147">
        <f>SUM(L3445*5)</f>
        <v>0</v>
      </c>
      <c r="O3445" s="148"/>
    </row>
    <row r="3446" spans="2:25" s="453" customFormat="1" ht="14" x14ac:dyDescent="0.2">
      <c r="B3446" s="146"/>
      <c r="C3446" s="680" t="s">
        <v>1560</v>
      </c>
      <c r="D3446" s="680"/>
      <c r="E3446" s="680"/>
      <c r="F3446" s="680"/>
      <c r="G3446" s="680"/>
      <c r="H3446" s="680"/>
      <c r="I3446" s="680"/>
      <c r="J3446" s="680"/>
      <c r="K3446" s="737"/>
      <c r="L3446" s="710"/>
      <c r="M3446" s="711"/>
      <c r="N3446" s="210">
        <f>SUM(L3446*5)</f>
        <v>0</v>
      </c>
      <c r="O3446" s="148"/>
    </row>
    <row r="3447" spans="2:25" s="453" customFormat="1" ht="14" x14ac:dyDescent="0.2">
      <c r="B3447" s="146"/>
      <c r="C3447" s="680" t="s">
        <v>1561</v>
      </c>
      <c r="D3447" s="680"/>
      <c r="E3447" s="680"/>
      <c r="F3447" s="680"/>
      <c r="G3447" s="680"/>
      <c r="H3447" s="680"/>
      <c r="I3447" s="680"/>
      <c r="J3447" s="680"/>
      <c r="K3447" s="737"/>
      <c r="L3447" s="710"/>
      <c r="M3447" s="711"/>
      <c r="N3447" s="147">
        <f>SUM(L3447*5)</f>
        <v>0</v>
      </c>
      <c r="O3447" s="148"/>
    </row>
    <row r="3448" spans="2:25" s="453" customFormat="1" ht="14" x14ac:dyDescent="0.2">
      <c r="B3448" s="146"/>
      <c r="C3448" s="680" t="s">
        <v>1562</v>
      </c>
      <c r="D3448" s="680"/>
      <c r="E3448" s="680"/>
      <c r="F3448" s="680"/>
      <c r="G3448" s="680"/>
      <c r="H3448" s="680"/>
      <c r="I3448" s="680"/>
      <c r="J3448" s="680"/>
      <c r="K3448" s="737"/>
      <c r="L3448" s="710"/>
      <c r="M3448" s="711"/>
      <c r="N3448" s="210">
        <f>SUM(L3448*1)</f>
        <v>0</v>
      </c>
      <c r="O3448" s="148"/>
    </row>
    <row r="3449" spans="2:25" s="453" customFormat="1" thickBot="1" x14ac:dyDescent="0.25">
      <c r="B3449" s="146"/>
      <c r="C3449" s="680" t="s">
        <v>1563</v>
      </c>
      <c r="D3449" s="680"/>
      <c r="E3449" s="680"/>
      <c r="F3449" s="680"/>
      <c r="G3449" s="680"/>
      <c r="H3449" s="680"/>
      <c r="I3449" s="680"/>
      <c r="J3449" s="680"/>
      <c r="K3449" s="737"/>
      <c r="L3449" s="712"/>
      <c r="M3449" s="713"/>
      <c r="N3449" s="147">
        <f>SUM(L3449*1)</f>
        <v>0</v>
      </c>
      <c r="O3449" s="148"/>
    </row>
    <row r="3450" spans="2:25" s="108" customFormat="1" ht="16" x14ac:dyDescent="0.2">
      <c r="B3450" s="149"/>
      <c r="C3450" s="150"/>
      <c r="D3450" s="150"/>
      <c r="E3450" s="150"/>
      <c r="F3450" s="151"/>
      <c r="G3450" s="456" t="s">
        <v>1589</v>
      </c>
      <c r="H3450" s="456"/>
      <c r="I3450" s="456"/>
      <c r="J3450" s="456"/>
      <c r="K3450" s="151"/>
      <c r="L3450" s="678">
        <f>SUM(N3445:N3449)</f>
        <v>0</v>
      </c>
      <c r="M3450" s="679"/>
      <c r="N3450" s="474">
        <f>SUM(N3445:N3449)</f>
        <v>0</v>
      </c>
      <c r="O3450" s="152"/>
    </row>
    <row r="3451" spans="2:25" s="453" customFormat="1" ht="6.75" customHeight="1" x14ac:dyDescent="0.2">
      <c r="B3451" s="141"/>
      <c r="C3451" s="141"/>
      <c r="D3451" s="141"/>
      <c r="E3451" s="141"/>
      <c r="F3451" s="144"/>
      <c r="G3451" s="143"/>
      <c r="H3451" s="143"/>
      <c r="I3451" s="143"/>
      <c r="J3451" s="143"/>
      <c r="K3451" s="144"/>
      <c r="L3451" s="143"/>
      <c r="M3451" s="143"/>
      <c r="N3451" s="144"/>
      <c r="O3451" s="141"/>
    </row>
    <row r="3452" spans="2:25" s="453" customFormat="1" ht="12.75" customHeight="1" x14ac:dyDescent="0.2">
      <c r="B3452" s="241" t="s">
        <v>1564</v>
      </c>
      <c r="C3452" s="242"/>
      <c r="D3452" s="104"/>
      <c r="E3452" s="139"/>
      <c r="F3452" s="243" t="s">
        <v>1565</v>
      </c>
      <c r="G3452" s="243"/>
      <c r="H3452" s="243"/>
      <c r="I3452" s="243"/>
      <c r="J3452" s="98" t="s">
        <v>211</v>
      </c>
      <c r="K3452" s="153" t="s">
        <v>214</v>
      </c>
      <c r="L3452" s="98" t="s">
        <v>211</v>
      </c>
      <c r="M3452" s="106" t="s">
        <v>213</v>
      </c>
      <c r="N3452" s="98" t="s">
        <v>211</v>
      </c>
      <c r="O3452" s="148" t="s">
        <v>215</v>
      </c>
    </row>
    <row r="3453" spans="2:25" s="453" customFormat="1" ht="7.5" customHeight="1" x14ac:dyDescent="0.2">
      <c r="B3453" s="154"/>
      <c r="C3453" s="155"/>
      <c r="D3453" s="155"/>
      <c r="E3453" s="155"/>
      <c r="F3453" s="156"/>
      <c r="G3453" s="157"/>
      <c r="H3453" s="157"/>
      <c r="I3453" s="157"/>
      <c r="J3453" s="157"/>
      <c r="K3453" s="156"/>
      <c r="L3453" s="157"/>
      <c r="M3453" s="157"/>
      <c r="N3453" s="156"/>
      <c r="O3453" s="158"/>
    </row>
    <row r="3454" spans="2:25" s="453" customFormat="1" ht="12.75" customHeight="1" x14ac:dyDescent="0.2">
      <c r="B3454" s="415" t="s">
        <v>1566</v>
      </c>
      <c r="C3454" s="244"/>
      <c r="D3454" s="244"/>
      <c r="E3454" s="244"/>
      <c r="F3454" s="244"/>
      <c r="G3454" s="244" t="s">
        <v>1567</v>
      </c>
      <c r="H3454" s="244"/>
      <c r="I3454" s="244"/>
      <c r="J3454" s="244"/>
      <c r="K3454" s="244"/>
      <c r="L3454" s="244"/>
      <c r="M3454" s="244"/>
      <c r="N3454" s="244"/>
      <c r="O3454" s="244"/>
      <c r="U3454" s="105"/>
      <c r="W3454" s="105"/>
      <c r="Y3454" s="105"/>
    </row>
    <row r="3455" spans="2:25" s="453" customFormat="1" ht="14" x14ac:dyDescent="0.2">
      <c r="B3455" s="159"/>
      <c r="C3455" s="160"/>
      <c r="D3455" s="160"/>
      <c r="F3455" s="160" t="s">
        <v>1576</v>
      </c>
      <c r="G3455" s="161" t="s">
        <v>264</v>
      </c>
      <c r="H3455" s="463"/>
      <c r="I3455" s="159"/>
      <c r="J3455" s="160"/>
      <c r="K3455" s="160"/>
      <c r="L3455" s="160"/>
      <c r="M3455" s="160"/>
      <c r="N3455" s="160"/>
      <c r="O3455" s="160" t="s">
        <v>214</v>
      </c>
      <c r="P3455" s="162" t="s">
        <v>215</v>
      </c>
      <c r="U3455" s="105"/>
      <c r="W3455" s="105"/>
      <c r="Y3455" s="105"/>
    </row>
    <row r="3456" spans="2:25" s="453" customFormat="1" ht="12.75" customHeight="1" x14ac:dyDescent="0.2">
      <c r="B3456" s="457" t="s">
        <v>1568</v>
      </c>
      <c r="C3456" s="443"/>
      <c r="D3456" s="443"/>
      <c r="F3456" s="98" t="s">
        <v>211</v>
      </c>
      <c r="G3456" s="430" t="s">
        <v>211</v>
      </c>
      <c r="I3456" s="824" t="s">
        <v>1577</v>
      </c>
      <c r="J3456" s="573"/>
      <c r="K3456" s="573"/>
      <c r="L3456" s="573"/>
      <c r="M3456" s="573"/>
      <c r="N3456" s="573"/>
      <c r="O3456" s="98" t="s">
        <v>211</v>
      </c>
      <c r="P3456" s="430" t="s">
        <v>211</v>
      </c>
      <c r="U3456" s="105"/>
      <c r="W3456" s="105"/>
      <c r="Y3456" s="105"/>
    </row>
    <row r="3457" spans="2:26" s="453" customFormat="1" ht="12.75" customHeight="1" x14ac:dyDescent="0.2">
      <c r="B3457" s="457" t="s">
        <v>1569</v>
      </c>
      <c r="C3457" s="443"/>
      <c r="D3457" s="443"/>
      <c r="F3457" s="98" t="s">
        <v>211</v>
      </c>
      <c r="G3457" s="430" t="s">
        <v>211</v>
      </c>
      <c r="I3457" s="824" t="s">
        <v>1578</v>
      </c>
      <c r="J3457" s="573"/>
      <c r="K3457" s="573"/>
      <c r="L3457" s="573"/>
      <c r="M3457" s="573"/>
      <c r="N3457" s="573"/>
      <c r="O3457" s="98" t="s">
        <v>211</v>
      </c>
      <c r="P3457" s="430" t="s">
        <v>211</v>
      </c>
    </row>
    <row r="3458" spans="2:26" s="453" customFormat="1" ht="12.75" customHeight="1" x14ac:dyDescent="0.2">
      <c r="B3458" s="457" t="s">
        <v>1570</v>
      </c>
      <c r="C3458" s="443"/>
      <c r="D3458" s="443"/>
      <c r="F3458" s="98" t="s">
        <v>211</v>
      </c>
      <c r="G3458" s="430" t="s">
        <v>211</v>
      </c>
      <c r="I3458" s="824" t="s">
        <v>1579</v>
      </c>
      <c r="J3458" s="573"/>
      <c r="K3458" s="573"/>
      <c r="L3458" s="573"/>
      <c r="M3458" s="573"/>
      <c r="N3458" s="573"/>
      <c r="O3458" s="98" t="s">
        <v>211</v>
      </c>
      <c r="P3458" s="430" t="s">
        <v>211</v>
      </c>
    </row>
    <row r="3459" spans="2:26" s="453" customFormat="1" ht="12.75" customHeight="1" x14ac:dyDescent="0.2">
      <c r="B3459" s="457" t="s">
        <v>1571</v>
      </c>
      <c r="C3459" s="443"/>
      <c r="D3459" s="443"/>
      <c r="F3459" s="98" t="s">
        <v>211</v>
      </c>
      <c r="G3459" s="430" t="s">
        <v>211</v>
      </c>
      <c r="I3459" s="824" t="s">
        <v>1580</v>
      </c>
      <c r="J3459" s="573"/>
      <c r="K3459" s="573"/>
      <c r="L3459" s="573"/>
      <c r="M3459" s="573"/>
      <c r="N3459" s="573"/>
      <c r="O3459" s="98" t="s">
        <v>211</v>
      </c>
      <c r="P3459" s="430" t="s">
        <v>211</v>
      </c>
    </row>
    <row r="3460" spans="2:26" s="453" customFormat="1" ht="12.75" customHeight="1" x14ac:dyDescent="0.2">
      <c r="B3460" s="457" t="s">
        <v>1572</v>
      </c>
      <c r="C3460" s="443"/>
      <c r="D3460" s="443"/>
      <c r="F3460" s="98" t="s">
        <v>211</v>
      </c>
      <c r="G3460" s="430" t="s">
        <v>211</v>
      </c>
      <c r="I3460" s="824" t="s">
        <v>1581</v>
      </c>
      <c r="J3460" s="573"/>
      <c r="K3460" s="573"/>
      <c r="L3460" s="573"/>
      <c r="M3460" s="573"/>
      <c r="N3460" s="573"/>
      <c r="O3460" s="98" t="s">
        <v>211</v>
      </c>
      <c r="P3460" s="430" t="s">
        <v>211</v>
      </c>
    </row>
    <row r="3461" spans="2:26" s="453" customFormat="1" ht="12.75" customHeight="1" x14ac:dyDescent="0.2">
      <c r="B3461" s="457" t="s">
        <v>1573</v>
      </c>
      <c r="C3461" s="443"/>
      <c r="D3461" s="443"/>
      <c r="F3461" s="98" t="s">
        <v>211</v>
      </c>
      <c r="G3461" s="430" t="s">
        <v>211</v>
      </c>
      <c r="I3461" s="824" t="s">
        <v>1582</v>
      </c>
      <c r="J3461" s="573"/>
      <c r="K3461" s="573"/>
      <c r="L3461" s="573"/>
      <c r="M3461" s="573"/>
      <c r="N3461" s="573"/>
      <c r="O3461" s="98" t="s">
        <v>211</v>
      </c>
      <c r="P3461" s="430" t="s">
        <v>211</v>
      </c>
    </row>
    <row r="3462" spans="2:26" s="453" customFormat="1" ht="12.75" customHeight="1" x14ac:dyDescent="0.2">
      <c r="B3462" s="457" t="s">
        <v>1574</v>
      </c>
      <c r="C3462" s="443"/>
      <c r="D3462" s="443"/>
      <c r="E3462" s="163"/>
      <c r="F3462" s="163"/>
      <c r="G3462" s="430" t="s">
        <v>211</v>
      </c>
      <c r="I3462" s="825" t="s">
        <v>1583</v>
      </c>
      <c r="J3462" s="627"/>
      <c r="K3462" s="627"/>
      <c r="L3462" s="627"/>
      <c r="M3462" s="627"/>
      <c r="N3462" s="627"/>
      <c r="O3462" s="432" t="s">
        <v>211</v>
      </c>
      <c r="P3462" s="431" t="s">
        <v>211</v>
      </c>
    </row>
    <row r="3463" spans="2:26" s="453" customFormat="1" ht="12.75" customHeight="1" x14ac:dyDescent="0.2">
      <c r="B3463" s="458" t="s">
        <v>1575</v>
      </c>
      <c r="C3463" s="455"/>
      <c r="D3463" s="455"/>
      <c r="E3463" s="164"/>
      <c r="F3463" s="164"/>
      <c r="G3463" s="431" t="s">
        <v>211</v>
      </c>
    </row>
    <row r="3465" spans="2:26" x14ac:dyDescent="0.2">
      <c r="I3465" s="129">
        <f>SUM(I934,I1184,I1223,I1386,I1658,I1812,I1967,I2154,I2741,I2893,I3076,I3431)</f>
        <v>0</v>
      </c>
      <c r="J3465" s="129">
        <f t="shared" ref="J3465:O3465" si="0">SUM(J934,J1184,J1223,J1386,J1658,J1812,J1967,J2154,J2741,J2893,J3076,J3431)</f>
        <v>0</v>
      </c>
      <c r="K3465" s="129">
        <f t="shared" si="0"/>
        <v>0</v>
      </c>
      <c r="L3465" s="129">
        <f t="shared" si="0"/>
        <v>0</v>
      </c>
      <c r="M3465" s="129">
        <f t="shared" si="0"/>
        <v>0</v>
      </c>
      <c r="N3465" s="129">
        <f t="shared" si="0"/>
        <v>0</v>
      </c>
      <c r="O3465" s="129">
        <f t="shared" si="0"/>
        <v>0</v>
      </c>
    </row>
    <row r="3466" spans="2:26" x14ac:dyDescent="0.2">
      <c r="I3466" s="129"/>
      <c r="J3466" s="129">
        <f>SUM(J3465*5)</f>
        <v>0</v>
      </c>
      <c r="K3466" s="129"/>
      <c r="L3466" s="129"/>
      <c r="M3466" s="129"/>
      <c r="N3466" s="129"/>
      <c r="O3466" s="129"/>
      <c r="T3466" s="425"/>
      <c r="U3466" s="425"/>
      <c r="V3466" s="425"/>
      <c r="W3466" s="425"/>
      <c r="X3466" s="425"/>
      <c r="Y3466" s="425"/>
      <c r="Z3466" s="425"/>
    </row>
    <row r="3467" spans="2:26" x14ac:dyDescent="0.2">
      <c r="I3467" s="129">
        <f>SUM(I964,I1189,I1234,I1407,I1665,I1819:I1974,I2162,I2748,I2900,I3084)</f>
        <v>0</v>
      </c>
      <c r="J3467" s="129">
        <f t="shared" ref="J3467:O3467" si="1">SUM(J964,J1189,J1234,J1407,J1665,J1819:J1974,J2162,J2748,J2900,J3084)</f>
        <v>0</v>
      </c>
      <c r="K3467" s="129">
        <f t="shared" si="1"/>
        <v>0</v>
      </c>
      <c r="L3467" s="129">
        <f t="shared" si="1"/>
        <v>0</v>
      </c>
      <c r="M3467" s="129">
        <f t="shared" si="1"/>
        <v>0</v>
      </c>
      <c r="N3467" s="129">
        <f t="shared" si="1"/>
        <v>0</v>
      </c>
      <c r="O3467" s="129">
        <f t="shared" si="1"/>
        <v>0</v>
      </c>
      <c r="T3467" s="425"/>
      <c r="U3467" s="425"/>
      <c r="V3467" s="425"/>
      <c r="W3467" s="425"/>
      <c r="X3467" s="425"/>
      <c r="Y3467" s="425"/>
      <c r="Z3467" s="425"/>
    </row>
    <row r="3468" spans="2:26" x14ac:dyDescent="0.2">
      <c r="I3468" s="129"/>
      <c r="J3468" s="129">
        <f>SUM(J3467*15)</f>
        <v>0</v>
      </c>
      <c r="K3468" s="129">
        <f>SUM(K3467*5)</f>
        <v>0</v>
      </c>
      <c r="L3468" s="129"/>
      <c r="M3468" s="129"/>
      <c r="N3468" s="129"/>
      <c r="O3468" s="129"/>
    </row>
    <row r="3469" spans="2:26" ht="16" thickBot="1" x14ac:dyDescent="0.25"/>
    <row r="3470" spans="2:26" ht="16" thickBot="1" x14ac:dyDescent="0.25">
      <c r="B3470" s="857" t="s">
        <v>1824</v>
      </c>
      <c r="C3470" s="858"/>
      <c r="D3470" s="858"/>
      <c r="E3470" s="858"/>
      <c r="F3470" s="858"/>
      <c r="G3470" s="858"/>
      <c r="H3470" s="859"/>
      <c r="J3470" s="881" t="s">
        <v>1829</v>
      </c>
      <c r="K3470" s="882"/>
      <c r="L3470" s="882"/>
      <c r="M3470" s="882"/>
      <c r="N3470" s="882"/>
      <c r="O3470" s="882"/>
      <c r="P3470" s="883"/>
    </row>
    <row r="3471" spans="2:26" x14ac:dyDescent="0.2">
      <c r="B3471" s="911" t="s">
        <v>1825</v>
      </c>
      <c r="C3471" s="912"/>
      <c r="D3471" s="450" t="s">
        <v>1826</v>
      </c>
      <c r="E3471" s="855" t="s">
        <v>1827</v>
      </c>
      <c r="F3471" s="855"/>
      <c r="G3471" s="855" t="s">
        <v>1828</v>
      </c>
      <c r="H3471" s="856"/>
      <c r="J3471" s="866" t="s">
        <v>1830</v>
      </c>
      <c r="K3471" s="867"/>
      <c r="L3471" s="867"/>
      <c r="M3471" s="868"/>
      <c r="N3471" s="875"/>
      <c r="O3471" s="876"/>
      <c r="P3471" s="426"/>
    </row>
    <row r="3472" spans="2:26" x14ac:dyDescent="0.2">
      <c r="B3472" s="890"/>
      <c r="C3472" s="662"/>
      <c r="D3472" s="451"/>
      <c r="E3472" s="851"/>
      <c r="F3472" s="850"/>
      <c r="G3472" s="851"/>
      <c r="H3472" s="852"/>
      <c r="J3472" s="869" t="s">
        <v>1831</v>
      </c>
      <c r="K3472" s="870"/>
      <c r="L3472" s="870"/>
      <c r="M3472" s="871"/>
      <c r="N3472" s="877"/>
      <c r="O3472" s="878"/>
      <c r="P3472" s="427" t="str">
        <f>TEXT(N3472-N3471,"mm:ss")</f>
        <v>00:00</v>
      </c>
    </row>
    <row r="3473" spans="2:16" x14ac:dyDescent="0.2">
      <c r="B3473" s="889"/>
      <c r="C3473" s="695"/>
      <c r="D3473" s="445"/>
      <c r="E3473" s="589"/>
      <c r="F3473" s="589"/>
      <c r="G3473" s="589"/>
      <c r="H3473" s="590"/>
      <c r="J3473" s="872" t="s">
        <v>1832</v>
      </c>
      <c r="K3473" s="873"/>
      <c r="L3473" s="873"/>
      <c r="M3473" s="874"/>
      <c r="N3473" s="879"/>
      <c r="O3473" s="880"/>
      <c r="P3473" s="428" t="str">
        <f>TEXT(N3473-N3472,"mm:ss")</f>
        <v>00:00</v>
      </c>
    </row>
    <row r="3474" spans="2:16" ht="16" thickBot="1" x14ac:dyDescent="0.25">
      <c r="B3474" s="890"/>
      <c r="C3474" s="662"/>
      <c r="D3474" s="452"/>
      <c r="E3474" s="850"/>
      <c r="F3474" s="850"/>
      <c r="G3474" s="851"/>
      <c r="H3474" s="852"/>
      <c r="J3474" s="884" t="s">
        <v>1833</v>
      </c>
      <c r="K3474" s="885"/>
      <c r="L3474" s="885"/>
      <c r="M3474" s="885"/>
      <c r="N3474" s="885"/>
      <c r="O3474" s="885"/>
      <c r="P3474" s="429" t="str">
        <f>TEXT(N3473-N3471,"mm:ss")</f>
        <v>00:00</v>
      </c>
    </row>
    <row r="3475" spans="2:16" ht="16" thickBot="1" x14ac:dyDescent="0.25">
      <c r="B3475" s="889"/>
      <c r="C3475" s="695"/>
      <c r="D3475" s="200"/>
      <c r="E3475" s="589"/>
      <c r="F3475" s="589"/>
      <c r="G3475" s="589"/>
      <c r="H3475" s="590"/>
      <c r="J3475" s="896" t="s">
        <v>3</v>
      </c>
      <c r="K3475" s="894"/>
      <c r="L3475" s="894"/>
      <c r="M3475" s="894">
        <f>G3</f>
        <v>0</v>
      </c>
      <c r="N3475" s="894"/>
      <c r="O3475" s="894"/>
      <c r="P3475" s="895"/>
    </row>
    <row r="3476" spans="2:16" ht="16" thickBot="1" x14ac:dyDescent="0.25">
      <c r="B3476" s="892"/>
      <c r="C3476" s="893"/>
      <c r="D3476" s="201"/>
      <c r="E3476" s="576"/>
      <c r="F3476" s="576"/>
      <c r="G3476" s="576"/>
      <c r="H3476" s="577"/>
    </row>
  </sheetData>
  <sheetProtection password="CED8" sheet="1" formatCells="0" formatColumns="0" formatRows="0"/>
  <mergeCells count="2612">
    <mergeCell ref="B3475:C3475"/>
    <mergeCell ref="B3476:C3476"/>
    <mergeCell ref="M3475:P3475"/>
    <mergeCell ref="J3475:L3475"/>
    <mergeCell ref="B1817:D1817"/>
    <mergeCell ref="B1972:D1972"/>
    <mergeCell ref="B2160:D2160"/>
    <mergeCell ref="B2169:F2169"/>
    <mergeCell ref="B2301:D2301"/>
    <mergeCell ref="B2746:E2746"/>
    <mergeCell ref="B2898:D2898"/>
    <mergeCell ref="C2963:G2963"/>
    <mergeCell ref="B3082:D3082"/>
    <mergeCell ref="C3201:G3201"/>
    <mergeCell ref="C3237:G3237"/>
    <mergeCell ref="C3238:G3238"/>
    <mergeCell ref="C3241:G3241"/>
    <mergeCell ref="C3248:H3248"/>
    <mergeCell ref="C3416:G3416"/>
    <mergeCell ref="D3436:K3436"/>
    <mergeCell ref="B3200:F3200"/>
    <mergeCell ref="E3473:F3473"/>
    <mergeCell ref="G3473:H3473"/>
    <mergeCell ref="F2033:G2033"/>
    <mergeCell ref="F2034:G2034"/>
    <mergeCell ref="F1970:H1970"/>
    <mergeCell ref="F1971:H1971"/>
    <mergeCell ref="C2008:G2008"/>
    <mergeCell ref="C2009:G2009"/>
    <mergeCell ref="C2010:G2010"/>
    <mergeCell ref="B3471:C3471"/>
    <mergeCell ref="B3472:C3472"/>
    <mergeCell ref="N1:O1"/>
    <mergeCell ref="K1:M1"/>
    <mergeCell ref="J3471:M3471"/>
    <mergeCell ref="J3472:M3472"/>
    <mergeCell ref="J3473:M3473"/>
    <mergeCell ref="N3471:O3471"/>
    <mergeCell ref="N3472:O3472"/>
    <mergeCell ref="N3473:O3473"/>
    <mergeCell ref="J3470:P3470"/>
    <mergeCell ref="J3474:O3474"/>
    <mergeCell ref="C3129:G3129"/>
    <mergeCell ref="D2403:H2403"/>
    <mergeCell ref="C611:G612"/>
    <mergeCell ref="C613:G614"/>
    <mergeCell ref="C615:G615"/>
    <mergeCell ref="C616:G617"/>
    <mergeCell ref="C618:G619"/>
    <mergeCell ref="C624:G626"/>
    <mergeCell ref="C658:G659"/>
    <mergeCell ref="C655:G656"/>
    <mergeCell ref="C648:G649"/>
    <mergeCell ref="C642:G643"/>
    <mergeCell ref="C638:G640"/>
    <mergeCell ref="B3473:C3473"/>
    <mergeCell ref="B3474:C3474"/>
    <mergeCell ref="C465:H465"/>
    <mergeCell ref="C397:H397"/>
    <mergeCell ref="C723:G724"/>
    <mergeCell ref="C706:G707"/>
    <mergeCell ref="C759:G759"/>
    <mergeCell ref="F1135:H1135"/>
    <mergeCell ref="E3471:F3471"/>
    <mergeCell ref="B3470:H3470"/>
    <mergeCell ref="E3472:F3472"/>
    <mergeCell ref="G3472:H3472"/>
    <mergeCell ref="C1125:G1126"/>
    <mergeCell ref="C1076:G1078"/>
    <mergeCell ref="C1066:G1068"/>
    <mergeCell ref="C756:G757"/>
    <mergeCell ref="C754:G755"/>
    <mergeCell ref="C747:G748"/>
    <mergeCell ref="C745:G746"/>
    <mergeCell ref="C743:G744"/>
    <mergeCell ref="C741:G741"/>
    <mergeCell ref="F980:H980"/>
    <mergeCell ref="F982:H982"/>
    <mergeCell ref="C998:G999"/>
    <mergeCell ref="C990:G990"/>
    <mergeCell ref="C953:G954"/>
    <mergeCell ref="C933:G933"/>
    <mergeCell ref="C924:G925"/>
    <mergeCell ref="C922:G923"/>
    <mergeCell ref="F2011:H2011"/>
    <mergeCell ref="C909:G910"/>
    <mergeCell ref="C904:G905"/>
    <mergeCell ref="C795:G796"/>
    <mergeCell ref="C1254:G1255"/>
    <mergeCell ref="C1058:G1061"/>
    <mergeCell ref="C1181:G1182"/>
    <mergeCell ref="C988:G988"/>
    <mergeCell ref="C891:G893"/>
    <mergeCell ref="C1188:G1189"/>
    <mergeCell ref="C1176:G1176"/>
    <mergeCell ref="F1223:H1223"/>
    <mergeCell ref="C708:G709"/>
    <mergeCell ref="C732:G733"/>
    <mergeCell ref="C734:G735"/>
    <mergeCell ref="C736:G737"/>
    <mergeCell ref="C739:G740"/>
    <mergeCell ref="C668:G671"/>
    <mergeCell ref="F1185:H1185"/>
    <mergeCell ref="C1171:G1171"/>
    <mergeCell ref="C1172:G1172"/>
    <mergeCell ref="C1173:G1173"/>
    <mergeCell ref="F1177:H1177"/>
    <mergeCell ref="C974:G974"/>
    <mergeCell ref="C977:G977"/>
    <mergeCell ref="C938:G938"/>
    <mergeCell ref="C1123:G1124"/>
    <mergeCell ref="C1163:G1163"/>
    <mergeCell ref="C1146:G1146"/>
    <mergeCell ref="F1147:H1147"/>
    <mergeCell ref="C1148:G1151"/>
    <mergeCell ref="C1152:G1153"/>
    <mergeCell ref="F1128:H1128"/>
    <mergeCell ref="F1136:H1136"/>
    <mergeCell ref="C1139:G1141"/>
    <mergeCell ref="F1130:H1130"/>
    <mergeCell ref="C1178:G1180"/>
    <mergeCell ref="C895:G896"/>
    <mergeCell ref="D728:G728"/>
    <mergeCell ref="C785:G786"/>
    <mergeCell ref="C783:G784"/>
    <mergeCell ref="C775:G776"/>
    <mergeCell ref="C767:G767"/>
    <mergeCell ref="E3474:F3474"/>
    <mergeCell ref="G3474:H3474"/>
    <mergeCell ref="C3254:G3255"/>
    <mergeCell ref="C3253:G3253"/>
    <mergeCell ref="C799:G800"/>
    <mergeCell ref="F978:H978"/>
    <mergeCell ref="F979:H979"/>
    <mergeCell ref="C946:G946"/>
    <mergeCell ref="C906:G906"/>
    <mergeCell ref="C952:G952"/>
    <mergeCell ref="C943:G943"/>
    <mergeCell ref="C942:G942"/>
    <mergeCell ref="C915:G916"/>
    <mergeCell ref="C917:G918"/>
    <mergeCell ref="C949:G949"/>
    <mergeCell ref="C950:G951"/>
    <mergeCell ref="C935:G937"/>
    <mergeCell ref="C939:G941"/>
    <mergeCell ref="C944:G945"/>
    <mergeCell ref="C919:G920"/>
    <mergeCell ref="C928:G929"/>
    <mergeCell ref="C931:G931"/>
    <mergeCell ref="C932:G932"/>
    <mergeCell ref="C900:G902"/>
    <mergeCell ref="F1001:H1001"/>
    <mergeCell ref="C991:G992"/>
    <mergeCell ref="C1438:G1438"/>
    <mergeCell ref="C1411:G1412"/>
    <mergeCell ref="C1406:G1406"/>
    <mergeCell ref="C1404:G1404"/>
    <mergeCell ref="C1401:G1401"/>
    <mergeCell ref="G3471:H3471"/>
    <mergeCell ref="F1224:H1224"/>
    <mergeCell ref="F1225:H1225"/>
    <mergeCell ref="F981:H981"/>
    <mergeCell ref="C971:G971"/>
    <mergeCell ref="C972:G973"/>
    <mergeCell ref="C889:G890"/>
    <mergeCell ref="C879:G880"/>
    <mergeCell ref="C872:G873"/>
    <mergeCell ref="F993:H993"/>
    <mergeCell ref="C994:G996"/>
    <mergeCell ref="C997:G997"/>
    <mergeCell ref="F975:H975"/>
    <mergeCell ref="F976:H976"/>
    <mergeCell ref="C911:G912"/>
    <mergeCell ref="C913:G914"/>
    <mergeCell ref="C1131:G1131"/>
    <mergeCell ref="C1215:G1216"/>
    <mergeCell ref="F1132:H1132"/>
    <mergeCell ref="C1133:G1134"/>
    <mergeCell ref="D1138:H1138"/>
    <mergeCell ref="C1111:G1111"/>
    <mergeCell ref="C1112:G1114"/>
    <mergeCell ref="C1115:G1115"/>
    <mergeCell ref="F1116:H1116"/>
    <mergeCell ref="F1117:H1117"/>
    <mergeCell ref="C1118:G1119"/>
    <mergeCell ref="B1187:E1187"/>
    <mergeCell ref="D1184:H1184"/>
    <mergeCell ref="E1169:H1169"/>
    <mergeCell ref="C1174:G1175"/>
    <mergeCell ref="C1016:G1016"/>
    <mergeCell ref="C899:G899"/>
    <mergeCell ref="C763:G764"/>
    <mergeCell ref="C758:G758"/>
    <mergeCell ref="C778:G779"/>
    <mergeCell ref="C738:G738"/>
    <mergeCell ref="C760:G761"/>
    <mergeCell ref="D729:G730"/>
    <mergeCell ref="C777:G777"/>
    <mergeCell ref="C773:G773"/>
    <mergeCell ref="C714:G717"/>
    <mergeCell ref="C710:G711"/>
    <mergeCell ref="C792:G793"/>
    <mergeCell ref="K539:L539"/>
    <mergeCell ref="C631:G632"/>
    <mergeCell ref="C628:G629"/>
    <mergeCell ref="C545:H545"/>
    <mergeCell ref="C522:H522"/>
    <mergeCell ref="B605:O606"/>
    <mergeCell ref="C599:K599"/>
    <mergeCell ref="L599:M599"/>
    <mergeCell ref="L600:M600"/>
    <mergeCell ref="C712:G713"/>
    <mergeCell ref="C725:G726"/>
    <mergeCell ref="C694:G696"/>
    <mergeCell ref="C721:G721"/>
    <mergeCell ref="C684:G685"/>
    <mergeCell ref="C686:G688"/>
    <mergeCell ref="C691:G693"/>
    <mergeCell ref="C660:G661"/>
    <mergeCell ref="C666:G667"/>
    <mergeCell ref="C633:G634"/>
    <mergeCell ref="C789:G790"/>
    <mergeCell ref="C635:G637"/>
    <mergeCell ref="C552:H552"/>
    <mergeCell ref="C553:H553"/>
    <mergeCell ref="C554:H554"/>
    <mergeCell ref="C556:H556"/>
    <mergeCell ref="C557:H557"/>
    <mergeCell ref="C524:H524"/>
    <mergeCell ref="C525:H525"/>
    <mergeCell ref="C526:H526"/>
    <mergeCell ref="C541:H541"/>
    <mergeCell ref="L598:M598"/>
    <mergeCell ref="G586:H586"/>
    <mergeCell ref="C542:H542"/>
    <mergeCell ref="C543:H543"/>
    <mergeCell ref="C544:H544"/>
    <mergeCell ref="C546:H546"/>
    <mergeCell ref="C547:H547"/>
    <mergeCell ref="C548:H548"/>
    <mergeCell ref="K562:L562"/>
    <mergeCell ref="K550:L550"/>
    <mergeCell ref="C531:H531"/>
    <mergeCell ref="C558:H558"/>
    <mergeCell ref="C559:H559"/>
    <mergeCell ref="C560:H560"/>
    <mergeCell ref="C569:H569"/>
    <mergeCell ref="C564:H564"/>
    <mergeCell ref="C555:H555"/>
    <mergeCell ref="K528:L528"/>
    <mergeCell ref="C1393:G1393"/>
    <mergeCell ref="C1384:G1384"/>
    <mergeCell ref="C1357:G1358"/>
    <mergeCell ref="C1356:G1356"/>
    <mergeCell ref="C1348:G1348"/>
    <mergeCell ref="C1342:G1343"/>
    <mergeCell ref="C1335:G1336"/>
    <mergeCell ref="C1333:G1334"/>
    <mergeCell ref="F1369:H1369"/>
    <mergeCell ref="C1395:G1395"/>
    <mergeCell ref="C1398:G1398"/>
    <mergeCell ref="C1399:G1399"/>
    <mergeCell ref="C1400:G1400"/>
    <mergeCell ref="C1388:G1390"/>
    <mergeCell ref="C1396:G1397"/>
    <mergeCell ref="C1402:G1402"/>
    <mergeCell ref="F1370:H1370"/>
    <mergeCell ref="C1363:G1364"/>
    <mergeCell ref="C1365:G1366"/>
    <mergeCell ref="F1375:H1375"/>
    <mergeCell ref="F1378:H1378"/>
    <mergeCell ref="C1376:H1376"/>
    <mergeCell ref="C1337:G1337"/>
    <mergeCell ref="C1373:G1373"/>
    <mergeCell ref="C1374:G1374"/>
    <mergeCell ref="C1359:G1359"/>
    <mergeCell ref="C1360:G1360"/>
    <mergeCell ref="F1361:H1361"/>
    <mergeCell ref="F1362:H1362"/>
    <mergeCell ref="C1368:G1368"/>
    <mergeCell ref="C1367:G1367"/>
    <mergeCell ref="C1345:G1345"/>
    <mergeCell ref="C1410:G1410"/>
    <mergeCell ref="F1379:H1379"/>
    <mergeCell ref="C1142:G1143"/>
    <mergeCell ref="C1144:G1145"/>
    <mergeCell ref="C1403:G1403"/>
    <mergeCell ref="C1405:G1405"/>
    <mergeCell ref="C1407:G1407"/>
    <mergeCell ref="C1408:G1408"/>
    <mergeCell ref="C1409:G1409"/>
    <mergeCell ref="C1380:G1381"/>
    <mergeCell ref="C1382:G1382"/>
    <mergeCell ref="C1383:G1383"/>
    <mergeCell ref="C1385:G1385"/>
    <mergeCell ref="C1391:G1391"/>
    <mergeCell ref="C1392:G1392"/>
    <mergeCell ref="C1394:G1394"/>
    <mergeCell ref="C1310:G1310"/>
    <mergeCell ref="C1311:G1311"/>
    <mergeCell ref="C1371:G1372"/>
    <mergeCell ref="C1170:H1170"/>
    <mergeCell ref="D1156:H1156"/>
    <mergeCell ref="C1154:G1154"/>
    <mergeCell ref="F1155:H1155"/>
    <mergeCell ref="C1183:G1183"/>
    <mergeCell ref="C1321:G1321"/>
    <mergeCell ref="C1324:G1324"/>
    <mergeCell ref="C1322:G1323"/>
    <mergeCell ref="C1328:G1328"/>
    <mergeCell ref="C1252:G1253"/>
    <mergeCell ref="F1309:H1309"/>
    <mergeCell ref="D1377:H1377"/>
    <mergeCell ref="F1355:H1355"/>
    <mergeCell ref="C1459:G1460"/>
    <mergeCell ref="C1458:G1458"/>
    <mergeCell ref="C1449:G1449"/>
    <mergeCell ref="C1441:G1442"/>
    <mergeCell ref="F1450:H1450"/>
    <mergeCell ref="F1451:H1451"/>
    <mergeCell ref="F1765:H1765"/>
    <mergeCell ref="F1766:H1766"/>
    <mergeCell ref="F1767:H1767"/>
    <mergeCell ref="C1768:G1769"/>
    <mergeCell ref="C1770:G1771"/>
    <mergeCell ref="C1772:G1772"/>
    <mergeCell ref="C1755:G1756"/>
    <mergeCell ref="C1757:G1757"/>
    <mergeCell ref="F1758:H1758"/>
    <mergeCell ref="F1759:H1759"/>
    <mergeCell ref="C1760:G1761"/>
    <mergeCell ref="C1762:G1762"/>
    <mergeCell ref="C1763:G1763"/>
    <mergeCell ref="C1745:G1746"/>
    <mergeCell ref="C1747:G1747"/>
    <mergeCell ref="F1748:H1748"/>
    <mergeCell ref="C1739:G1740"/>
    <mergeCell ref="C1741:G1742"/>
    <mergeCell ref="C1743:G1743"/>
    <mergeCell ref="C1744:G1744"/>
    <mergeCell ref="F1717:H1717"/>
    <mergeCell ref="F1718:H1718"/>
    <mergeCell ref="F1719:H1719"/>
    <mergeCell ref="C1720:G1720"/>
    <mergeCell ref="C1721:G1721"/>
    <mergeCell ref="F1659:H1659"/>
    <mergeCell ref="C2285:G2285"/>
    <mergeCell ref="C2277:G2277"/>
    <mergeCell ref="C2267:G2267"/>
    <mergeCell ref="C2252:G2253"/>
    <mergeCell ref="C2258:G2259"/>
    <mergeCell ref="C2260:G2261"/>
    <mergeCell ref="C2262:G2262"/>
    <mergeCell ref="C2263:G2263"/>
    <mergeCell ref="C2243:G2243"/>
    <mergeCell ref="C1788:G1790"/>
    <mergeCell ref="C1784:G1784"/>
    <mergeCell ref="C1754:G1754"/>
    <mergeCell ref="C1732:G1732"/>
    <mergeCell ref="C1724:G1726"/>
    <mergeCell ref="C1722:G1723"/>
    <mergeCell ref="F1749:H1749"/>
    <mergeCell ref="F1750:H1750"/>
    <mergeCell ref="F1730:H1730"/>
    <mergeCell ref="F1731:H1731"/>
    <mergeCell ref="C1733:G1734"/>
    <mergeCell ref="F1786:H1786"/>
    <mergeCell ref="C1764:G1764"/>
    <mergeCell ref="C1938:G1938"/>
    <mergeCell ref="C1888:G1888"/>
    <mergeCell ref="F2249:H2249"/>
    <mergeCell ref="C2000:G2000"/>
    <mergeCell ref="C2001:G2001"/>
    <mergeCell ref="C2034:D2034"/>
    <mergeCell ref="C2035:D2035"/>
    <mergeCell ref="F2264:H2264"/>
    <mergeCell ref="F2265:H2265"/>
    <mergeCell ref="F2266:H2266"/>
    <mergeCell ref="F2020:H2020"/>
    <mergeCell ref="C2021:G2022"/>
    <mergeCell ref="C1959:G1959"/>
    <mergeCell ref="F1960:H1960"/>
    <mergeCell ref="C2028:G2028"/>
    <mergeCell ref="C2029:G2029"/>
    <mergeCell ref="C2030:G2030"/>
    <mergeCell ref="C1989:G1989"/>
    <mergeCell ref="C2017:G2018"/>
    <mergeCell ref="C1990:G1990"/>
    <mergeCell ref="C2244:G2244"/>
    <mergeCell ref="C2245:G2245"/>
    <mergeCell ref="C2246:G2246"/>
    <mergeCell ref="F2247:H2247"/>
    <mergeCell ref="F2248:H2248"/>
    <mergeCell ref="C2012:G2012"/>
    <mergeCell ref="C2013:G2014"/>
    <mergeCell ref="C2015:G2016"/>
    <mergeCell ref="F2234:H2234"/>
    <mergeCell ref="F2235:H2235"/>
    <mergeCell ref="C2228:G2229"/>
    <mergeCell ref="C2230:G2231"/>
    <mergeCell ref="C2239:G2239"/>
    <mergeCell ref="F2240:H2240"/>
    <mergeCell ref="F2025:H2025"/>
    <mergeCell ref="F2026:H2026"/>
    <mergeCell ref="F2241:H2241"/>
    <mergeCell ref="F2242:H2242"/>
    <mergeCell ref="C2236:G2238"/>
    <mergeCell ref="C2023:G2023"/>
    <mergeCell ref="C2024:G2024"/>
    <mergeCell ref="F2195:H2195"/>
    <mergeCell ref="C2196:G2196"/>
    <mergeCell ref="C2197:G2198"/>
    <mergeCell ref="C2194:E2194"/>
    <mergeCell ref="C2195:E2195"/>
    <mergeCell ref="C2177:G2178"/>
    <mergeCell ref="C2179:G2179"/>
    <mergeCell ref="F2180:H2180"/>
    <mergeCell ref="F2181:H2181"/>
    <mergeCell ref="C1973:G1974"/>
    <mergeCell ref="C1976:G1978"/>
    <mergeCell ref="F1979:H1979"/>
    <mergeCell ref="F1980:H1980"/>
    <mergeCell ref="C2287:G2287"/>
    <mergeCell ref="C2164:G2166"/>
    <mergeCell ref="C2170:G2170"/>
    <mergeCell ref="F1991:H1991"/>
    <mergeCell ref="F1992:H1992"/>
    <mergeCell ref="F1993:H1993"/>
    <mergeCell ref="F1994:H1994"/>
    <mergeCell ref="C1998:G1998"/>
    <mergeCell ref="C1999:G1999"/>
    <mergeCell ref="F2182:H2182"/>
    <mergeCell ref="F2183:H2183"/>
    <mergeCell ref="C2184:G2184"/>
    <mergeCell ref="C2185:G2185"/>
    <mergeCell ref="F2186:H2186"/>
    <mergeCell ref="C2199:G2199"/>
    <mergeCell ref="F2200:H2200"/>
    <mergeCell ref="C2268:G2268"/>
    <mergeCell ref="F2226:H2226"/>
    <mergeCell ref="F2227:H2227"/>
    <mergeCell ref="F2233:H2233"/>
    <mergeCell ref="C2203:G2204"/>
    <mergeCell ref="C2212:G2213"/>
    <mergeCell ref="C2214:G2215"/>
    <mergeCell ref="C2216:G2216"/>
    <mergeCell ref="F2217:H2217"/>
    <mergeCell ref="F2218:H2218"/>
    <mergeCell ref="F2219:H2219"/>
    <mergeCell ref="F2270:H2270"/>
    <mergeCell ref="F2271:H2271"/>
    <mergeCell ref="F2272:H2272"/>
    <mergeCell ref="C2254:G2254"/>
    <mergeCell ref="F2255:H2255"/>
    <mergeCell ref="F2256:H2256"/>
    <mergeCell ref="F2257:H2257"/>
    <mergeCell ref="C2250:G2250"/>
    <mergeCell ref="C2222:G2222"/>
    <mergeCell ref="C2221:G2221"/>
    <mergeCell ref="C2220:G2220"/>
    <mergeCell ref="C2206:G2206"/>
    <mergeCell ref="F2211:H2211"/>
    <mergeCell ref="C2232:G2232"/>
    <mergeCell ref="C2269:G2269"/>
    <mergeCell ref="C2251:G2251"/>
    <mergeCell ref="F2201:H2201"/>
    <mergeCell ref="F2202:H2202"/>
    <mergeCell ref="C2205:G2205"/>
    <mergeCell ref="F2208:H2208"/>
    <mergeCell ref="F2209:H2209"/>
    <mergeCell ref="F2210:H2210"/>
    <mergeCell ref="F2176:H2176"/>
    <mergeCell ref="C2183:E2183"/>
    <mergeCell ref="F2187:H2187"/>
    <mergeCell ref="F2188:H2188"/>
    <mergeCell ref="C2192:G2192"/>
    <mergeCell ref="C2193:G2193"/>
    <mergeCell ref="C2189:G2191"/>
    <mergeCell ref="F2194:H2194"/>
    <mergeCell ref="C2291:G2292"/>
    <mergeCell ref="C2295:G2297"/>
    <mergeCell ref="C2273:G2274"/>
    <mergeCell ref="C2275:G2276"/>
    <mergeCell ref="F2279:H2279"/>
    <mergeCell ref="F2280:H2280"/>
    <mergeCell ref="F2281:H2281"/>
    <mergeCell ref="F2284:H2284"/>
    <mergeCell ref="F2286:H2286"/>
    <mergeCell ref="C2282:G2283"/>
    <mergeCell ref="C2207:G2207"/>
    <mergeCell ref="C2288:G2288"/>
    <mergeCell ref="C2289:G2289"/>
    <mergeCell ref="C2290:G2290"/>
    <mergeCell ref="C2293:G2293"/>
    <mergeCell ref="C2223:G2223"/>
    <mergeCell ref="C2224:G2224"/>
    <mergeCell ref="F2225:H2225"/>
    <mergeCell ref="C2325:G2326"/>
    <mergeCell ref="C2328:G2328"/>
    <mergeCell ref="F2329:H2329"/>
    <mergeCell ref="F2330:H2330"/>
    <mergeCell ref="C2336:G2336"/>
    <mergeCell ref="C2332:G2333"/>
    <mergeCell ref="C2334:G2335"/>
    <mergeCell ref="F2324:H2324"/>
    <mergeCell ref="C2327:G2327"/>
    <mergeCell ref="F2309:H2309"/>
    <mergeCell ref="C2310:G2310"/>
    <mergeCell ref="C2294:G2294"/>
    <mergeCell ref="C2298:G2298"/>
    <mergeCell ref="F2308:H2308"/>
    <mergeCell ref="C2302:G2302"/>
    <mergeCell ref="C2303:G2303"/>
    <mergeCell ref="C2322:G2322"/>
    <mergeCell ref="F2323:H2323"/>
    <mergeCell ref="D2331:H2331"/>
    <mergeCell ref="C2304:G2304"/>
    <mergeCell ref="C2307:G2307"/>
    <mergeCell ref="C2305:G2306"/>
    <mergeCell ref="C2663:G2663"/>
    <mergeCell ref="C2662:G2662"/>
    <mergeCell ref="C2654:G2656"/>
    <mergeCell ref="C2602:G2603"/>
    <mergeCell ref="C2584:G2585"/>
    <mergeCell ref="C2575:G2576"/>
    <mergeCell ref="C2574:G2574"/>
    <mergeCell ref="C2561:G2561"/>
    <mergeCell ref="C2557:G2557"/>
    <mergeCell ref="C2709:G2710"/>
    <mergeCell ref="C2711:G2711"/>
    <mergeCell ref="C2712:G2712"/>
    <mergeCell ref="F2714:H2714"/>
    <mergeCell ref="C2698:G2700"/>
    <mergeCell ref="C2701:G2702"/>
    <mergeCell ref="C2703:G2703"/>
    <mergeCell ref="C2633:G2633"/>
    <mergeCell ref="F2634:H2634"/>
    <mergeCell ref="C2635:G2635"/>
    <mergeCell ref="C2636:G2637"/>
    <mergeCell ref="C2638:G2639"/>
    <mergeCell ref="C2640:G2640"/>
    <mergeCell ref="F2641:H2641"/>
    <mergeCell ref="F2642:H2642"/>
    <mergeCell ref="E2643:H2643"/>
    <mergeCell ref="C2646:G2646"/>
    <mergeCell ref="C2647:G2647"/>
    <mergeCell ref="F2648:H2648"/>
    <mergeCell ref="F2649:H2649"/>
    <mergeCell ref="F2650:H2650"/>
    <mergeCell ref="C2651:G2651"/>
    <mergeCell ref="C2652:D2652"/>
    <mergeCell ref="D3288:G3288"/>
    <mergeCell ref="C3283:G3283"/>
    <mergeCell ref="C3277:G3277"/>
    <mergeCell ref="D3198:G3198"/>
    <mergeCell ref="C3189:G3191"/>
    <mergeCell ref="C3188:G3188"/>
    <mergeCell ref="C3185:G3187"/>
    <mergeCell ref="C3182:G3182"/>
    <mergeCell ref="C3167:G3167"/>
    <mergeCell ref="C3166:G3166"/>
    <mergeCell ref="C3083:G3084"/>
    <mergeCell ref="C3077:G3078"/>
    <mergeCell ref="C3065:G3065"/>
    <mergeCell ref="C3056:G3056"/>
    <mergeCell ref="C3052:G3052"/>
    <mergeCell ref="C3031:G3031"/>
    <mergeCell ref="C3263:G3264"/>
    <mergeCell ref="C3261:G3261"/>
    <mergeCell ref="C3260:G3260"/>
    <mergeCell ref="C3258:G3258"/>
    <mergeCell ref="C3256:G3256"/>
    <mergeCell ref="C3226:G3227"/>
    <mergeCell ref="F3145:H3145"/>
    <mergeCell ref="F3152:H3152"/>
    <mergeCell ref="C3093:G3094"/>
    <mergeCell ref="C3228:G3229"/>
    <mergeCell ref="C3231:G3232"/>
    <mergeCell ref="C3233:G3234"/>
    <mergeCell ref="C3242:G3243"/>
    <mergeCell ref="C3244:G3245"/>
    <mergeCell ref="F3235:H3235"/>
    <mergeCell ref="G3230:H3230"/>
    <mergeCell ref="C2869:G2871"/>
    <mergeCell ref="C2863:G2863"/>
    <mergeCell ref="C2831:G2831"/>
    <mergeCell ref="C2763:G2763"/>
    <mergeCell ref="C2736:G2736"/>
    <mergeCell ref="C2734:G2734"/>
    <mergeCell ref="C2082:G2083"/>
    <mergeCell ref="E2036:G2036"/>
    <mergeCell ref="D2019:H2019"/>
    <mergeCell ref="D1969:H1969"/>
    <mergeCell ref="E1864:H1864"/>
    <mergeCell ref="D1814:H1814"/>
    <mergeCell ref="E2715:H2715"/>
    <mergeCell ref="C2696:G2697"/>
    <mergeCell ref="F2704:H2704"/>
    <mergeCell ref="C2629:G2629"/>
    <mergeCell ref="F2630:H2630"/>
    <mergeCell ref="C2631:G2631"/>
    <mergeCell ref="C2632:G2632"/>
    <mergeCell ref="C2725:G2726"/>
    <mergeCell ref="F2337:H2337"/>
    <mergeCell ref="F2338:H2338"/>
    <mergeCell ref="F2313:H2313"/>
    <mergeCell ref="C2311:G2312"/>
    <mergeCell ref="F2321:H2321"/>
    <mergeCell ref="C2320:G2320"/>
    <mergeCell ref="C2318:G2319"/>
    <mergeCell ref="C2316:G2317"/>
    <mergeCell ref="C2314:G2315"/>
    <mergeCell ref="C2716:G2716"/>
    <mergeCell ref="C2713:G2713"/>
    <mergeCell ref="C2682:G2682"/>
    <mergeCell ref="C3391:G3392"/>
    <mergeCell ref="D3393:H3393"/>
    <mergeCell ref="F3394:H3394"/>
    <mergeCell ref="F3395:H3395"/>
    <mergeCell ref="F3424:H3424"/>
    <mergeCell ref="F3427:H3427"/>
    <mergeCell ref="I3456:N3456"/>
    <mergeCell ref="F3328:H3328"/>
    <mergeCell ref="C3356:G3356"/>
    <mergeCell ref="C3354:G3355"/>
    <mergeCell ref="C3343:G3343"/>
    <mergeCell ref="C3339:G3339"/>
    <mergeCell ref="C3329:G3330"/>
    <mergeCell ref="F3404:H3404"/>
    <mergeCell ref="C3396:G3396"/>
    <mergeCell ref="C3398:G3398"/>
    <mergeCell ref="C3401:G3402"/>
    <mergeCell ref="F3399:H3399"/>
    <mergeCell ref="F3400:H3400"/>
    <mergeCell ref="F3403:H3403"/>
    <mergeCell ref="C3405:G3405"/>
    <mergeCell ref="C3407:G3407"/>
    <mergeCell ref="F3409:H3409"/>
    <mergeCell ref="C3346:G3347"/>
    <mergeCell ref="F3378:H3378"/>
    <mergeCell ref="F3331:H3331"/>
    <mergeCell ref="I3457:N3457"/>
    <mergeCell ref="I3458:N3458"/>
    <mergeCell ref="I3459:N3459"/>
    <mergeCell ref="C3445:K3445"/>
    <mergeCell ref="L3445:M3445"/>
    <mergeCell ref="C3446:K3446"/>
    <mergeCell ref="L3446:M3446"/>
    <mergeCell ref="C3447:K3447"/>
    <mergeCell ref="L3447:M3447"/>
    <mergeCell ref="C3448:K3448"/>
    <mergeCell ref="L3448:M3448"/>
    <mergeCell ref="C3380:G3381"/>
    <mergeCell ref="C3382:G3383"/>
    <mergeCell ref="C3387:G3388"/>
    <mergeCell ref="D3439:O3442"/>
    <mergeCell ref="C3428:G3428"/>
    <mergeCell ref="C3429:G3429"/>
    <mergeCell ref="C3420:G3421"/>
    <mergeCell ref="C3408:G3408"/>
    <mergeCell ref="C3406:G3406"/>
    <mergeCell ref="F3410:H3410"/>
    <mergeCell ref="F3411:H3411"/>
    <mergeCell ref="C3412:G3414"/>
    <mergeCell ref="C3397:G3397"/>
    <mergeCell ref="C3425:G3426"/>
    <mergeCell ref="C3389:G3390"/>
    <mergeCell ref="F3419:H3419"/>
    <mergeCell ref="F3423:H3423"/>
    <mergeCell ref="L3436:M3436"/>
    <mergeCell ref="G3437:H3437"/>
    <mergeCell ref="L3434:M3434"/>
    <mergeCell ref="F3431:H3431"/>
    <mergeCell ref="I3460:N3460"/>
    <mergeCell ref="I3461:N3461"/>
    <mergeCell ref="I3462:N3462"/>
    <mergeCell ref="L3450:M3450"/>
    <mergeCell ref="C3068:G3068"/>
    <mergeCell ref="C3422:G3422"/>
    <mergeCell ref="F3367:H3367"/>
    <mergeCell ref="C3368:G3369"/>
    <mergeCell ref="F3371:H3371"/>
    <mergeCell ref="F3372:H3372"/>
    <mergeCell ref="F3373:H3373"/>
    <mergeCell ref="C3374:G3374"/>
    <mergeCell ref="C3376:G3376"/>
    <mergeCell ref="F3377:H3377"/>
    <mergeCell ref="C3415:G3415"/>
    <mergeCell ref="F3417:H3417"/>
    <mergeCell ref="F3418:H3418"/>
    <mergeCell ref="C3449:K3449"/>
    <mergeCell ref="L3449:M3449"/>
    <mergeCell ref="C3375:G3375"/>
    <mergeCell ref="C3370:G3370"/>
    <mergeCell ref="C3365:G3365"/>
    <mergeCell ref="F3360:H3360"/>
    <mergeCell ref="F3361:H3361"/>
    <mergeCell ref="C3364:G3364"/>
    <mergeCell ref="F3366:H3366"/>
    <mergeCell ref="F3432:H3432"/>
    <mergeCell ref="C3430:G3430"/>
    <mergeCell ref="C3266:G3267"/>
    <mergeCell ref="G3268:H3268"/>
    <mergeCell ref="G3265:H3265"/>
    <mergeCell ref="G3262:H3262"/>
    <mergeCell ref="C3300:G3300"/>
    <mergeCell ref="C3301:G3301"/>
    <mergeCell ref="C3302:G3303"/>
    <mergeCell ref="F3304:H3304"/>
    <mergeCell ref="C3332:G3332"/>
    <mergeCell ref="C3333:G3333"/>
    <mergeCell ref="C3334:G3335"/>
    <mergeCell ref="F3338:H3338"/>
    <mergeCell ref="F3341:H3341"/>
    <mergeCell ref="F3342:H3342"/>
    <mergeCell ref="C3336:G3337"/>
    <mergeCell ref="F3386:H3386"/>
    <mergeCell ref="C3344:G3345"/>
    <mergeCell ref="D3323:G3323"/>
    <mergeCell ref="C3308:G3309"/>
    <mergeCell ref="E3316:H3316"/>
    <mergeCell ref="F3317:H3317"/>
    <mergeCell ref="F3318:H3318"/>
    <mergeCell ref="D3326:G3326"/>
    <mergeCell ref="C3314:G3315"/>
    <mergeCell ref="F3348:H3348"/>
    <mergeCell ref="C3350:G3351"/>
    <mergeCell ref="C3352:G3353"/>
    <mergeCell ref="C3357:G3357"/>
    <mergeCell ref="F3358:H3358"/>
    <mergeCell ref="F3359:H3359"/>
    <mergeCell ref="C3379:G3379"/>
    <mergeCell ref="C3362:G3363"/>
    <mergeCell ref="D3072:H3072"/>
    <mergeCell ref="F3071:H3071"/>
    <mergeCell ref="C3247:G3247"/>
    <mergeCell ref="F3384:H3384"/>
    <mergeCell ref="F3385:H3385"/>
    <mergeCell ref="F3216:H3216"/>
    <mergeCell ref="G3259:H3259"/>
    <mergeCell ref="G3257:H3257"/>
    <mergeCell ref="G3250:H3250"/>
    <mergeCell ref="G3249:H3249"/>
    <mergeCell ref="G3246:H3246"/>
    <mergeCell ref="G3240:H3240"/>
    <mergeCell ref="G3239:H3239"/>
    <mergeCell ref="G3236:H3236"/>
    <mergeCell ref="C3208:G3210"/>
    <mergeCell ref="C3213:G3213"/>
    <mergeCell ref="C3214:G3214"/>
    <mergeCell ref="C3217:G3218"/>
    <mergeCell ref="C3219:G3220"/>
    <mergeCell ref="C3221:G3222"/>
    <mergeCell ref="C3146:G3146"/>
    <mergeCell ref="C3151:G3151"/>
    <mergeCell ref="C3153:G3153"/>
    <mergeCell ref="C3147:G3150"/>
    <mergeCell ref="C3251:G3252"/>
    <mergeCell ref="C3154:G3157"/>
    <mergeCell ref="C3158:G3159"/>
    <mergeCell ref="C3160:G3161"/>
    <mergeCell ref="C3296:G3296"/>
    <mergeCell ref="C3297:G3297"/>
    <mergeCell ref="G3215:H3215"/>
    <mergeCell ref="C3298:G3298"/>
    <mergeCell ref="C3224:G3225"/>
    <mergeCell ref="G3202:H3202"/>
    <mergeCell ref="G3203:H3203"/>
    <mergeCell ref="C3204:G3205"/>
    <mergeCell ref="G3206:H3206"/>
    <mergeCell ref="G3207:H3207"/>
    <mergeCell ref="G3223:H3223"/>
    <mergeCell ref="D3324:G3324"/>
    <mergeCell ref="D3325:G3325"/>
    <mergeCell ref="D3327:G3327"/>
    <mergeCell ref="C3272:G3272"/>
    <mergeCell ref="C3273:G3274"/>
    <mergeCell ref="C3275:G3276"/>
    <mergeCell ref="C3278:G3279"/>
    <mergeCell ref="C3284:G3284"/>
    <mergeCell ref="D3285:G3285"/>
    <mergeCell ref="D3286:G3286"/>
    <mergeCell ref="D3287:G3287"/>
    <mergeCell ref="E3280:H3280"/>
    <mergeCell ref="F3281:H3281"/>
    <mergeCell ref="F3282:H3282"/>
    <mergeCell ref="F3289:H3289"/>
    <mergeCell ref="F3292:H3292"/>
    <mergeCell ref="C3290:G3291"/>
    <mergeCell ref="C3293:G3295"/>
    <mergeCell ref="C3307:G3307"/>
    <mergeCell ref="C3310:G3311"/>
    <mergeCell ref="C3312:G3313"/>
    <mergeCell ref="C3319:G3319"/>
    <mergeCell ref="C3320:G3321"/>
    <mergeCell ref="C3322:G3322"/>
    <mergeCell ref="F3299:H3299"/>
    <mergeCell ref="C2961:G2961"/>
    <mergeCell ref="C3034:G3035"/>
    <mergeCell ref="F3037:H3037"/>
    <mergeCell ref="F2983:H2983"/>
    <mergeCell ref="F2982:H2982"/>
    <mergeCell ref="C3002:D3002"/>
    <mergeCell ref="E3002:H3002"/>
    <mergeCell ref="C3004:G3004"/>
    <mergeCell ref="F2973:H2973"/>
    <mergeCell ref="C2979:G2979"/>
    <mergeCell ref="C2962:G2962"/>
    <mergeCell ref="F2969:H2969"/>
    <mergeCell ref="F2970:H2970"/>
    <mergeCell ref="F2971:H2971"/>
    <mergeCell ref="F2972:H2972"/>
    <mergeCell ref="C2975:G2976"/>
    <mergeCell ref="C2977:G2978"/>
    <mergeCell ref="F2980:H2980"/>
    <mergeCell ref="C2968:G2968"/>
    <mergeCell ref="F2964:H2964"/>
    <mergeCell ref="C3003:G3003"/>
    <mergeCell ref="C3023:G3023"/>
    <mergeCell ref="F3028:H3028"/>
    <mergeCell ref="F3036:H3036"/>
    <mergeCell ref="C3029:G3030"/>
    <mergeCell ref="C3032:G3032"/>
    <mergeCell ref="C3033:G3033"/>
    <mergeCell ref="C2997:G2998"/>
    <mergeCell ref="C2994:G2994"/>
    <mergeCell ref="C2974:G2974"/>
    <mergeCell ref="C2965:G2967"/>
    <mergeCell ref="F3009:H3009"/>
    <mergeCell ref="F2946:H2946"/>
    <mergeCell ref="F2949:H2949"/>
    <mergeCell ref="F2950:H2950"/>
    <mergeCell ref="F2951:H2951"/>
    <mergeCell ref="C2952:G2952"/>
    <mergeCell ref="D2945:H2945"/>
    <mergeCell ref="C2947:G2947"/>
    <mergeCell ref="C2948:G2948"/>
    <mergeCell ref="F3000:H3000"/>
    <mergeCell ref="F3001:H3001"/>
    <mergeCell ref="C2953:G2953"/>
    <mergeCell ref="C2954:G2954"/>
    <mergeCell ref="C2955:D2955"/>
    <mergeCell ref="C2984:G2985"/>
    <mergeCell ref="C2986:G2986"/>
    <mergeCell ref="C2987:G2987"/>
    <mergeCell ref="C2988:G2989"/>
    <mergeCell ref="C2990:G2990"/>
    <mergeCell ref="F2991:H2991"/>
    <mergeCell ref="F2992:H2992"/>
    <mergeCell ref="F2993:H2993"/>
    <mergeCell ref="F2955:G2955"/>
    <mergeCell ref="C2956:D2956"/>
    <mergeCell ref="F2956:G2956"/>
    <mergeCell ref="C2957:D2957"/>
    <mergeCell ref="F2957:G2957"/>
    <mergeCell ref="C2958:D2958"/>
    <mergeCell ref="F2958:G2958"/>
    <mergeCell ref="C2959:D2959"/>
    <mergeCell ref="F2959:G2959"/>
    <mergeCell ref="C2960:D2960"/>
    <mergeCell ref="F2960:G2960"/>
    <mergeCell ref="F2919:H2919"/>
    <mergeCell ref="D2920:H2920"/>
    <mergeCell ref="D2922:H2922"/>
    <mergeCell ref="D2921:H2921"/>
    <mergeCell ref="F2927:H2927"/>
    <mergeCell ref="C2923:G2923"/>
    <mergeCell ref="C2924:G2924"/>
    <mergeCell ref="C2926:G2926"/>
    <mergeCell ref="C2925:G2925"/>
    <mergeCell ref="C2930:G2931"/>
    <mergeCell ref="C2932:G2932"/>
    <mergeCell ref="F2933:H2933"/>
    <mergeCell ref="C2934:G2934"/>
    <mergeCell ref="C2935:G2935"/>
    <mergeCell ref="C2936:G2936"/>
    <mergeCell ref="C2943:G2944"/>
    <mergeCell ref="F2937:H2937"/>
    <mergeCell ref="C2938:G2938"/>
    <mergeCell ref="C2939:G2940"/>
    <mergeCell ref="C2941:G2942"/>
    <mergeCell ref="C2901:G2901"/>
    <mergeCell ref="C2902:G2904"/>
    <mergeCell ref="F2905:H2905"/>
    <mergeCell ref="F2906:H2906"/>
    <mergeCell ref="F2911:H2911"/>
    <mergeCell ref="C2912:G2912"/>
    <mergeCell ref="C2913:G2913"/>
    <mergeCell ref="C2914:G2914"/>
    <mergeCell ref="F2916:H2916"/>
    <mergeCell ref="F2917:H2917"/>
    <mergeCell ref="F2918:H2918"/>
    <mergeCell ref="F2881:H2881"/>
    <mergeCell ref="C2882:G2882"/>
    <mergeCell ref="C2883:G2883"/>
    <mergeCell ref="C2884:G2884"/>
    <mergeCell ref="F2885:H2885"/>
    <mergeCell ref="F2887:H2887"/>
    <mergeCell ref="C2886:G2886"/>
    <mergeCell ref="C2889:G2890"/>
    <mergeCell ref="C2891:G2891"/>
    <mergeCell ref="C2892:G2893"/>
    <mergeCell ref="F2894:H2894"/>
    <mergeCell ref="D2895:H2895"/>
    <mergeCell ref="F2896:H2896"/>
    <mergeCell ref="F2897:H2897"/>
    <mergeCell ref="C2915:G2915"/>
    <mergeCell ref="C2908:G2910"/>
    <mergeCell ref="C2907:G2907"/>
    <mergeCell ref="C2899:G2900"/>
    <mergeCell ref="C2888:G2888"/>
    <mergeCell ref="F2856:H2856"/>
    <mergeCell ref="C2857:G2858"/>
    <mergeCell ref="C2859:G2860"/>
    <mergeCell ref="C2861:G2861"/>
    <mergeCell ref="C2862:G2862"/>
    <mergeCell ref="F2865:H2865"/>
    <mergeCell ref="E2866:H2866"/>
    <mergeCell ref="C2867:G2868"/>
    <mergeCell ref="C2872:G2872"/>
    <mergeCell ref="F2873:H2873"/>
    <mergeCell ref="F2874:H2874"/>
    <mergeCell ref="C2875:G2876"/>
    <mergeCell ref="F2879:H2879"/>
    <mergeCell ref="F2880:H2880"/>
    <mergeCell ref="C2833:G2834"/>
    <mergeCell ref="C2835:G2836"/>
    <mergeCell ref="C2837:G2837"/>
    <mergeCell ref="F2838:H2838"/>
    <mergeCell ref="F2839:H2839"/>
    <mergeCell ref="C2840:G2841"/>
    <mergeCell ref="C2842:G2842"/>
    <mergeCell ref="C2843:G2843"/>
    <mergeCell ref="C2844:G2844"/>
    <mergeCell ref="F2845:H2845"/>
    <mergeCell ref="F2846:H2846"/>
    <mergeCell ref="C2847:G2848"/>
    <mergeCell ref="C2849:G2850"/>
    <mergeCell ref="C2851:G2851"/>
    <mergeCell ref="C2852:G2853"/>
    <mergeCell ref="C2854:G2854"/>
    <mergeCell ref="F2855:H2855"/>
    <mergeCell ref="C2877:G2878"/>
    <mergeCell ref="F2812:H2812"/>
    <mergeCell ref="C2815:G2816"/>
    <mergeCell ref="F2817:H2817"/>
    <mergeCell ref="F2818:H2818"/>
    <mergeCell ref="C2819:G2820"/>
    <mergeCell ref="C2821:G2822"/>
    <mergeCell ref="C2823:G2823"/>
    <mergeCell ref="C2824:G2824"/>
    <mergeCell ref="C2825:G2826"/>
    <mergeCell ref="C2827:G2827"/>
    <mergeCell ref="F2828:H2828"/>
    <mergeCell ref="F2829:H2829"/>
    <mergeCell ref="F2830:H2830"/>
    <mergeCell ref="C2832:G2832"/>
    <mergeCell ref="F2795:H2795"/>
    <mergeCell ref="E2796:H2796"/>
    <mergeCell ref="C2797:G2797"/>
    <mergeCell ref="C2798:G2798"/>
    <mergeCell ref="F2799:H2799"/>
    <mergeCell ref="F2800:H2800"/>
    <mergeCell ref="F2801:H2801"/>
    <mergeCell ref="C2802:G2802"/>
    <mergeCell ref="C2803:D2803"/>
    <mergeCell ref="E2803:G2803"/>
    <mergeCell ref="C2808:G2808"/>
    <mergeCell ref="F2809:H2809"/>
    <mergeCell ref="F2810:H2810"/>
    <mergeCell ref="F2811:H2811"/>
    <mergeCell ref="C2814:G2814"/>
    <mergeCell ref="C2813:G2813"/>
    <mergeCell ref="C2805:G2807"/>
    <mergeCell ref="C2804:G2804"/>
    <mergeCell ref="D2769:H2769"/>
    <mergeCell ref="D2770:H2770"/>
    <mergeCell ref="C2771:G2771"/>
    <mergeCell ref="C2772:G2772"/>
    <mergeCell ref="C2773:G2773"/>
    <mergeCell ref="C2774:G2774"/>
    <mergeCell ref="F2775:H2775"/>
    <mergeCell ref="C2787:G2788"/>
    <mergeCell ref="C2789:G2790"/>
    <mergeCell ref="C2791:G2791"/>
    <mergeCell ref="F2792:H2792"/>
    <mergeCell ref="F2793:H2793"/>
    <mergeCell ref="E2794:H2794"/>
    <mergeCell ref="C2778:G2779"/>
    <mergeCell ref="C2780:G2780"/>
    <mergeCell ref="F2781:H2781"/>
    <mergeCell ref="C2782:G2782"/>
    <mergeCell ref="C2783:G2783"/>
    <mergeCell ref="C2784:G2784"/>
    <mergeCell ref="F2785:H2785"/>
    <mergeCell ref="C2786:G2786"/>
    <mergeCell ref="D2768:H2768"/>
    <mergeCell ref="F2705:H2705"/>
    <mergeCell ref="F2706:H2706"/>
    <mergeCell ref="F2728:H2728"/>
    <mergeCell ref="F2729:H2729"/>
    <mergeCell ref="C2730:G2730"/>
    <mergeCell ref="C2731:G2731"/>
    <mergeCell ref="C2732:G2732"/>
    <mergeCell ref="F2733:H2733"/>
    <mergeCell ref="F2735:H2735"/>
    <mergeCell ref="C2737:G2738"/>
    <mergeCell ref="C2739:G2739"/>
    <mergeCell ref="C2740:G2741"/>
    <mergeCell ref="F2742:H2742"/>
    <mergeCell ref="D2743:H2743"/>
    <mergeCell ref="F2744:H2744"/>
    <mergeCell ref="F2745:H2745"/>
    <mergeCell ref="F2694:H2694"/>
    <mergeCell ref="F2695:H2695"/>
    <mergeCell ref="C2747:G2748"/>
    <mergeCell ref="C2749:G2749"/>
    <mergeCell ref="C2750:G2752"/>
    <mergeCell ref="F2753:H2753"/>
    <mergeCell ref="F2754:H2754"/>
    <mergeCell ref="C2755:G2755"/>
    <mergeCell ref="F2759:H2759"/>
    <mergeCell ref="C2756:G2758"/>
    <mergeCell ref="C2760:G2760"/>
    <mergeCell ref="C2761:G2761"/>
    <mergeCell ref="C2762:G2762"/>
    <mergeCell ref="F2764:H2764"/>
    <mergeCell ref="F2765:H2765"/>
    <mergeCell ref="F2766:H2766"/>
    <mergeCell ref="F2767:H2767"/>
    <mergeCell ref="C2624:G2624"/>
    <mergeCell ref="F2299:H2299"/>
    <mergeCell ref="C2720:G2720"/>
    <mergeCell ref="C2717:G2719"/>
    <mergeCell ref="F2721:H2721"/>
    <mergeCell ref="F2722:H2722"/>
    <mergeCell ref="C2723:G2724"/>
    <mergeCell ref="F2727:H2727"/>
    <mergeCell ref="C2664:G2665"/>
    <mergeCell ref="F2666:H2666"/>
    <mergeCell ref="F2667:H2667"/>
    <mergeCell ref="C2668:G2669"/>
    <mergeCell ref="C2670:G2671"/>
    <mergeCell ref="C2672:G2672"/>
    <mergeCell ref="C2673:G2673"/>
    <mergeCell ref="C2674:G2675"/>
    <mergeCell ref="C2676:G2676"/>
    <mergeCell ref="F2677:H2677"/>
    <mergeCell ref="F2678:H2678"/>
    <mergeCell ref="F2679:H2679"/>
    <mergeCell ref="C2680:G2680"/>
    <mergeCell ref="C2681:G2681"/>
    <mergeCell ref="C2683:G2684"/>
    <mergeCell ref="C2707:G2708"/>
    <mergeCell ref="C2685:G2685"/>
    <mergeCell ref="F2686:H2686"/>
    <mergeCell ref="F2687:H2687"/>
    <mergeCell ref="C2688:G2689"/>
    <mergeCell ref="C2690:G2690"/>
    <mergeCell ref="C2691:G2691"/>
    <mergeCell ref="C2692:G2692"/>
    <mergeCell ref="F2693:H2693"/>
    <mergeCell ref="E2652:G2652"/>
    <mergeCell ref="C2590:G2590"/>
    <mergeCell ref="C2653:G2653"/>
    <mergeCell ref="C2657:G2657"/>
    <mergeCell ref="F2658:H2658"/>
    <mergeCell ref="F2659:H2659"/>
    <mergeCell ref="F2660:H2660"/>
    <mergeCell ref="F2661:H2661"/>
    <mergeCell ref="F1057:H1057"/>
    <mergeCell ref="F1065:H1065"/>
    <mergeCell ref="F1069:H1069"/>
    <mergeCell ref="F1075:H1075"/>
    <mergeCell ref="F1070:H1070"/>
    <mergeCell ref="F1122:H1122"/>
    <mergeCell ref="C2399:G2399"/>
    <mergeCell ref="C2400:G2400"/>
    <mergeCell ref="C2396:G2397"/>
    <mergeCell ref="F2401:H2401"/>
    <mergeCell ref="F2402:H2402"/>
    <mergeCell ref="C2362:G2362"/>
    <mergeCell ref="F2363:H2363"/>
    <mergeCell ref="F2364:H2364"/>
    <mergeCell ref="C2366:G2367"/>
    <mergeCell ref="C2368:G2371"/>
    <mergeCell ref="C2377:G2377"/>
    <mergeCell ref="C2374:G2375"/>
    <mergeCell ref="F2378:H2378"/>
    <mergeCell ref="F2379:H2379"/>
    <mergeCell ref="C2383:G2383"/>
    <mergeCell ref="F2384:H2384"/>
    <mergeCell ref="F2625:H2625"/>
    <mergeCell ref="F2626:H2626"/>
    <mergeCell ref="C2619:G2620"/>
    <mergeCell ref="C2551:G2552"/>
    <mergeCell ref="C2621:G2622"/>
    <mergeCell ref="F2599:H2599"/>
    <mergeCell ref="F2600:H2600"/>
    <mergeCell ref="C2601:G2601"/>
    <mergeCell ref="F2606:H2606"/>
    <mergeCell ref="F2608:H2608"/>
    <mergeCell ref="F2609:H2609"/>
    <mergeCell ref="C2607:G2607"/>
    <mergeCell ref="C2604:G2605"/>
    <mergeCell ref="D2616:H2616"/>
    <mergeCell ref="E2617:H2617"/>
    <mergeCell ref="C2598:G2598"/>
    <mergeCell ref="C2591:G2594"/>
    <mergeCell ref="C2596:G2597"/>
    <mergeCell ref="F2588:H2588"/>
    <mergeCell ref="F2589:H2589"/>
    <mergeCell ref="F2613:H2613"/>
    <mergeCell ref="C2610:G2612"/>
    <mergeCell ref="C2614:G2614"/>
    <mergeCell ref="F2615:H2615"/>
    <mergeCell ref="C2618:G2618"/>
    <mergeCell ref="F2572:H2572"/>
    <mergeCell ref="F2573:H2573"/>
    <mergeCell ref="C2567:G2568"/>
    <mergeCell ref="C2569:G2570"/>
    <mergeCell ref="F2623:H2623"/>
    <mergeCell ref="C2577:G2577"/>
    <mergeCell ref="C2578:G2578"/>
    <mergeCell ref="F2579:H2579"/>
    <mergeCell ref="F2580:H2580"/>
    <mergeCell ref="C2595:G2595"/>
    <mergeCell ref="C2566:G2566"/>
    <mergeCell ref="C2550:G2550"/>
    <mergeCell ref="C2553:G2553"/>
    <mergeCell ref="C2554:G2554"/>
    <mergeCell ref="F2555:H2555"/>
    <mergeCell ref="F2556:H2556"/>
    <mergeCell ref="C2560:G2560"/>
    <mergeCell ref="C2502:G2502"/>
    <mergeCell ref="C2505:G2505"/>
    <mergeCell ref="C2506:G2506"/>
    <mergeCell ref="C2503:G2504"/>
    <mergeCell ref="F2507:H2507"/>
    <mergeCell ref="F2508:H2508"/>
    <mergeCell ref="F2509:H2509"/>
    <mergeCell ref="C2510:G2510"/>
    <mergeCell ref="C2545:G2546"/>
    <mergeCell ref="C2543:G2544"/>
    <mergeCell ref="C2581:G2581"/>
    <mergeCell ref="C2586:G2586"/>
    <mergeCell ref="C2587:G2587"/>
    <mergeCell ref="F2562:H2562"/>
    <mergeCell ref="F2563:H2563"/>
    <mergeCell ref="F2564:H2564"/>
    <mergeCell ref="F2565:H2565"/>
    <mergeCell ref="C2558:G2559"/>
    <mergeCell ref="C2571:G2571"/>
    <mergeCell ref="C2582:G2583"/>
    <mergeCell ref="C2527:G2528"/>
    <mergeCell ref="F2532:H2532"/>
    <mergeCell ref="F2533:H2533"/>
    <mergeCell ref="F2534:H2534"/>
    <mergeCell ref="C2535:G2535"/>
    <mergeCell ref="C2539:G2539"/>
    <mergeCell ref="C2540:G2540"/>
    <mergeCell ref="C2536:G2538"/>
    <mergeCell ref="C2526:G2526"/>
    <mergeCell ref="C2512:G2512"/>
    <mergeCell ref="C2529:G2529"/>
    <mergeCell ref="C2530:G2530"/>
    <mergeCell ref="C2531:G2531"/>
    <mergeCell ref="C2488:G2489"/>
    <mergeCell ref="F2491:H2491"/>
    <mergeCell ref="F2492:H2492"/>
    <mergeCell ref="C2496:G2496"/>
    <mergeCell ref="C2497:G2497"/>
    <mergeCell ref="F2498:H2498"/>
    <mergeCell ref="F2499:H2499"/>
    <mergeCell ref="C2493:G2495"/>
    <mergeCell ref="C2500:G2500"/>
    <mergeCell ref="F2541:H2541"/>
    <mergeCell ref="F2542:H2542"/>
    <mergeCell ref="F2548:H2548"/>
    <mergeCell ref="F2549:H2549"/>
    <mergeCell ref="C2547:G2547"/>
    <mergeCell ref="C2477:G2478"/>
    <mergeCell ref="C2479:G2479"/>
    <mergeCell ref="F2480:H2480"/>
    <mergeCell ref="F2481:H2481"/>
    <mergeCell ref="C2482:G2483"/>
    <mergeCell ref="C2484:G2487"/>
    <mergeCell ref="C2511:G2511"/>
    <mergeCell ref="F2515:H2515"/>
    <mergeCell ref="F2516:H2516"/>
    <mergeCell ref="F2517:H2517"/>
    <mergeCell ref="C2513:G2514"/>
    <mergeCell ref="F2523:H2523"/>
    <mergeCell ref="F2524:H2524"/>
    <mergeCell ref="F2525:H2525"/>
    <mergeCell ref="C2522:G2522"/>
    <mergeCell ref="C2518:G2519"/>
    <mergeCell ref="C2520:G2521"/>
    <mergeCell ref="C2501:G2501"/>
    <mergeCell ref="F2464:G2464"/>
    <mergeCell ref="F2465:G2465"/>
    <mergeCell ref="C2465:D2465"/>
    <mergeCell ref="C2466:G2467"/>
    <mergeCell ref="C2468:G2469"/>
    <mergeCell ref="C2470:G2470"/>
    <mergeCell ref="F2471:H2471"/>
    <mergeCell ref="F2472:H2472"/>
    <mergeCell ref="C2473:G2473"/>
    <mergeCell ref="C2474:G2474"/>
    <mergeCell ref="C2475:G2476"/>
    <mergeCell ref="C2459:G2459"/>
    <mergeCell ref="C2460:D2460"/>
    <mergeCell ref="C2461:D2461"/>
    <mergeCell ref="C2462:D2462"/>
    <mergeCell ref="C2463:D2463"/>
    <mergeCell ref="F2460:G2460"/>
    <mergeCell ref="F2461:G2461"/>
    <mergeCell ref="F2462:G2462"/>
    <mergeCell ref="F2463:G2463"/>
    <mergeCell ref="F2446:H2446"/>
    <mergeCell ref="F2447:H2447"/>
    <mergeCell ref="C2454:G2454"/>
    <mergeCell ref="F2455:H2455"/>
    <mergeCell ref="F2456:H2456"/>
    <mergeCell ref="C2448:G2449"/>
    <mergeCell ref="C2451:G2453"/>
    <mergeCell ref="C2457:G2458"/>
    <mergeCell ref="C2450:G2450"/>
    <mergeCell ref="C2432:G2433"/>
    <mergeCell ref="C2435:G2436"/>
    <mergeCell ref="C2437:G2437"/>
    <mergeCell ref="F2438:H2438"/>
    <mergeCell ref="F2439:H2439"/>
    <mergeCell ref="C2445:G2445"/>
    <mergeCell ref="C2440:G2442"/>
    <mergeCell ref="C2443:G2444"/>
    <mergeCell ref="C2421:G2421"/>
    <mergeCell ref="C2422:G2422"/>
    <mergeCell ref="C2423:G2423"/>
    <mergeCell ref="F2424:H2424"/>
    <mergeCell ref="C2425:G2426"/>
    <mergeCell ref="C2427:G2428"/>
    <mergeCell ref="C2429:G2429"/>
    <mergeCell ref="F2430:H2430"/>
    <mergeCell ref="F2431:H2431"/>
    <mergeCell ref="C2434:G2434"/>
    <mergeCell ref="C2412:G2412"/>
    <mergeCell ref="C2410:G2411"/>
    <mergeCell ref="F2413:H2413"/>
    <mergeCell ref="F2414:H2414"/>
    <mergeCell ref="C2417:G2417"/>
    <mergeCell ref="C2418:G2418"/>
    <mergeCell ref="C2419:G2419"/>
    <mergeCell ref="C2415:G2416"/>
    <mergeCell ref="C2420:G2420"/>
    <mergeCell ref="F2404:H2404"/>
    <mergeCell ref="F2405:H2405"/>
    <mergeCell ref="C2408:G2408"/>
    <mergeCell ref="C2389:G2389"/>
    <mergeCell ref="C2392:G2392"/>
    <mergeCell ref="C2390:G2391"/>
    <mergeCell ref="F2393:H2393"/>
    <mergeCell ref="F2394:H2394"/>
    <mergeCell ref="F2395:H2395"/>
    <mergeCell ref="C2398:G2398"/>
    <mergeCell ref="E2409:H2409"/>
    <mergeCell ref="C2406:G2407"/>
    <mergeCell ref="C2388:G2388"/>
    <mergeCell ref="F2354:H2354"/>
    <mergeCell ref="C2351:G2351"/>
    <mergeCell ref="C2355:G2355"/>
    <mergeCell ref="C2358:G2358"/>
    <mergeCell ref="C2356:G2357"/>
    <mergeCell ref="C2359:G2360"/>
    <mergeCell ref="F2386:H2386"/>
    <mergeCell ref="C2381:G2382"/>
    <mergeCell ref="E2380:H2380"/>
    <mergeCell ref="E2385:H2385"/>
    <mergeCell ref="C2342:G2342"/>
    <mergeCell ref="C2341:G2341"/>
    <mergeCell ref="C2339:G2340"/>
    <mergeCell ref="C2344:G2344"/>
    <mergeCell ref="F2343:H2343"/>
    <mergeCell ref="F2345:H2345"/>
    <mergeCell ref="C2349:G2349"/>
    <mergeCell ref="F2350:H2350"/>
    <mergeCell ref="C2347:G2348"/>
    <mergeCell ref="E2346:H2346"/>
    <mergeCell ref="C2365:G2365"/>
    <mergeCell ref="E2387:H2387"/>
    <mergeCell ref="C2372:G2372"/>
    <mergeCell ref="F2373:H2373"/>
    <mergeCell ref="C2376:G2376"/>
    <mergeCell ref="F2353:H2353"/>
    <mergeCell ref="F2352:H2352"/>
    <mergeCell ref="C2361:G2361"/>
    <mergeCell ref="F2150:H2150"/>
    <mergeCell ref="F2152:H2152"/>
    <mergeCell ref="F2157:H2157"/>
    <mergeCell ref="F2158:H2158"/>
    <mergeCell ref="F2159:H2159"/>
    <mergeCell ref="F2171:H2171"/>
    <mergeCell ref="C2172:G2172"/>
    <mergeCell ref="C2173:G2173"/>
    <mergeCell ref="C2174:G2174"/>
    <mergeCell ref="F2175:H2175"/>
    <mergeCell ref="C2147:G2148"/>
    <mergeCell ref="C2153:G2154"/>
    <mergeCell ref="C2161:G2162"/>
    <mergeCell ref="C2155:G2156"/>
    <mergeCell ref="F2167:H2167"/>
    <mergeCell ref="C2146:G2146"/>
    <mergeCell ref="F2149:H2149"/>
    <mergeCell ref="D2151:H2151"/>
    <mergeCell ref="D2140:H2140"/>
    <mergeCell ref="F2125:H2125"/>
    <mergeCell ref="F2126:H2126"/>
    <mergeCell ref="F2131:H2131"/>
    <mergeCell ref="F2132:H2132"/>
    <mergeCell ref="F2133:H2133"/>
    <mergeCell ref="C2127:G2127"/>
    <mergeCell ref="C2128:G2128"/>
    <mergeCell ref="C2129:G2129"/>
    <mergeCell ref="C2130:G2130"/>
    <mergeCell ref="F2139:H2139"/>
    <mergeCell ref="C2142:G2143"/>
    <mergeCell ref="C2144:G2145"/>
    <mergeCell ref="C2114:G2115"/>
    <mergeCell ref="F2116:H2116"/>
    <mergeCell ref="F2117:H2117"/>
    <mergeCell ref="F2118:H2118"/>
    <mergeCell ref="C2120:G2122"/>
    <mergeCell ref="C2123:G2123"/>
    <mergeCell ref="F2124:H2124"/>
    <mergeCell ref="C2119:G2119"/>
    <mergeCell ref="D2141:H2141"/>
    <mergeCell ref="C2111:G2111"/>
    <mergeCell ref="C2103:G2103"/>
    <mergeCell ref="C2134:G2135"/>
    <mergeCell ref="C2136:G2136"/>
    <mergeCell ref="C2137:G2137"/>
    <mergeCell ref="F2138:H2138"/>
    <mergeCell ref="C2104:G2104"/>
    <mergeCell ref="C2105:G2105"/>
    <mergeCell ref="F2106:H2106"/>
    <mergeCell ref="F2107:H2107"/>
    <mergeCell ref="F2108:H2108"/>
    <mergeCell ref="C2109:G2110"/>
    <mergeCell ref="C2068:G2068"/>
    <mergeCell ref="F2069:H2069"/>
    <mergeCell ref="F2070:H2070"/>
    <mergeCell ref="C2076:G2077"/>
    <mergeCell ref="C2078:G2078"/>
    <mergeCell ref="F2079:H2079"/>
    <mergeCell ref="F2080:H2080"/>
    <mergeCell ref="C2084:G2084"/>
    <mergeCell ref="F2089:H2089"/>
    <mergeCell ref="C2113:G2113"/>
    <mergeCell ref="C2039:G2039"/>
    <mergeCell ref="C2046:G2046"/>
    <mergeCell ref="C2053:G2054"/>
    <mergeCell ref="C2081:D2081"/>
    <mergeCell ref="E2081:H2081"/>
    <mergeCell ref="C2112:G2112"/>
    <mergeCell ref="C2093:G2094"/>
    <mergeCell ref="F2095:H2095"/>
    <mergeCell ref="F2096:H2096"/>
    <mergeCell ref="C2097:G2098"/>
    <mergeCell ref="C2099:G2099"/>
    <mergeCell ref="F2100:H2100"/>
    <mergeCell ref="C2101:G2102"/>
    <mergeCell ref="C2092:G2092"/>
    <mergeCell ref="C2091:G2091"/>
    <mergeCell ref="F2050:H2050"/>
    <mergeCell ref="F2051:H2051"/>
    <mergeCell ref="C2055:G2056"/>
    <mergeCell ref="C2057:G2057"/>
    <mergeCell ref="C2062:G2063"/>
    <mergeCell ref="C2064:G2064"/>
    <mergeCell ref="C2065:G2065"/>
    <mergeCell ref="C2066:G2067"/>
    <mergeCell ref="C2090:G2090"/>
    <mergeCell ref="F2061:H2061"/>
    <mergeCell ref="C2052:G2052"/>
    <mergeCell ref="C2041:G2045"/>
    <mergeCell ref="F2071:H2071"/>
    <mergeCell ref="F2060:H2060"/>
    <mergeCell ref="F2058:H2058"/>
    <mergeCell ref="C2072:G2073"/>
    <mergeCell ref="C2074:G2075"/>
    <mergeCell ref="D1995:H1995"/>
    <mergeCell ref="D1996:H1996"/>
    <mergeCell ref="D1997:H1997"/>
    <mergeCell ref="C2033:D2033"/>
    <mergeCell ref="F2047:H2047"/>
    <mergeCell ref="F2048:H2048"/>
    <mergeCell ref="F2049:H2049"/>
    <mergeCell ref="C1981:G1982"/>
    <mergeCell ref="C1983:G1986"/>
    <mergeCell ref="C1987:G1987"/>
    <mergeCell ref="C1988:G1988"/>
    <mergeCell ref="F1947:H1947"/>
    <mergeCell ref="F1948:H1948"/>
    <mergeCell ref="C1949:G1950"/>
    <mergeCell ref="C1951:G1952"/>
    <mergeCell ref="F1953:H1953"/>
    <mergeCell ref="F1954:H1954"/>
    <mergeCell ref="F1955:H1955"/>
    <mergeCell ref="C1956:G1957"/>
    <mergeCell ref="C1958:G1958"/>
    <mergeCell ref="F2040:H2040"/>
    <mergeCell ref="F2035:G2035"/>
    <mergeCell ref="C2031:D2031"/>
    <mergeCell ref="C2032:D2032"/>
    <mergeCell ref="C1961:G1962"/>
    <mergeCell ref="C1963:G1964"/>
    <mergeCell ref="C1965:G1965"/>
    <mergeCell ref="C1966:G1967"/>
    <mergeCell ref="F1968:H1968"/>
    <mergeCell ref="F2027:H2027"/>
    <mergeCell ref="F2031:G2031"/>
    <mergeCell ref="F2032:G2032"/>
    <mergeCell ref="C1869:G1869"/>
    <mergeCell ref="C1936:G1936"/>
    <mergeCell ref="C1937:G1937"/>
    <mergeCell ref="F1939:H1939"/>
    <mergeCell ref="F1940:H1940"/>
    <mergeCell ref="C1941:G1941"/>
    <mergeCell ref="C1942:G1945"/>
    <mergeCell ref="C1946:G1946"/>
    <mergeCell ref="C1922:G1923"/>
    <mergeCell ref="C1924:G1925"/>
    <mergeCell ref="C1926:G1926"/>
    <mergeCell ref="C1927:G1928"/>
    <mergeCell ref="C1929:G1929"/>
    <mergeCell ref="F1930:H1930"/>
    <mergeCell ref="F1931:H1931"/>
    <mergeCell ref="C1932:G1933"/>
    <mergeCell ref="C1934:G1935"/>
    <mergeCell ref="F1912:H1912"/>
    <mergeCell ref="F1913:H1913"/>
    <mergeCell ref="C1914:G1915"/>
    <mergeCell ref="C1916:G1916"/>
    <mergeCell ref="C1917:G1917"/>
    <mergeCell ref="C1918:G1918"/>
    <mergeCell ref="F1919:H1919"/>
    <mergeCell ref="F1920:H1920"/>
    <mergeCell ref="F1921:H1921"/>
    <mergeCell ref="C1899:G1900"/>
    <mergeCell ref="C1901:G1901"/>
    <mergeCell ref="F1902:H1902"/>
    <mergeCell ref="F1903:H1903"/>
    <mergeCell ref="F1904:H1904"/>
    <mergeCell ref="C1905:G1906"/>
    <mergeCell ref="C1907:G1908"/>
    <mergeCell ref="C1909:G1910"/>
    <mergeCell ref="C1911:G1911"/>
    <mergeCell ref="C1889:G1890"/>
    <mergeCell ref="F1891:H1891"/>
    <mergeCell ref="F1892:H1892"/>
    <mergeCell ref="C1893:G1894"/>
    <mergeCell ref="C1895:G1896"/>
    <mergeCell ref="C1897:G1897"/>
    <mergeCell ref="C1898:G1898"/>
    <mergeCell ref="C1874:G1874"/>
    <mergeCell ref="C1875:G1875"/>
    <mergeCell ref="C1876:G1877"/>
    <mergeCell ref="C1882:G1882"/>
    <mergeCell ref="C1878:G1881"/>
    <mergeCell ref="F1883:H1883"/>
    <mergeCell ref="F1884:H1884"/>
    <mergeCell ref="F1885:H1885"/>
    <mergeCell ref="F1886:H1886"/>
    <mergeCell ref="C1887:G1887"/>
    <mergeCell ref="C1870:G1870"/>
    <mergeCell ref="F1871:H1871"/>
    <mergeCell ref="F1872:H1872"/>
    <mergeCell ref="F1873:H1873"/>
    <mergeCell ref="E1866:H1866"/>
    <mergeCell ref="D1840:H1840"/>
    <mergeCell ref="D1841:H1841"/>
    <mergeCell ref="D1842:H1842"/>
    <mergeCell ref="F1838:H1838"/>
    <mergeCell ref="C1835:G1835"/>
    <mergeCell ref="C1828:G1830"/>
    <mergeCell ref="C1826:G1827"/>
    <mergeCell ref="C1854:G1854"/>
    <mergeCell ref="C1855:G1855"/>
    <mergeCell ref="F1856:H1856"/>
    <mergeCell ref="C1857:G1857"/>
    <mergeCell ref="C1858:G1859"/>
    <mergeCell ref="C1861:G1861"/>
    <mergeCell ref="F1862:H1862"/>
    <mergeCell ref="F1863:H1863"/>
    <mergeCell ref="F1839:H1839"/>
    <mergeCell ref="C1843:G1843"/>
    <mergeCell ref="C1844:G1844"/>
    <mergeCell ref="C1845:G1845"/>
    <mergeCell ref="C1846:G1846"/>
    <mergeCell ref="C1851:G1851"/>
    <mergeCell ref="F1852:H1852"/>
    <mergeCell ref="C1849:G1850"/>
    <mergeCell ref="C1853:G1853"/>
    <mergeCell ref="C1860:G1860"/>
    <mergeCell ref="F1865:H1865"/>
    <mergeCell ref="C1867:G1868"/>
    <mergeCell ref="C1791:G1791"/>
    <mergeCell ref="F1792:H1792"/>
    <mergeCell ref="F1793:H1793"/>
    <mergeCell ref="C1794:G1795"/>
    <mergeCell ref="F1831:H1831"/>
    <mergeCell ref="C1832:G1832"/>
    <mergeCell ref="C1833:G1833"/>
    <mergeCell ref="C1834:G1834"/>
    <mergeCell ref="F1836:H1836"/>
    <mergeCell ref="F1837:H1837"/>
    <mergeCell ref="F1815:H1815"/>
    <mergeCell ref="F1816:H1816"/>
    <mergeCell ref="C1818:G1819"/>
    <mergeCell ref="C1821:G1823"/>
    <mergeCell ref="C1811:G1812"/>
    <mergeCell ref="F1813:H1813"/>
    <mergeCell ref="F1799:H1799"/>
    <mergeCell ref="F1800:H1800"/>
    <mergeCell ref="C1801:G1802"/>
    <mergeCell ref="C1803:G1803"/>
    <mergeCell ref="C1804:G1804"/>
    <mergeCell ref="F1805:H1805"/>
    <mergeCell ref="C1806:G1807"/>
    <mergeCell ref="F1824:H1824"/>
    <mergeCell ref="F1825:H1825"/>
    <mergeCell ref="C1712:G1714"/>
    <mergeCell ref="C1727:G1727"/>
    <mergeCell ref="C1705:G1705"/>
    <mergeCell ref="C1681:G1681"/>
    <mergeCell ref="C1674:G1676"/>
    <mergeCell ref="C1672:G1673"/>
    <mergeCell ref="C1697:G1697"/>
    <mergeCell ref="F1698:H1698"/>
    <mergeCell ref="C1699:G1699"/>
    <mergeCell ref="C1700:G1700"/>
    <mergeCell ref="C1701:G1701"/>
    <mergeCell ref="C1702:G1702"/>
    <mergeCell ref="C1715:G1715"/>
    <mergeCell ref="C1716:G1716"/>
    <mergeCell ref="C1667:G1669"/>
    <mergeCell ref="C1666:G1666"/>
    <mergeCell ref="E1709:H1709"/>
    <mergeCell ref="E1711:H1711"/>
    <mergeCell ref="C1679:G1679"/>
    <mergeCell ref="C1680:G1680"/>
    <mergeCell ref="F1682:H1682"/>
    <mergeCell ref="F1683:H1683"/>
    <mergeCell ref="F1684:H1684"/>
    <mergeCell ref="C1690:G1690"/>
    <mergeCell ref="C1691:G1691"/>
    <mergeCell ref="C1692:G1692"/>
    <mergeCell ref="F1708:H1708"/>
    <mergeCell ref="F1710:H1710"/>
    <mergeCell ref="F1670:H1670"/>
    <mergeCell ref="C1671:G1671"/>
    <mergeCell ref="F1677:H1677"/>
    <mergeCell ref="C1678:G1678"/>
    <mergeCell ref="F1728:H1728"/>
    <mergeCell ref="F1729:H1729"/>
    <mergeCell ref="C1808:G1809"/>
    <mergeCell ref="C1810:G1810"/>
    <mergeCell ref="C1735:G1736"/>
    <mergeCell ref="F1737:H1737"/>
    <mergeCell ref="F1738:H1738"/>
    <mergeCell ref="C1656:G1656"/>
    <mergeCell ref="C1657:G1658"/>
    <mergeCell ref="C1640:G1641"/>
    <mergeCell ref="F1644:H1644"/>
    <mergeCell ref="F1645:H1645"/>
    <mergeCell ref="F1646:H1646"/>
    <mergeCell ref="C1649:G1649"/>
    <mergeCell ref="C1650:G1650"/>
    <mergeCell ref="F1651:H1651"/>
    <mergeCell ref="C1647:G1648"/>
    <mergeCell ref="F1686:H1686"/>
    <mergeCell ref="D1687:H1687"/>
    <mergeCell ref="C1796:G1797"/>
    <mergeCell ref="F1798:H1798"/>
    <mergeCell ref="F1776:H1776"/>
    <mergeCell ref="F1777:H1777"/>
    <mergeCell ref="C1778:G1779"/>
    <mergeCell ref="C1780:G1781"/>
    <mergeCell ref="C1782:G1782"/>
    <mergeCell ref="C1783:G1783"/>
    <mergeCell ref="F1785:H1785"/>
    <mergeCell ref="C1787:G1787"/>
    <mergeCell ref="C1751:G1753"/>
    <mergeCell ref="C1773:G1774"/>
    <mergeCell ref="C1775:G1775"/>
    <mergeCell ref="C1703:G1704"/>
    <mergeCell ref="C1706:G1706"/>
    <mergeCell ref="F1707:H1707"/>
    <mergeCell ref="C1693:G1693"/>
    <mergeCell ref="F1694:H1694"/>
    <mergeCell ref="C1626:G1626"/>
    <mergeCell ref="C1627:G1627"/>
    <mergeCell ref="F1630:H1630"/>
    <mergeCell ref="C1628:G1629"/>
    <mergeCell ref="C1632:G1632"/>
    <mergeCell ref="C1637:G1637"/>
    <mergeCell ref="F1638:H1638"/>
    <mergeCell ref="F1639:H1639"/>
    <mergeCell ref="C1633:G1636"/>
    <mergeCell ref="C1654:G1655"/>
    <mergeCell ref="C1642:G1643"/>
    <mergeCell ref="C1689:H1689"/>
    <mergeCell ref="C1688:H1688"/>
    <mergeCell ref="F1660:H1660"/>
    <mergeCell ref="F1661:H1661"/>
    <mergeCell ref="F1662:H1662"/>
    <mergeCell ref="C1664:G1665"/>
    <mergeCell ref="C1612:G1613"/>
    <mergeCell ref="C1614:G1615"/>
    <mergeCell ref="C1616:G1616"/>
    <mergeCell ref="C1619:G1619"/>
    <mergeCell ref="C1617:G1618"/>
    <mergeCell ref="F1620:H1620"/>
    <mergeCell ref="F1621:H1621"/>
    <mergeCell ref="C1622:G1623"/>
    <mergeCell ref="C1624:G1625"/>
    <mergeCell ref="E1631:H1631"/>
    <mergeCell ref="C1652:G1653"/>
    <mergeCell ref="C1601:G1601"/>
    <mergeCell ref="F1602:H1602"/>
    <mergeCell ref="F1603:H1603"/>
    <mergeCell ref="C1604:G1605"/>
    <mergeCell ref="C1606:G1606"/>
    <mergeCell ref="C1607:G1607"/>
    <mergeCell ref="C1608:G1608"/>
    <mergeCell ref="F1609:H1609"/>
    <mergeCell ref="F1611:H1611"/>
    <mergeCell ref="C1588:G1588"/>
    <mergeCell ref="C1591:G1591"/>
    <mergeCell ref="C1589:G1590"/>
    <mergeCell ref="F1592:H1592"/>
    <mergeCell ref="F1593:H1593"/>
    <mergeCell ref="F1594:H1594"/>
    <mergeCell ref="C1595:G1597"/>
    <mergeCell ref="C1599:G1600"/>
    <mergeCell ref="E1610:H1610"/>
    <mergeCell ref="F1576:H1576"/>
    <mergeCell ref="F1577:H1577"/>
    <mergeCell ref="C1580:G1581"/>
    <mergeCell ref="F1582:H1582"/>
    <mergeCell ref="C1583:G1584"/>
    <mergeCell ref="C1585:G1586"/>
    <mergeCell ref="C1587:G1587"/>
    <mergeCell ref="C1598:G1598"/>
    <mergeCell ref="C1579:G1579"/>
    <mergeCell ref="C1578:G1578"/>
    <mergeCell ref="F1565:H1565"/>
    <mergeCell ref="C1558:G1560"/>
    <mergeCell ref="C1566:G1566"/>
    <mergeCell ref="C1573:G1573"/>
    <mergeCell ref="F1574:H1574"/>
    <mergeCell ref="F1575:H1575"/>
    <mergeCell ref="C1552:G1552"/>
    <mergeCell ref="F1553:H1553"/>
    <mergeCell ref="F1555:H1555"/>
    <mergeCell ref="F1556:H1556"/>
    <mergeCell ref="C1561:G1561"/>
    <mergeCell ref="C1562:G1562"/>
    <mergeCell ref="F1563:H1563"/>
    <mergeCell ref="F1564:H1564"/>
    <mergeCell ref="C1570:G1572"/>
    <mergeCell ref="C1568:G1569"/>
    <mergeCell ref="C1551:G1551"/>
    <mergeCell ref="C1567:D1567"/>
    <mergeCell ref="E1567:G1567"/>
    <mergeCell ref="C1536:G1537"/>
    <mergeCell ref="C1538:G1540"/>
    <mergeCell ref="C1543:G1543"/>
    <mergeCell ref="F1544:H1544"/>
    <mergeCell ref="C1545:G1545"/>
    <mergeCell ref="C1546:G1546"/>
    <mergeCell ref="C1547:G1547"/>
    <mergeCell ref="C1548:G1548"/>
    <mergeCell ref="C1549:G1550"/>
    <mergeCell ref="E1554:H1554"/>
    <mergeCell ref="E1557:H1557"/>
    <mergeCell ref="F1523:H1523"/>
    <mergeCell ref="C1524:G1526"/>
    <mergeCell ref="C1527:G1528"/>
    <mergeCell ref="C1529:G1530"/>
    <mergeCell ref="C1531:G1531"/>
    <mergeCell ref="C1535:G1535"/>
    <mergeCell ref="C1533:G1534"/>
    <mergeCell ref="C1532:G1532"/>
    <mergeCell ref="C1511:G1511"/>
    <mergeCell ref="C1512:G1512"/>
    <mergeCell ref="C1513:G1514"/>
    <mergeCell ref="C1515:G1516"/>
    <mergeCell ref="C1517:G1517"/>
    <mergeCell ref="C1518:G1518"/>
    <mergeCell ref="C1519:G1520"/>
    <mergeCell ref="C1521:G1521"/>
    <mergeCell ref="F1522:H1522"/>
    <mergeCell ref="C1498:G1498"/>
    <mergeCell ref="F1499:H1499"/>
    <mergeCell ref="F1500:H1500"/>
    <mergeCell ref="C1503:G1504"/>
    <mergeCell ref="C1508:G1508"/>
    <mergeCell ref="F1509:H1509"/>
    <mergeCell ref="F1510:H1510"/>
    <mergeCell ref="C1505:G1507"/>
    <mergeCell ref="C1501:G1502"/>
    <mergeCell ref="C1492:G1493"/>
    <mergeCell ref="F1494:H1494"/>
    <mergeCell ref="C1495:G1496"/>
    <mergeCell ref="C1497:G1497"/>
    <mergeCell ref="C1476:G1477"/>
    <mergeCell ref="C1480:G1481"/>
    <mergeCell ref="F1483:H1483"/>
    <mergeCell ref="C1484:G1485"/>
    <mergeCell ref="C1461:G1462"/>
    <mergeCell ref="C1463:G1463"/>
    <mergeCell ref="C1465:G1466"/>
    <mergeCell ref="C1467:G1467"/>
    <mergeCell ref="C1468:G1469"/>
    <mergeCell ref="C1470:G1472"/>
    <mergeCell ref="C1473:G1474"/>
    <mergeCell ref="F1475:H1475"/>
    <mergeCell ref="C1489:G1490"/>
    <mergeCell ref="C1482:G1482"/>
    <mergeCell ref="C1479:G1479"/>
    <mergeCell ref="C1478:G1478"/>
    <mergeCell ref="C1464:G1464"/>
    <mergeCell ref="C1486:G1486"/>
    <mergeCell ref="F1487:H1487"/>
    <mergeCell ref="F1488:H1488"/>
    <mergeCell ref="F1491:H1491"/>
    <mergeCell ref="C1452:G1452"/>
    <mergeCell ref="C1453:G1454"/>
    <mergeCell ref="C1455:G1457"/>
    <mergeCell ref="F1439:H1439"/>
    <mergeCell ref="F1440:H1440"/>
    <mergeCell ref="C1443:G1444"/>
    <mergeCell ref="C1445:G1447"/>
    <mergeCell ref="C1448:G1448"/>
    <mergeCell ref="C1413:G1414"/>
    <mergeCell ref="C1415:G1415"/>
    <mergeCell ref="C1416:G1416"/>
    <mergeCell ref="C1417:G1417"/>
    <mergeCell ref="C1418:G1418"/>
    <mergeCell ref="C1437:G1437"/>
    <mergeCell ref="F1434:H1434"/>
    <mergeCell ref="F1428:H1428"/>
    <mergeCell ref="F1429:H1429"/>
    <mergeCell ref="F1426:H1426"/>
    <mergeCell ref="C1424:G1424"/>
    <mergeCell ref="C1421:G1422"/>
    <mergeCell ref="C1427:G1427"/>
    <mergeCell ref="C1430:G1431"/>
    <mergeCell ref="C1432:G1433"/>
    <mergeCell ref="C1435:G1436"/>
    <mergeCell ref="C1425:G1425"/>
    <mergeCell ref="C1423:G1423"/>
    <mergeCell ref="F1346:H1346"/>
    <mergeCell ref="F1347:H1347"/>
    <mergeCell ref="C1349:G1350"/>
    <mergeCell ref="C1351:G1352"/>
    <mergeCell ref="C1353:G1353"/>
    <mergeCell ref="F1354:H1354"/>
    <mergeCell ref="C1340:G1341"/>
    <mergeCell ref="C1344:G1344"/>
    <mergeCell ref="C1320:G1320"/>
    <mergeCell ref="C1326:G1327"/>
    <mergeCell ref="F1329:H1329"/>
    <mergeCell ref="C1299:G1300"/>
    <mergeCell ref="F1339:H1339"/>
    <mergeCell ref="C1312:G1313"/>
    <mergeCell ref="C1302:G1304"/>
    <mergeCell ref="F1338:H1338"/>
    <mergeCell ref="C1332:G1332"/>
    <mergeCell ref="C1331:H1331"/>
    <mergeCell ref="C1330:H1330"/>
    <mergeCell ref="B1280:H1280"/>
    <mergeCell ref="C1203:G1204"/>
    <mergeCell ref="F1205:H1205"/>
    <mergeCell ref="F1206:H1206"/>
    <mergeCell ref="F1207:H1207"/>
    <mergeCell ref="C1208:G1209"/>
    <mergeCell ref="C1210:G1210"/>
    <mergeCell ref="F1211:H1211"/>
    <mergeCell ref="F1212:H1212"/>
    <mergeCell ref="C1240:G1241"/>
    <mergeCell ref="C1218:G1219"/>
    <mergeCell ref="C1301:G1301"/>
    <mergeCell ref="F1306:H1306"/>
    <mergeCell ref="F1308:H1308"/>
    <mergeCell ref="F1314:H1314"/>
    <mergeCell ref="F1316:H1316"/>
    <mergeCell ref="F1317:H1317"/>
    <mergeCell ref="D1307:H1307"/>
    <mergeCell ref="D1305:H1305"/>
    <mergeCell ref="D1315:H1315"/>
    <mergeCell ref="C1245:G1245"/>
    <mergeCell ref="C1242:G1243"/>
    <mergeCell ref="D1271:H1271"/>
    <mergeCell ref="C1260:G1262"/>
    <mergeCell ref="C1278:G1279"/>
    <mergeCell ref="C1265:G1266"/>
    <mergeCell ref="C1259:G1259"/>
    <mergeCell ref="C1256:G1257"/>
    <mergeCell ref="C1251:G1251"/>
    <mergeCell ref="C1291:G1292"/>
    <mergeCell ref="C1295:G1296"/>
    <mergeCell ref="F1273:H1273"/>
    <mergeCell ref="F1272:H1272"/>
    <mergeCell ref="C1258:G1258"/>
    <mergeCell ref="C1192:G1193"/>
    <mergeCell ref="C1194:G1194"/>
    <mergeCell ref="F1213:H1213"/>
    <mergeCell ref="C1228:G1229"/>
    <mergeCell ref="C1230:G1231"/>
    <mergeCell ref="C1246:G1246"/>
    <mergeCell ref="C595:K595"/>
    <mergeCell ref="L595:M595"/>
    <mergeCell ref="C596:K596"/>
    <mergeCell ref="L596:M596"/>
    <mergeCell ref="C597:K597"/>
    <mergeCell ref="L597:M597"/>
    <mergeCell ref="C598:K598"/>
    <mergeCell ref="C664:G665"/>
    <mergeCell ref="C662:G663"/>
    <mergeCell ref="C644:G644"/>
    <mergeCell ref="C645:G645"/>
    <mergeCell ref="C646:G646"/>
    <mergeCell ref="C1200:G1201"/>
    <mergeCell ref="C1202:G1202"/>
    <mergeCell ref="C1235:G1235"/>
    <mergeCell ref="C1214:G1214"/>
    <mergeCell ref="C1217:G1217"/>
    <mergeCell ref="C697:G699"/>
    <mergeCell ref="C700:G701"/>
    <mergeCell ref="C702:G704"/>
    <mergeCell ref="C749:G750"/>
    <mergeCell ref="C751:G752"/>
    <mergeCell ref="C727:G727"/>
    <mergeCell ref="C765:G766"/>
    <mergeCell ref="C496:H496"/>
    <mergeCell ref="C497:H497"/>
    <mergeCell ref="C498:H498"/>
    <mergeCell ref="C499:H499"/>
    <mergeCell ref="C500:H500"/>
    <mergeCell ref="C507:H507"/>
    <mergeCell ref="C508:H508"/>
    <mergeCell ref="C509:H509"/>
    <mergeCell ref="C510:H510"/>
    <mergeCell ref="C506:H506"/>
    <mergeCell ref="C532:H532"/>
    <mergeCell ref="C533:H533"/>
    <mergeCell ref="C534:H534"/>
    <mergeCell ref="C535:H535"/>
    <mergeCell ref="C536:H536"/>
    <mergeCell ref="C537:H537"/>
    <mergeCell ref="C520:H520"/>
    <mergeCell ref="C511:H511"/>
    <mergeCell ref="C512:H512"/>
    <mergeCell ref="C513:H513"/>
    <mergeCell ref="C514:H514"/>
    <mergeCell ref="C501:H501"/>
    <mergeCell ref="C530:H530"/>
    <mergeCell ref="C519:H519"/>
    <mergeCell ref="C470:H470"/>
    <mergeCell ref="C471:H471"/>
    <mergeCell ref="C199:H199"/>
    <mergeCell ref="C242:H242"/>
    <mergeCell ref="C241:H241"/>
    <mergeCell ref="C442:H442"/>
    <mergeCell ref="C320:H320"/>
    <mergeCell ref="C271:H271"/>
    <mergeCell ref="G205:J205"/>
    <mergeCell ref="G239:J239"/>
    <mergeCell ref="G252:J252"/>
    <mergeCell ref="G265:J265"/>
    <mergeCell ref="G280:J280"/>
    <mergeCell ref="C433:H433"/>
    <mergeCell ref="C227:H227"/>
    <mergeCell ref="C218:H218"/>
    <mergeCell ref="C234:H234"/>
    <mergeCell ref="C447:H447"/>
    <mergeCell ref="C452:H452"/>
    <mergeCell ref="C451:H451"/>
    <mergeCell ref="C450:H450"/>
    <mergeCell ref="C413:H413"/>
    <mergeCell ref="C391:H391"/>
    <mergeCell ref="C208:H208"/>
    <mergeCell ref="C209:H209"/>
    <mergeCell ref="C214:H214"/>
    <mergeCell ref="C215:H215"/>
    <mergeCell ref="C293:H293"/>
    <mergeCell ref="C301:H301"/>
    <mergeCell ref="C346:H346"/>
    <mergeCell ref="C332:H332"/>
    <mergeCell ref="C222:H222"/>
    <mergeCell ref="C483:H483"/>
    <mergeCell ref="C348:H348"/>
    <mergeCell ref="G467:H467"/>
    <mergeCell ref="I467:K467"/>
    <mergeCell ref="K232:L232"/>
    <mergeCell ref="K239:L239"/>
    <mergeCell ref="C458:H458"/>
    <mergeCell ref="C236:H236"/>
    <mergeCell ref="C244:H244"/>
    <mergeCell ref="C307:H307"/>
    <mergeCell ref="C201:H201"/>
    <mergeCell ref="C202:H202"/>
    <mergeCell ref="C268:H268"/>
    <mergeCell ref="K425:L425"/>
    <mergeCell ref="C574:H574"/>
    <mergeCell ref="C575:H575"/>
    <mergeCell ref="C353:H353"/>
    <mergeCell ref="C354:H354"/>
    <mergeCell ref="C366:H366"/>
    <mergeCell ref="G359:J359"/>
    <mergeCell ref="C357:H357"/>
    <mergeCell ref="C340:H340"/>
    <mergeCell ref="C343:H343"/>
    <mergeCell ref="C344:H344"/>
    <mergeCell ref="C345:H345"/>
    <mergeCell ref="C347:H347"/>
    <mergeCell ref="C355:H355"/>
    <mergeCell ref="C367:H367"/>
    <mergeCell ref="C372:H372"/>
    <mergeCell ref="C454:H454"/>
    <mergeCell ref="C349:H349"/>
    <mergeCell ref="C473:H473"/>
    <mergeCell ref="K516:L516"/>
    <mergeCell ref="C518:H518"/>
    <mergeCell ref="C521:H521"/>
    <mergeCell ref="C523:H523"/>
    <mergeCell ref="C302:H302"/>
    <mergeCell ref="C303:H303"/>
    <mergeCell ref="C462:H462"/>
    <mergeCell ref="C463:H463"/>
    <mergeCell ref="C228:H228"/>
    <mergeCell ref="C237:H237"/>
    <mergeCell ref="G232:J232"/>
    <mergeCell ref="C229:H229"/>
    <mergeCell ref="C230:H230"/>
    <mergeCell ref="C318:H318"/>
    <mergeCell ref="C309:H309"/>
    <mergeCell ref="C310:H310"/>
    <mergeCell ref="C311:H311"/>
    <mergeCell ref="C317:H317"/>
    <mergeCell ref="G279:H279"/>
    <mergeCell ref="D279:E279"/>
    <mergeCell ref="I279:K279"/>
    <mergeCell ref="C235:H235"/>
    <mergeCell ref="C294:H294"/>
    <mergeCell ref="C262:H262"/>
    <mergeCell ref="C274:H274"/>
    <mergeCell ref="K503:L503"/>
    <mergeCell ref="C505:H505"/>
    <mergeCell ref="C488:H488"/>
    <mergeCell ref="C495:H495"/>
    <mergeCell ref="K326:L326"/>
    <mergeCell ref="K468:L468"/>
    <mergeCell ref="C487:H487"/>
    <mergeCell ref="C489:H489"/>
    <mergeCell ref="C490:H490"/>
    <mergeCell ref="C491:H491"/>
    <mergeCell ref="C466:H466"/>
    <mergeCell ref="C472:H472"/>
    <mergeCell ref="C459:H459"/>
    <mergeCell ref="K338:L338"/>
    <mergeCell ref="C362:H362"/>
    <mergeCell ref="C449:H449"/>
    <mergeCell ref="C448:H448"/>
    <mergeCell ref="C443:H443"/>
    <mergeCell ref="C474:H474"/>
    <mergeCell ref="C363:H363"/>
    <mergeCell ref="C365:H365"/>
    <mergeCell ref="C379:H379"/>
    <mergeCell ref="C410:H410"/>
    <mergeCell ref="C411:H411"/>
    <mergeCell ref="C412:H412"/>
    <mergeCell ref="C384:H384"/>
    <mergeCell ref="C383:H383"/>
    <mergeCell ref="C436:H436"/>
    <mergeCell ref="C428:H428"/>
    <mergeCell ref="C399:H399"/>
    <mergeCell ref="C460:H460"/>
    <mergeCell ref="C461:H461"/>
    <mergeCell ref="K480:L480"/>
    <mergeCell ref="C482:H482"/>
    <mergeCell ref="C485:H485"/>
    <mergeCell ref="C486:H486"/>
    <mergeCell ref="C398:H398"/>
    <mergeCell ref="C484:H484"/>
    <mergeCell ref="C374:H374"/>
    <mergeCell ref="C385:H385"/>
    <mergeCell ref="C386:H386"/>
    <mergeCell ref="C291:H291"/>
    <mergeCell ref="C191:H191"/>
    <mergeCell ref="C192:H192"/>
    <mergeCell ref="C176:H176"/>
    <mergeCell ref="C175:H175"/>
    <mergeCell ref="C210:H210"/>
    <mergeCell ref="C160:H160"/>
    <mergeCell ref="C197:H197"/>
    <mergeCell ref="C198:H198"/>
    <mergeCell ref="I180:K180"/>
    <mergeCell ref="K212:L212"/>
    <mergeCell ref="C216:H216"/>
    <mergeCell ref="K205:L205"/>
    <mergeCell ref="C207:H207"/>
    <mergeCell ref="C148:H148"/>
    <mergeCell ref="G181:J181"/>
    <mergeCell ref="G189:J189"/>
    <mergeCell ref="C186:H186"/>
    <mergeCell ref="K151:L151"/>
    <mergeCell ref="C243:H243"/>
    <mergeCell ref="C223:H223"/>
    <mergeCell ref="C224:H224"/>
    <mergeCell ref="C225:H225"/>
    <mergeCell ref="C226:H226"/>
    <mergeCell ref="C333:H333"/>
    <mergeCell ref="C256:H256"/>
    <mergeCell ref="C255:H255"/>
    <mergeCell ref="C322:H322"/>
    <mergeCell ref="C295:H295"/>
    <mergeCell ref="C321:H321"/>
    <mergeCell ref="C292:H292"/>
    <mergeCell ref="C297:H297"/>
    <mergeCell ref="G125:J125"/>
    <mergeCell ref="C118:H118"/>
    <mergeCell ref="G139:J139"/>
    <mergeCell ref="C134:H134"/>
    <mergeCell ref="C142:H142"/>
    <mergeCell ref="C144:H144"/>
    <mergeCell ref="C135:H135"/>
    <mergeCell ref="C155:H155"/>
    <mergeCell ref="C217:H217"/>
    <mergeCell ref="G289:J289"/>
    <mergeCell ref="C296:H296"/>
    <mergeCell ref="C270:H270"/>
    <mergeCell ref="C249:H249"/>
    <mergeCell ref="C263:H263"/>
    <mergeCell ref="C146:H146"/>
    <mergeCell ref="C115:H115"/>
    <mergeCell ref="G151:J151"/>
    <mergeCell ref="C154:H154"/>
    <mergeCell ref="C153:H153"/>
    <mergeCell ref="K139:L139"/>
    <mergeCell ref="C145:H145"/>
    <mergeCell ref="C132:H132"/>
    <mergeCell ref="C133:H133"/>
    <mergeCell ref="C128:H128"/>
    <mergeCell ref="C109:H109"/>
    <mergeCell ref="K220:L220"/>
    <mergeCell ref="C147:H147"/>
    <mergeCell ref="G162:J162"/>
    <mergeCell ref="C127:H127"/>
    <mergeCell ref="C129:H129"/>
    <mergeCell ref="G220:J220"/>
    <mergeCell ref="G212:J212"/>
    <mergeCell ref="K162:L162"/>
    <mergeCell ref="C167:H167"/>
    <mergeCell ref="K169:L169"/>
    <mergeCell ref="C158:H158"/>
    <mergeCell ref="C157:H157"/>
    <mergeCell ref="C193:H193"/>
    <mergeCell ref="C194:H194"/>
    <mergeCell ref="C166:H166"/>
    <mergeCell ref="C130:H130"/>
    <mergeCell ref="C131:H131"/>
    <mergeCell ref="L3:O3"/>
    <mergeCell ref="B7:O8"/>
    <mergeCell ref="M33:N33"/>
    <mergeCell ref="G3:H3"/>
    <mergeCell ref="C104:H104"/>
    <mergeCell ref="C141:H141"/>
    <mergeCell ref="K113:L113"/>
    <mergeCell ref="C136:H136"/>
    <mergeCell ref="C137:H137"/>
    <mergeCell ref="F47:M47"/>
    <mergeCell ref="F50:M50"/>
    <mergeCell ref="C200:H200"/>
    <mergeCell ref="C203:H203"/>
    <mergeCell ref="C74:H74"/>
    <mergeCell ref="C86:H86"/>
    <mergeCell ref="C95:H95"/>
    <mergeCell ref="C96:H96"/>
    <mergeCell ref="C102:H102"/>
    <mergeCell ref="C143:H143"/>
    <mergeCell ref="K100:L100"/>
    <mergeCell ref="G100:J100"/>
    <mergeCell ref="K88:L88"/>
    <mergeCell ref="C98:H98"/>
    <mergeCell ref="K189:L189"/>
    <mergeCell ref="K181:L181"/>
    <mergeCell ref="C187:H187"/>
    <mergeCell ref="C183:H183"/>
    <mergeCell ref="C184:H184"/>
    <mergeCell ref="C185:H185"/>
    <mergeCell ref="C179:H179"/>
    <mergeCell ref="L57:M57"/>
    <mergeCell ref="L58:M58"/>
    <mergeCell ref="B35:F35"/>
    <mergeCell ref="G35:H35"/>
    <mergeCell ref="B52:O54"/>
    <mergeCell ref="G55:L55"/>
    <mergeCell ref="K76:L76"/>
    <mergeCell ref="B66:O67"/>
    <mergeCell ref="C69:H69"/>
    <mergeCell ref="C70:H70"/>
    <mergeCell ref="F64:I64"/>
    <mergeCell ref="B64:C64"/>
    <mergeCell ref="C18:H18"/>
    <mergeCell ref="C19:H19"/>
    <mergeCell ref="C27:H28"/>
    <mergeCell ref="C22:H22"/>
    <mergeCell ref="G62:J62"/>
    <mergeCell ref="C23:H23"/>
    <mergeCell ref="C24:H24"/>
    <mergeCell ref="C25:H25"/>
    <mergeCell ref="C73:H73"/>
    <mergeCell ref="B44:O45"/>
    <mergeCell ref="C20:H20"/>
    <mergeCell ref="C21:H21"/>
    <mergeCell ref="C71:H71"/>
    <mergeCell ref="C72:H72"/>
    <mergeCell ref="L59:M59"/>
    <mergeCell ref="L60:M60"/>
    <mergeCell ref="L61:M61"/>
    <mergeCell ref="C61:K61"/>
    <mergeCell ref="C60:K60"/>
    <mergeCell ref="C92:H92"/>
    <mergeCell ref="C94:H94"/>
    <mergeCell ref="C91:H91"/>
    <mergeCell ref="C93:H93"/>
    <mergeCell ref="G113:J113"/>
    <mergeCell ref="C78:H78"/>
    <mergeCell ref="C79:H79"/>
    <mergeCell ref="C103:H103"/>
    <mergeCell ref="C245:H245"/>
    <mergeCell ref="C195:H195"/>
    <mergeCell ref="C196:H196"/>
    <mergeCell ref="C164:H164"/>
    <mergeCell ref="C159:H159"/>
    <mergeCell ref="G169:J169"/>
    <mergeCell ref="G180:H180"/>
    <mergeCell ref="C97:H97"/>
    <mergeCell ref="D37:O42"/>
    <mergeCell ref="C81:H81"/>
    <mergeCell ref="K125:L125"/>
    <mergeCell ref="C116:H116"/>
    <mergeCell ref="C117:H117"/>
    <mergeCell ref="C119:H119"/>
    <mergeCell ref="C156:H156"/>
    <mergeCell ref="C120:H120"/>
    <mergeCell ref="C122:H122"/>
    <mergeCell ref="C123:H123"/>
    <mergeCell ref="C105:H105"/>
    <mergeCell ref="C106:H106"/>
    <mergeCell ref="C107:H107"/>
    <mergeCell ref="C108:H108"/>
    <mergeCell ref="C110:H110"/>
    <mergeCell ref="C111:H111"/>
    <mergeCell ref="J3:K3"/>
    <mergeCell ref="B5:C5"/>
    <mergeCell ref="J5:K5"/>
    <mergeCell ref="C13:H13"/>
    <mergeCell ref="C14:H14"/>
    <mergeCell ref="C15:H15"/>
    <mergeCell ref="C16:H16"/>
    <mergeCell ref="C174:H174"/>
    <mergeCell ref="H33:L33"/>
    <mergeCell ref="C121:H121"/>
    <mergeCell ref="C171:H171"/>
    <mergeCell ref="C173:H173"/>
    <mergeCell ref="C172:H172"/>
    <mergeCell ref="C17:H17"/>
    <mergeCell ref="C80:H80"/>
    <mergeCell ref="C26:H26"/>
    <mergeCell ref="C29:H29"/>
    <mergeCell ref="C30:H30"/>
    <mergeCell ref="C149:H149"/>
    <mergeCell ref="C48:F48"/>
    <mergeCell ref="C46:J46"/>
    <mergeCell ref="L62:M62"/>
    <mergeCell ref="C57:K57"/>
    <mergeCell ref="C58:K58"/>
    <mergeCell ref="C59:K59"/>
    <mergeCell ref="C82:H82"/>
    <mergeCell ref="C83:H83"/>
    <mergeCell ref="C84:H84"/>
    <mergeCell ref="C85:H85"/>
    <mergeCell ref="G76:J76"/>
    <mergeCell ref="G88:J88"/>
    <mergeCell ref="C90:H90"/>
    <mergeCell ref="C12:H12"/>
    <mergeCell ref="C165:H165"/>
    <mergeCell ref="C3:D3"/>
    <mergeCell ref="L5:O5"/>
    <mergeCell ref="B37:C37"/>
    <mergeCell ref="C248:H248"/>
    <mergeCell ref="C246:H246"/>
    <mergeCell ref="C250:H250"/>
    <mergeCell ref="C254:H254"/>
    <mergeCell ref="K252:L252"/>
    <mergeCell ref="C272:H272"/>
    <mergeCell ref="C273:H273"/>
    <mergeCell ref="K265:L265"/>
    <mergeCell ref="C278:H278"/>
    <mergeCell ref="C247:H247"/>
    <mergeCell ref="C283:H283"/>
    <mergeCell ref="C287:H287"/>
    <mergeCell ref="C282:H282"/>
    <mergeCell ref="C178:H178"/>
    <mergeCell ref="C177:H177"/>
    <mergeCell ref="C269:H269"/>
    <mergeCell ref="C260:H260"/>
    <mergeCell ref="C261:H261"/>
    <mergeCell ref="C259:H259"/>
    <mergeCell ref="C258:H258"/>
    <mergeCell ref="C257:H257"/>
    <mergeCell ref="F286:G286"/>
    <mergeCell ref="C285:H285"/>
    <mergeCell ref="C275:H275"/>
    <mergeCell ref="C277:H277"/>
    <mergeCell ref="C276:H276"/>
    <mergeCell ref="C267:H267"/>
    <mergeCell ref="K381:L381"/>
    <mergeCell ref="K370:L370"/>
    <mergeCell ref="C378:H378"/>
    <mergeCell ref="C284:H284"/>
    <mergeCell ref="K289:L289"/>
    <mergeCell ref="K313:L313"/>
    <mergeCell ref="K280:L280"/>
    <mergeCell ref="C342:H342"/>
    <mergeCell ref="C334:H334"/>
    <mergeCell ref="C335:H335"/>
    <mergeCell ref="C331:H331"/>
    <mergeCell ref="C323:H323"/>
    <mergeCell ref="C304:H304"/>
    <mergeCell ref="C305:H305"/>
    <mergeCell ref="C306:H306"/>
    <mergeCell ref="C308:H308"/>
    <mergeCell ref="C336:H336"/>
    <mergeCell ref="C324:H324"/>
    <mergeCell ref="K351:L351"/>
    <mergeCell ref="C328:H328"/>
    <mergeCell ref="C341:H341"/>
    <mergeCell ref="C329:H329"/>
    <mergeCell ref="C319:H319"/>
    <mergeCell ref="C315:H315"/>
    <mergeCell ref="C316:H316"/>
    <mergeCell ref="K359:L359"/>
    <mergeCell ref="C364:H364"/>
    <mergeCell ref="C368:H368"/>
    <mergeCell ref="C361:H361"/>
    <mergeCell ref="K299:L299"/>
    <mergeCell ref="C356:H356"/>
    <mergeCell ref="K456:L456"/>
    <mergeCell ref="K445:L445"/>
    <mergeCell ref="C408:H408"/>
    <mergeCell ref="C409:H409"/>
    <mergeCell ref="C441:H441"/>
    <mergeCell ref="C395:H395"/>
    <mergeCell ref="G425:J425"/>
    <mergeCell ref="G416:J416"/>
    <mergeCell ref="G404:J404"/>
    <mergeCell ref="G393:J393"/>
    <mergeCell ref="C401:H401"/>
    <mergeCell ref="K393:L393"/>
    <mergeCell ref="C453:H453"/>
    <mergeCell ref="C407:H407"/>
    <mergeCell ref="C429:H429"/>
    <mergeCell ref="C396:H396"/>
    <mergeCell ref="C431:H431"/>
    <mergeCell ref="K416:L416"/>
    <mergeCell ref="C440:H440"/>
    <mergeCell ref="C439:H439"/>
    <mergeCell ref="C438:H438"/>
    <mergeCell ref="C437:H437"/>
    <mergeCell ref="C435:H435"/>
    <mergeCell ref="C434:H434"/>
    <mergeCell ref="C432:H432"/>
    <mergeCell ref="C430:H430"/>
    <mergeCell ref="C427:H427"/>
    <mergeCell ref="K404:L404"/>
    <mergeCell ref="C414:H414"/>
    <mergeCell ref="C400:H400"/>
    <mergeCell ref="C477:H477"/>
    <mergeCell ref="C885:G886"/>
    <mergeCell ref="C853:G854"/>
    <mergeCell ref="C849:G850"/>
    <mergeCell ref="C464:H464"/>
    <mergeCell ref="C768:G768"/>
    <mergeCell ref="D731:G731"/>
    <mergeCell ref="C769:G770"/>
    <mergeCell ref="C771:G772"/>
    <mergeCell ref="C808:G811"/>
    <mergeCell ref="C812:G814"/>
    <mergeCell ref="C819:G820"/>
    <mergeCell ref="C826:G827"/>
    <mergeCell ref="C882:G884"/>
    <mergeCell ref="D588:O593"/>
    <mergeCell ref="C689:G689"/>
    <mergeCell ref="C683:G683"/>
    <mergeCell ref="C679:G679"/>
    <mergeCell ref="C678:G678"/>
    <mergeCell ref="C681:G682"/>
    <mergeCell ref="C675:G677"/>
    <mergeCell ref="C673:G674"/>
    <mergeCell ref="C855:G856"/>
    <mergeCell ref="C478:H478"/>
    <mergeCell ref="K493:L493"/>
    <mergeCell ref="B586:F586"/>
    <mergeCell ref="C567:H567"/>
    <mergeCell ref="C573:H573"/>
    <mergeCell ref="C832:G832"/>
    <mergeCell ref="C860:G861"/>
    <mergeCell ref="C831:G831"/>
    <mergeCell ref="C576:H576"/>
    <mergeCell ref="C797:G798"/>
    <mergeCell ref="C806:G807"/>
    <mergeCell ref="C801:G804"/>
    <mergeCell ref="G326:J326"/>
    <mergeCell ref="C373:H373"/>
    <mergeCell ref="C375:H375"/>
    <mergeCell ref="C376:H376"/>
    <mergeCell ref="C377:H377"/>
    <mergeCell ref="C423:H423"/>
    <mergeCell ref="C387:H387"/>
    <mergeCell ref="C388:H388"/>
    <mergeCell ref="C389:H389"/>
    <mergeCell ref="C390:H390"/>
    <mergeCell ref="C422:H422"/>
    <mergeCell ref="C421:H421"/>
    <mergeCell ref="C420:H420"/>
    <mergeCell ref="C419:H419"/>
    <mergeCell ref="C418:H418"/>
    <mergeCell ref="C406:H406"/>
    <mergeCell ref="G381:J381"/>
    <mergeCell ref="C402:H402"/>
    <mergeCell ref="G351:J351"/>
    <mergeCell ref="G338:J338"/>
    <mergeCell ref="C650:G651"/>
    <mergeCell ref="C652:G653"/>
    <mergeCell ref="C788:G788"/>
    <mergeCell ref="C787:G787"/>
    <mergeCell ref="C781:G781"/>
    <mergeCell ref="C780:G780"/>
    <mergeCell ref="C568:H568"/>
    <mergeCell ref="C475:H475"/>
    <mergeCell ref="C476:H476"/>
    <mergeCell ref="C2999:G2999"/>
    <mergeCell ref="C857:G858"/>
    <mergeCell ref="F3081:H3081"/>
    <mergeCell ref="F3080:H3080"/>
    <mergeCell ref="F3079:H3079"/>
    <mergeCell ref="C829:G830"/>
    <mergeCell ref="C838:G839"/>
    <mergeCell ref="C840:G841"/>
    <mergeCell ref="C818:G818"/>
    <mergeCell ref="C842:G843"/>
    <mergeCell ref="C844:G845"/>
    <mergeCell ref="C846:G847"/>
    <mergeCell ref="C828:G828"/>
    <mergeCell ref="C825:G825"/>
    <mergeCell ref="C821:G821"/>
    <mergeCell ref="C836:G837"/>
    <mergeCell ref="C833:G833"/>
    <mergeCell ref="C823:G824"/>
    <mergeCell ref="C963:G964"/>
    <mergeCell ref="C926:G927"/>
    <mergeCell ref="C862:G863"/>
    <mergeCell ref="C866:G867"/>
    <mergeCell ref="C869:G870"/>
    <mergeCell ref="C874:G875"/>
    <mergeCell ref="C876:G877"/>
    <mergeCell ref="C3044:G3044"/>
    <mergeCell ref="C852:G852"/>
    <mergeCell ref="C851:G851"/>
    <mergeCell ref="C834:G834"/>
    <mergeCell ref="C3039:G3040"/>
    <mergeCell ref="C3041:G3043"/>
    <mergeCell ref="C1020:G1023"/>
    <mergeCell ref="C2006:G2006"/>
    <mergeCell ref="C1079:G1081"/>
    <mergeCell ref="C1297:G1298"/>
    <mergeCell ref="C1293:G1294"/>
    <mergeCell ref="C1287:G1288"/>
    <mergeCell ref="C1283:G1284"/>
    <mergeCell ref="C1120:G1121"/>
    <mergeCell ref="F1097:H1097"/>
    <mergeCell ref="C1098:G1100"/>
    <mergeCell ref="C1101:G1102"/>
    <mergeCell ref="C1103:G1104"/>
    <mergeCell ref="C1105:G1106"/>
    <mergeCell ref="C1107:G1108"/>
    <mergeCell ref="C1109:G1109"/>
    <mergeCell ref="F1110:H1110"/>
    <mergeCell ref="C1236:G1236"/>
    <mergeCell ref="C1237:G1237"/>
    <mergeCell ref="C1263:G1264"/>
    <mergeCell ref="C1267:G1268"/>
    <mergeCell ref="C1269:G1269"/>
    <mergeCell ref="C1289:G1290"/>
    <mergeCell ref="C1220:G1221"/>
    <mergeCell ref="C1222:G1222"/>
    <mergeCell ref="C1232:G1232"/>
    <mergeCell ref="C1233:G1234"/>
    <mergeCell ref="C1274:G1277"/>
    <mergeCell ref="C1285:G1285"/>
    <mergeCell ref="C1286:G1286"/>
    <mergeCell ref="C1244:G1244"/>
    <mergeCell ref="C1247:G1249"/>
    <mergeCell ref="C1250:G1250"/>
    <mergeCell ref="F1270:H1270"/>
    <mergeCell ref="C898:G898"/>
    <mergeCell ref="C897:G897"/>
    <mergeCell ref="C887:G887"/>
    <mergeCell ref="C881:G881"/>
    <mergeCell ref="C868:G868"/>
    <mergeCell ref="C865:G865"/>
    <mergeCell ref="C864:G864"/>
    <mergeCell ref="C1011:G1011"/>
    <mergeCell ref="C1012:G1013"/>
    <mergeCell ref="F1014:H1014"/>
    <mergeCell ref="C1017:G1018"/>
    <mergeCell ref="F1019:H1019"/>
    <mergeCell ref="C1031:G1031"/>
    <mergeCell ref="C1024:G1027"/>
    <mergeCell ref="C1062:G1063"/>
    <mergeCell ref="C1044:G1044"/>
    <mergeCell ref="F1046:H1046"/>
    <mergeCell ref="F1051:H1051"/>
    <mergeCell ref="C1049:G1050"/>
    <mergeCell ref="C1002:G1003"/>
    <mergeCell ref="C1008:G1010"/>
    <mergeCell ref="C1006:G1007"/>
    <mergeCell ref="C1004:G1005"/>
    <mergeCell ref="C907:G907"/>
    <mergeCell ref="F1015:H1015"/>
    <mergeCell ref="C989:G989"/>
    <mergeCell ref="C983:G984"/>
    <mergeCell ref="C1000:G1000"/>
    <mergeCell ref="C1042:G1043"/>
    <mergeCell ref="C1037:G1039"/>
    <mergeCell ref="C985:G987"/>
    <mergeCell ref="C1033:G1036"/>
    <mergeCell ref="F3127:H3127"/>
    <mergeCell ref="F3128:H3128"/>
    <mergeCell ref="F3212:H3212"/>
    <mergeCell ref="G3211:H3211"/>
    <mergeCell ref="C3101:G3102"/>
    <mergeCell ref="C3106:G3107"/>
    <mergeCell ref="C3111:G3111"/>
    <mergeCell ref="C3109:G3110"/>
    <mergeCell ref="C3116:G3116"/>
    <mergeCell ref="C3114:G3115"/>
    <mergeCell ref="C3121:G3121"/>
    <mergeCell ref="C3119:G3120"/>
    <mergeCell ref="C3126:G3126"/>
    <mergeCell ref="C3085:G3085"/>
    <mergeCell ref="C3171:G3172"/>
    <mergeCell ref="D3193:G3193"/>
    <mergeCell ref="C3092:G3092"/>
    <mergeCell ref="C3103:G3103"/>
    <mergeCell ref="C3170:G3170"/>
    <mergeCell ref="C3168:G3169"/>
    <mergeCell ref="C3162:G3163"/>
    <mergeCell ref="C3183:G3184"/>
    <mergeCell ref="C3192:G3192"/>
    <mergeCell ref="C3096:G3097"/>
    <mergeCell ref="F3108:H3108"/>
    <mergeCell ref="F3112:H3112"/>
    <mergeCell ref="F3113:H3113"/>
    <mergeCell ref="F3117:H3117"/>
    <mergeCell ref="C3164:G3165"/>
    <mergeCell ref="C3175:G3175"/>
    <mergeCell ref="C3173:G3174"/>
    <mergeCell ref="C3139:G3139"/>
    <mergeCell ref="C3010:G3010"/>
    <mergeCell ref="F3057:H3057"/>
    <mergeCell ref="F3118:H3118"/>
    <mergeCell ref="F3122:H3122"/>
    <mergeCell ref="F3123:H3123"/>
    <mergeCell ref="F3020:H3020"/>
    <mergeCell ref="C1055:G1055"/>
    <mergeCell ref="F2007:H2007"/>
    <mergeCell ref="C1157:G1162"/>
    <mergeCell ref="C1137:G1137"/>
    <mergeCell ref="C1129:G1129"/>
    <mergeCell ref="C1127:G1127"/>
    <mergeCell ref="C1325:G1325"/>
    <mergeCell ref="C3058:G3058"/>
    <mergeCell ref="C3059:G3059"/>
    <mergeCell ref="C1281:G1282"/>
    <mergeCell ref="C1195:G1196"/>
    <mergeCell ref="F1197:H1197"/>
    <mergeCell ref="F1198:H1198"/>
    <mergeCell ref="F1199:H1199"/>
    <mergeCell ref="F3046:H3046"/>
    <mergeCell ref="C3075:G3076"/>
    <mergeCell ref="F3100:H3100"/>
    <mergeCell ref="F3104:H3104"/>
    <mergeCell ref="E3105:H3105"/>
    <mergeCell ref="C1096:G1096"/>
    <mergeCell ref="C1071:G1072"/>
    <mergeCell ref="C1073:G1074"/>
    <mergeCell ref="C2036:D2036"/>
    <mergeCell ref="C2038:G2038"/>
    <mergeCell ref="C2037:G2037"/>
    <mergeCell ref="C2004:G2005"/>
    <mergeCell ref="C1082:G1082"/>
    <mergeCell ref="F1083:H1083"/>
    <mergeCell ref="C1084:G1086"/>
    <mergeCell ref="C1087:G1088"/>
    <mergeCell ref="C1089:G1091"/>
    <mergeCell ref="C1092:G1093"/>
    <mergeCell ref="C1094:G1095"/>
    <mergeCell ref="C565:H565"/>
    <mergeCell ref="C566:H566"/>
    <mergeCell ref="C570:H570"/>
    <mergeCell ref="F3062:H3062"/>
    <mergeCell ref="F3074:H3074"/>
    <mergeCell ref="C3060:G3060"/>
    <mergeCell ref="F3061:H3061"/>
    <mergeCell ref="C3066:G3067"/>
    <mergeCell ref="C3069:G3070"/>
    <mergeCell ref="C959:G960"/>
    <mergeCell ref="C3013:G3014"/>
    <mergeCell ref="F3015:H3015"/>
    <mergeCell ref="F3016:H3016"/>
    <mergeCell ref="C3017:G3018"/>
    <mergeCell ref="C3019:G3019"/>
    <mergeCell ref="C3021:G3022"/>
    <mergeCell ref="C3024:G3024"/>
    <mergeCell ref="C3025:G3025"/>
    <mergeCell ref="F3026:H3026"/>
    <mergeCell ref="F3027:H3027"/>
    <mergeCell ref="F1032:H1032"/>
    <mergeCell ref="F1045:H1045"/>
    <mergeCell ref="C1040:G1041"/>
    <mergeCell ref="C1052:G1054"/>
    <mergeCell ref="C3011:G3011"/>
    <mergeCell ref="F3038:H3038"/>
    <mergeCell ref="F3045:H3045"/>
    <mergeCell ref="C3051:G3051"/>
    <mergeCell ref="F3073:H3073"/>
    <mergeCell ref="F3053:H3053"/>
    <mergeCell ref="F3138:H3138"/>
    <mergeCell ref="C3012:G3012"/>
    <mergeCell ref="C572:H572"/>
    <mergeCell ref="C3176:G3177"/>
    <mergeCell ref="C3178:G3179"/>
    <mergeCell ref="C3180:G3181"/>
    <mergeCell ref="C3131:G3131"/>
    <mergeCell ref="D3132:G3132"/>
    <mergeCell ref="D3133:G3133"/>
    <mergeCell ref="C3134:G3136"/>
    <mergeCell ref="C3137:G3137"/>
    <mergeCell ref="F3047:H3047"/>
    <mergeCell ref="C3049:G3049"/>
    <mergeCell ref="C3050:G3050"/>
    <mergeCell ref="F3048:H3048"/>
    <mergeCell ref="C3140:G3143"/>
    <mergeCell ref="C620:G622"/>
    <mergeCell ref="C947:G947"/>
    <mergeCell ref="C3124:G3125"/>
    <mergeCell ref="C3130:G3130"/>
    <mergeCell ref="C3086:G3088"/>
    <mergeCell ref="F3089:H3089"/>
    <mergeCell ref="C2995:G2996"/>
    <mergeCell ref="F3055:H3055"/>
    <mergeCell ref="F3054:H3054"/>
    <mergeCell ref="C1064:G1064"/>
    <mergeCell ref="C1028:G1030"/>
    <mergeCell ref="C1048:G1048"/>
    <mergeCell ref="C1056:G1056"/>
    <mergeCell ref="C571:H571"/>
    <mergeCell ref="C577:H577"/>
    <mergeCell ref="C578:H578"/>
    <mergeCell ref="C955:G956"/>
    <mergeCell ref="C957:G958"/>
    <mergeCell ref="C579:H579"/>
    <mergeCell ref="C580:H580"/>
    <mergeCell ref="C581:H581"/>
    <mergeCell ref="K583:L583"/>
    <mergeCell ref="G3476:H3476"/>
    <mergeCell ref="E3476:F3476"/>
    <mergeCell ref="G299:J299"/>
    <mergeCell ref="C330:H330"/>
    <mergeCell ref="G370:J370"/>
    <mergeCell ref="G313:J313"/>
    <mergeCell ref="C961:G962"/>
    <mergeCell ref="D3064:H3064"/>
    <mergeCell ref="D3063:H3063"/>
    <mergeCell ref="C3194:G3194"/>
    <mergeCell ref="D3195:G3195"/>
    <mergeCell ref="D3196:G3197"/>
    <mergeCell ref="F3095:H3095"/>
    <mergeCell ref="F3098:H3098"/>
    <mergeCell ref="F3099:H3099"/>
    <mergeCell ref="D587:H587"/>
    <mergeCell ref="C816:G817"/>
    <mergeCell ref="C719:G720"/>
    <mergeCell ref="E3475:F3475"/>
    <mergeCell ref="G3475:H3475"/>
    <mergeCell ref="C3144:G3144"/>
  </mergeCells>
  <conditionalFormatting sqref="B12:O30 B69:O73 B78:O86 B90:O97 B102:O108 B115:O122 B127:O127 B141:O145 B153:O158 B171:O178 B183:O186 B191:O202 B207:O209 B214:O217 B222:O229 B234:O236 B241:O249 B254:O259 B267:O268 B282:O286 B291:O296 B301:O306 B315:O323 B328:O328 B340:O345 B353:O356 B361:O367 B372:O373 B383:O390 B395:O398 B406:O413 B418:O422 B427:O428 B56:O62 I431:O431 B429:C429 I429:O429 B399:C399 I399:O399 B374:C374 I374:O374 B346:C346 I346:O346 B332:C332 I332:O332 B329:C329 I329:O329 B307:C307 I307:O307 B269:C269 I269:O269 B260:C260 I260:O260 B166:C166 I166:O166 B164:C164 I164:O164 B159:C159 I159:O159 B146:C146 I146:O146 B128:C128 I128:O128 B109:C109 I109:O109 B74:L74 B110:O110 B129:O136 B147:O148 B160:L160 B165:O165 B167:L167 B261:O262 B270:O277 B308:O310 B330:O331 B333:O335 B347:O348 B375:O378 C430:O430 N74:O74 B98:L98 B111:L111 B123:L123 B137:L137 B149:L149 B179:L179 B187:L187 B203:L203 B210:L210 B218:L218 B230:L230 B237:L237 B250:L250 B263:L263 B278:L278 B287:L287 B297:L297 B311:L311 B324:L324 B336:L336 B349:L349 B357:L357 B368:L368 B379:L379 B391:L391 B402:L402 B414:L414 B423:L423 C447:H452 I458:O465 I470:O477 I482:O490 I495:O500 I505:O513 C518:H518 I530:O536 C541:H544 I552:O559 B3455:P3463 C545 C522 C519 I447:O453 C453 C520:H521 I518:O525 I541:O547 B3444:O3444 I466:L466 B458:H466 I478:L478 B470:H478 I491:L491 B482:H491 I501:L501 I514:L514 B505:H514 B518:B526 I526:L526 C523:H526 I537:L537 B530:H537 B541:B548 I548:L548 C546:H548 I560:L560 B552:H560 C431 C432:O442 B443:L443 B430:B441 C595:C599 L595:M599 B3450:O3450 B3445:C3449 L3445:O3449 B447:B453 B454:L454 B400:O401 B495:H501">
    <cfRule type="expression" dxfId="48" priority="96">
      <formula>MOD(ROW(),2)=0</formula>
    </cfRule>
  </conditionalFormatting>
  <conditionalFormatting sqref="N1:O1">
    <cfRule type="cellIs" dxfId="47" priority="44" stopIfTrue="1" operator="between">
      <formula>0</formula>
      <formula>0.84</formula>
    </cfRule>
    <cfRule type="cellIs" dxfId="46" priority="45" stopIfTrue="1" operator="between">
      <formula>0.85</formula>
      <formula>0.94</formula>
    </cfRule>
    <cfRule type="cellIs" dxfId="45" priority="46" stopIfTrue="1" operator="between">
      <formula>0.95</formula>
      <formula>1</formula>
    </cfRule>
  </conditionalFormatting>
  <conditionalFormatting sqref="M98:O98">
    <cfRule type="expression" dxfId="44" priority="43">
      <formula>MOD(ROW(),2)=0</formula>
    </cfRule>
  </conditionalFormatting>
  <conditionalFormatting sqref="M111:O111">
    <cfRule type="expression" dxfId="43" priority="42">
      <formula>MOD(ROW(),2)=0</formula>
    </cfRule>
  </conditionalFormatting>
  <conditionalFormatting sqref="M123:O123">
    <cfRule type="expression" dxfId="42" priority="41">
      <formula>MOD(ROW(),2)=0</formula>
    </cfRule>
  </conditionalFormatting>
  <conditionalFormatting sqref="M137:O137">
    <cfRule type="expression" dxfId="41" priority="40">
      <formula>MOD(ROW(),2)=0</formula>
    </cfRule>
  </conditionalFormatting>
  <conditionalFormatting sqref="M149:O149">
    <cfRule type="expression" dxfId="40" priority="39">
      <formula>MOD(ROW(),2)=0</formula>
    </cfRule>
  </conditionalFormatting>
  <conditionalFormatting sqref="M160:O160">
    <cfRule type="expression" dxfId="39" priority="38">
      <formula>MOD(ROW(),2)=0</formula>
    </cfRule>
  </conditionalFormatting>
  <conditionalFormatting sqref="M167:O167">
    <cfRule type="expression" dxfId="38" priority="37">
      <formula>MOD(ROW(),2)=0</formula>
    </cfRule>
  </conditionalFormatting>
  <conditionalFormatting sqref="M179:O179">
    <cfRule type="expression" dxfId="37" priority="36">
      <formula>MOD(ROW(),2)=0</formula>
    </cfRule>
  </conditionalFormatting>
  <conditionalFormatting sqref="M187:O187">
    <cfRule type="expression" dxfId="36" priority="35">
      <formula>MOD(ROW(),2)=0</formula>
    </cfRule>
  </conditionalFormatting>
  <conditionalFormatting sqref="M203:O203">
    <cfRule type="expression" dxfId="35" priority="34">
      <formula>MOD(ROW(),2)=0</formula>
    </cfRule>
  </conditionalFormatting>
  <conditionalFormatting sqref="M210:O210">
    <cfRule type="expression" dxfId="34" priority="33">
      <formula>MOD(ROW(),2)=0</formula>
    </cfRule>
  </conditionalFormatting>
  <conditionalFormatting sqref="M218:O218">
    <cfRule type="expression" dxfId="33" priority="32">
      <formula>MOD(ROW(),2)=0</formula>
    </cfRule>
  </conditionalFormatting>
  <conditionalFormatting sqref="M230:O230">
    <cfRule type="expression" dxfId="32" priority="31">
      <formula>MOD(ROW(),2)=0</formula>
    </cfRule>
  </conditionalFormatting>
  <conditionalFormatting sqref="M237:O237">
    <cfRule type="expression" dxfId="31" priority="30">
      <formula>MOD(ROW(),2)=0</formula>
    </cfRule>
  </conditionalFormatting>
  <conditionalFormatting sqref="M250:O250">
    <cfRule type="expression" dxfId="30" priority="29">
      <formula>MOD(ROW(),2)=0</formula>
    </cfRule>
  </conditionalFormatting>
  <conditionalFormatting sqref="M263:O263">
    <cfRule type="expression" dxfId="29" priority="28">
      <formula>MOD(ROW(),2)=0</formula>
    </cfRule>
  </conditionalFormatting>
  <conditionalFormatting sqref="M278:O278">
    <cfRule type="expression" dxfId="28" priority="27">
      <formula>MOD(ROW(),2)=0</formula>
    </cfRule>
  </conditionalFormatting>
  <conditionalFormatting sqref="M287:O287">
    <cfRule type="expression" dxfId="27" priority="26">
      <formula>MOD(ROW(),2)=0</formula>
    </cfRule>
  </conditionalFormatting>
  <conditionalFormatting sqref="M297:O297">
    <cfRule type="expression" dxfId="26" priority="25">
      <formula>MOD(ROW(),2)=0</formula>
    </cfRule>
  </conditionalFormatting>
  <conditionalFormatting sqref="M311:O311">
    <cfRule type="expression" dxfId="25" priority="24">
      <formula>MOD(ROW(),2)=0</formula>
    </cfRule>
  </conditionalFormatting>
  <conditionalFormatting sqref="M324:O324">
    <cfRule type="expression" dxfId="24" priority="23">
      <formula>MOD(ROW(),2)=0</formula>
    </cfRule>
  </conditionalFormatting>
  <conditionalFormatting sqref="M336:O336">
    <cfRule type="expression" dxfId="23" priority="22">
      <formula>MOD(ROW(),2)=0</formula>
    </cfRule>
  </conditionalFormatting>
  <conditionalFormatting sqref="M349:O349">
    <cfRule type="expression" dxfId="22" priority="21">
      <formula>MOD(ROW(),2)=0</formula>
    </cfRule>
  </conditionalFormatting>
  <conditionalFormatting sqref="M357:O357">
    <cfRule type="expression" dxfId="21" priority="20">
      <formula>MOD(ROW(),2)=0</formula>
    </cfRule>
  </conditionalFormatting>
  <conditionalFormatting sqref="M368:O368">
    <cfRule type="expression" dxfId="20" priority="19">
      <formula>MOD(ROW(),2)=0</formula>
    </cfRule>
  </conditionalFormatting>
  <conditionalFormatting sqref="M379:O379">
    <cfRule type="expression" dxfId="19" priority="18">
      <formula>MOD(ROW(),2)=0</formula>
    </cfRule>
  </conditionalFormatting>
  <conditionalFormatting sqref="M391:O391">
    <cfRule type="expression" dxfId="18" priority="17">
      <formula>MOD(ROW(),2)=0</formula>
    </cfRule>
  </conditionalFormatting>
  <conditionalFormatting sqref="M402:O402">
    <cfRule type="expression" dxfId="17" priority="16">
      <formula>MOD(ROW(),2)=0</formula>
    </cfRule>
  </conditionalFormatting>
  <conditionalFormatting sqref="M414:O414">
    <cfRule type="expression" dxfId="16" priority="15">
      <formula>MOD(ROW(),2)=0</formula>
    </cfRule>
  </conditionalFormatting>
  <conditionalFormatting sqref="M423:O423">
    <cfRule type="expression" dxfId="15" priority="14">
      <formula>MOD(ROW(),2)=0</formula>
    </cfRule>
  </conditionalFormatting>
  <conditionalFormatting sqref="M443:O443">
    <cfRule type="expression" dxfId="14" priority="13">
      <formula>MOD(ROW(),2)=0</formula>
    </cfRule>
  </conditionalFormatting>
  <conditionalFormatting sqref="M454:O454">
    <cfRule type="expression" dxfId="13" priority="12">
      <formula>MOD(ROW(),2)=0</formula>
    </cfRule>
  </conditionalFormatting>
  <conditionalFormatting sqref="M466:O466">
    <cfRule type="expression" dxfId="12" priority="11">
      <formula>MOD(ROW(),2)=0</formula>
    </cfRule>
  </conditionalFormatting>
  <conditionalFormatting sqref="M478:O478">
    <cfRule type="expression" dxfId="11" priority="10">
      <formula>MOD(ROW(),2)=0</formula>
    </cfRule>
  </conditionalFormatting>
  <conditionalFormatting sqref="M491:O491">
    <cfRule type="expression" dxfId="10" priority="9">
      <formula>MOD(ROW(),2)=0</formula>
    </cfRule>
  </conditionalFormatting>
  <conditionalFormatting sqref="M501:O501">
    <cfRule type="expression" dxfId="9" priority="8">
      <formula>MOD(ROW(),2)=0</formula>
    </cfRule>
  </conditionalFormatting>
  <conditionalFormatting sqref="M514:O514">
    <cfRule type="expression" dxfId="8" priority="7">
      <formula>MOD(ROW(),2)=0</formula>
    </cfRule>
  </conditionalFormatting>
  <conditionalFormatting sqref="M526:O526">
    <cfRule type="expression" dxfId="7" priority="6">
      <formula>MOD(ROW(),2)=0</formula>
    </cfRule>
  </conditionalFormatting>
  <conditionalFormatting sqref="M537:O537">
    <cfRule type="expression" dxfId="6" priority="5">
      <formula>MOD(ROW(),2)=0</formula>
    </cfRule>
  </conditionalFormatting>
  <conditionalFormatting sqref="M548:O548">
    <cfRule type="expression" dxfId="5" priority="4">
      <formula>MOD(ROW(),2)=0</formula>
    </cfRule>
  </conditionalFormatting>
  <conditionalFormatting sqref="M560:O560">
    <cfRule type="expression" dxfId="4" priority="3">
      <formula>MOD(ROW(),2)=0</formula>
    </cfRule>
  </conditionalFormatting>
  <conditionalFormatting sqref="M581:O581">
    <cfRule type="expression" dxfId="3" priority="1">
      <formula>MOD(ROW(),2)=0</formula>
    </cfRule>
  </conditionalFormatting>
  <conditionalFormatting sqref="B564:O565 I569:O569 B566:C566 I566:O567 C568:O568 C569 C570:O574 C581:L581 C567 B567:B581 C576:O580 I575:O575">
    <cfRule type="expression" dxfId="2" priority="2">
      <formula>MOD(ROW(),2)=0</formula>
    </cfRule>
  </conditionalFormatting>
  <dataValidations count="6">
    <dataValidation type="list" showInputMessage="1" showErrorMessage="1" sqref="H5" xr:uid="{00000000-0002-0000-0100-000000000000}">
      <formula1>DataTimeType</formula1>
    </dataValidation>
    <dataValidation type="list" showInputMessage="1" showErrorMessage="1" sqref="L3:O3" xr:uid="{00000000-0002-0000-0100-000001000000}">
      <formula1>DataPhoneType</formula1>
    </dataValidation>
    <dataValidation type="list" showInputMessage="1" showErrorMessage="1" sqref="D5" xr:uid="{00000000-0002-0000-0100-000002000000}">
      <formula1>DataEmployeeList</formula1>
    </dataValidation>
    <dataValidation type="list" showInputMessage="1" showErrorMessage="1" sqref="L5:O5" xr:uid="{00000000-0002-0000-0100-000003000000}">
      <formula1>DataEMDCaller</formula1>
    </dataValidation>
    <dataValidation type="list" showInputMessage="1" showErrorMessage="1" sqref="F47:M47 F50:M50" xr:uid="{00000000-0002-0000-0100-000004000000}">
      <formula1>DataEMDNatureCode</formula1>
    </dataValidation>
    <dataValidation showInputMessage="1" showErrorMessage="1" sqref="M86 K468:L468 M98 M111 M123 K162:L162 K151:L151 K169:L169 K181:L181 K189:L189 K205:L205 K212:L212 K220:L220 K232:L232 K239:L239 K252:L252 K265:L265 K280:L280 K289:L289 K299:L299 K313:L313 K326:L326 K351:L351 K359:L359 K370:L370 K381:L381 K393:L393 K404:L404 K416:L416 K425:L425 K445:L445 K338:L338 K113:L113 K456:L456 K480:L480 K493:L493 K503:L503 K516:L516 K528:L528 K539:L539 K550:L550 K76:L76 L77:M77 K88:L88 L89:M89 L101:M101 K100 K125:L125 K139:L139 L140:M140 H286 M560 M137 M149 M160 M167 M179 M187 M203 M210 M218 M230 M237 M250 M263 M278 M287 M297 M311 M324 M336 M349 M357 M368 M379 M391 M402 M414 M423 M443 M454 M466 M478 M491 M501 M514 M526 M537 M548 K562:L563 K583:L584 M581" xr:uid="{00000000-0002-0000-0100-000005000000}"/>
  </dataValidations>
  <pageMargins left="0.25" right="0.25" top="0.75" bottom="0.75" header="0.3" footer="0.3"/>
  <pageSetup orientation="portrait" r:id="rId1"/>
  <headerFooter>
    <oddHeader>&amp;C&amp;"-,Bold"&amp;16EMD Quality Assurance Form</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49" r:id="rId4" name="Check Box 29">
              <controlPr defaultSize="0" autoFill="0" autoLine="0" autoPict="0">
                <anchor moveWithCells="1">
                  <from>
                    <xdr:col>0</xdr:col>
                    <xdr:colOff>0</xdr:colOff>
                    <xdr:row>34</xdr:row>
                    <xdr:rowOff>12700</xdr:rowOff>
                  </from>
                  <to>
                    <xdr:col>0</xdr:col>
                    <xdr:colOff>12700</xdr:colOff>
                    <xdr:row>35</xdr:row>
                    <xdr:rowOff>12700</xdr:rowOff>
                  </to>
                </anchor>
              </controlPr>
            </control>
          </mc:Choice>
        </mc:AlternateContent>
        <mc:AlternateContent xmlns:mc="http://schemas.openxmlformats.org/markup-compatibility/2006">
          <mc:Choice Requires="x14">
            <control shapeId="5158" r:id="rId5" name="Check Box 38">
              <controlPr defaultSize="0" autoFill="0" autoLine="0" autoPict="0">
                <anchor moveWithCells="1">
                  <from>
                    <xdr:col>0</xdr:col>
                    <xdr:colOff>0</xdr:colOff>
                    <xdr:row>3433</xdr:row>
                    <xdr:rowOff>0</xdr:rowOff>
                  </from>
                  <to>
                    <xdr:col>0</xdr:col>
                    <xdr:colOff>12700</xdr:colOff>
                    <xdr:row>3433</xdr:row>
                    <xdr:rowOff>0</xdr:rowOff>
                  </to>
                </anchor>
              </controlPr>
            </control>
          </mc:Choice>
        </mc:AlternateContent>
        <mc:AlternateContent xmlns:mc="http://schemas.openxmlformats.org/markup-compatibility/2006">
          <mc:Choice Requires="x14">
            <control shapeId="5159" r:id="rId6" name="Check Box 39">
              <controlPr defaultSize="0" autoFill="0" autoLine="0" autoPict="0">
                <anchor moveWithCells="1">
                  <from>
                    <xdr:col>0</xdr:col>
                    <xdr:colOff>0</xdr:colOff>
                    <xdr:row>587</xdr:row>
                    <xdr:rowOff>0</xdr:rowOff>
                  </from>
                  <to>
                    <xdr:col>0</xdr:col>
                    <xdr:colOff>12700</xdr:colOff>
                    <xdr:row>588</xdr:row>
                    <xdr:rowOff>25400</xdr:rowOff>
                  </to>
                </anchor>
              </controlPr>
            </control>
          </mc:Choice>
        </mc:AlternateContent>
        <mc:AlternateContent xmlns:mc="http://schemas.openxmlformats.org/markup-compatibility/2006">
          <mc:Choice Requires="x14">
            <control shapeId="5185" r:id="rId7" name="Button 65">
              <controlPr defaultSize="0" print="0" autoFill="0" autoPict="0" macro="[0]!EMDRESET.EMDReset" altText="Reset">
                <anchor moveWithCells="1" sizeWithCells="1">
                  <from>
                    <xdr:col>0</xdr:col>
                    <xdr:colOff>12700</xdr:colOff>
                    <xdr:row>0</xdr:row>
                    <xdr:rowOff>25400</xdr:rowOff>
                  </from>
                  <to>
                    <xdr:col>1</xdr:col>
                    <xdr:colOff>101600</xdr:colOff>
                    <xdr:row>2</xdr:row>
                    <xdr:rowOff>12700</xdr:rowOff>
                  </to>
                </anchor>
              </controlPr>
            </control>
          </mc:Choice>
        </mc:AlternateContent>
        <mc:AlternateContent xmlns:mc="http://schemas.openxmlformats.org/markup-compatibility/2006">
          <mc:Choice Requires="x14">
            <control shapeId="5193" r:id="rId8" name="Button 73">
              <controlPr defaultSize="0" print="0" autoFill="0" autoPict="0" macro="[0]!AsprinDiag">
                <anchor moveWithCells="1" sizeWithCells="1">
                  <from>
                    <xdr:col>0</xdr:col>
                    <xdr:colOff>330200</xdr:colOff>
                    <xdr:row>137</xdr:row>
                    <xdr:rowOff>12700</xdr:rowOff>
                  </from>
                  <to>
                    <xdr:col>2</xdr:col>
                    <xdr:colOff>254000</xdr:colOff>
                    <xdr:row>138</xdr:row>
                    <xdr:rowOff>12700</xdr:rowOff>
                  </to>
                </anchor>
              </controlPr>
            </control>
          </mc:Choice>
        </mc:AlternateContent>
        <mc:AlternateContent xmlns:mc="http://schemas.openxmlformats.org/markup-compatibility/2006">
          <mc:Choice Requires="x14">
            <control shapeId="5194" r:id="rId9" name="Button 74">
              <controlPr defaultSize="0" print="0" autoFill="0" autoPict="0" macro="[0]!AGONAL.AGONAL">
                <anchor moveWithCells="1" sizeWithCells="1">
                  <from>
                    <xdr:col>2</xdr:col>
                    <xdr:colOff>25400</xdr:colOff>
                    <xdr:row>167</xdr:row>
                    <xdr:rowOff>25400</xdr:rowOff>
                  </from>
                  <to>
                    <xdr:col>3</xdr:col>
                    <xdr:colOff>381000</xdr:colOff>
                    <xdr:row>168</xdr:row>
                    <xdr:rowOff>63500</xdr:rowOff>
                  </to>
                </anchor>
              </controlPr>
            </control>
          </mc:Choice>
        </mc:AlternateContent>
        <mc:AlternateContent xmlns:mc="http://schemas.openxmlformats.org/markup-compatibility/2006">
          <mc:Choice Requires="x14">
            <control shapeId="5195" r:id="rId10" name="Button 75">
              <controlPr defaultSize="0" print="0" autoFill="0" autoPict="0" macro="[0]!FirstPartyCaller">
                <anchor moveWithCells="1" sizeWithCells="1">
                  <from>
                    <xdr:col>10</xdr:col>
                    <xdr:colOff>25400</xdr:colOff>
                    <xdr:row>6</xdr:row>
                    <xdr:rowOff>88900</xdr:rowOff>
                  </from>
                  <to>
                    <xdr:col>12</xdr:col>
                    <xdr:colOff>12700</xdr:colOff>
                    <xdr:row>7</xdr:row>
                    <xdr:rowOff>114300</xdr:rowOff>
                  </to>
                </anchor>
              </controlPr>
            </control>
          </mc:Choice>
        </mc:AlternateContent>
        <mc:AlternateContent xmlns:mc="http://schemas.openxmlformats.org/markup-compatibility/2006">
          <mc:Choice Requires="x14">
            <control shapeId="5196" r:id="rId11" name="Button 76">
              <controlPr defaultSize="0" print="0" autoFill="0" autoPict="0" macro="[0]!SecondPartyCaller.SecondPartyCaller">
                <anchor moveWithCells="1" sizeWithCells="1">
                  <from>
                    <xdr:col>12</xdr:col>
                    <xdr:colOff>88900</xdr:colOff>
                    <xdr:row>6</xdr:row>
                    <xdr:rowOff>101600</xdr:rowOff>
                  </from>
                  <to>
                    <xdr:col>14</xdr:col>
                    <xdr:colOff>215900</xdr:colOff>
                    <xdr:row>7</xdr:row>
                    <xdr:rowOff>101600</xdr:rowOff>
                  </to>
                </anchor>
              </controlPr>
            </control>
          </mc:Choice>
        </mc:AlternateContent>
        <mc:AlternateContent xmlns:mc="http://schemas.openxmlformats.org/markup-compatibility/2006">
          <mc:Choice Requires="x14">
            <control shapeId="5197" r:id="rId12" name="Button 77">
              <controlPr defaultSize="0" print="0" autoFill="0" autoPict="0" macro="[0]!AsprinDiag">
                <anchor moveWithCells="1" sizeWithCells="1">
                  <from>
                    <xdr:col>0</xdr:col>
                    <xdr:colOff>355600</xdr:colOff>
                    <xdr:row>179</xdr:row>
                    <xdr:rowOff>0</xdr:rowOff>
                  </from>
                  <to>
                    <xdr:col>3</xdr:col>
                    <xdr:colOff>12700</xdr:colOff>
                    <xdr:row>180</xdr:row>
                    <xdr:rowOff>25400</xdr:rowOff>
                  </to>
                </anchor>
              </controlPr>
            </control>
          </mc:Choice>
        </mc:AlternateContent>
        <mc:AlternateContent xmlns:mc="http://schemas.openxmlformats.org/markup-compatibility/2006">
          <mc:Choice Requires="x14">
            <control shapeId="5198" r:id="rId13" name="Button 78">
              <controlPr defaultSize="0" print="0" autoFill="0" autoPict="0" macro="[0]!AGONAL.AGONAL">
                <anchor moveWithCells="1" sizeWithCells="1">
                  <from>
                    <xdr:col>1</xdr:col>
                    <xdr:colOff>12700</xdr:colOff>
                    <xdr:row>203</xdr:row>
                    <xdr:rowOff>0</xdr:rowOff>
                  </from>
                  <to>
                    <xdr:col>3</xdr:col>
                    <xdr:colOff>101600</xdr:colOff>
                    <xdr:row>204</xdr:row>
                    <xdr:rowOff>25400</xdr:rowOff>
                  </to>
                </anchor>
              </controlPr>
            </control>
          </mc:Choice>
        </mc:AlternateContent>
        <mc:AlternateContent xmlns:mc="http://schemas.openxmlformats.org/markup-compatibility/2006">
          <mc:Choice Requires="x14">
            <control shapeId="5199" r:id="rId14" name="Button 79">
              <controlPr defaultSize="0" print="0" autoFill="0" autoPict="0" macro="[0]!STROKE.STROKE">
                <anchor moveWithCells="1" sizeWithCells="1">
                  <from>
                    <xdr:col>0</xdr:col>
                    <xdr:colOff>355600</xdr:colOff>
                    <xdr:row>263</xdr:row>
                    <xdr:rowOff>0</xdr:rowOff>
                  </from>
                  <to>
                    <xdr:col>3</xdr:col>
                    <xdr:colOff>12700</xdr:colOff>
                    <xdr:row>264</xdr:row>
                    <xdr:rowOff>12700</xdr:rowOff>
                  </to>
                </anchor>
              </controlPr>
            </control>
          </mc:Choice>
        </mc:AlternateContent>
        <mc:AlternateContent xmlns:mc="http://schemas.openxmlformats.org/markup-compatibility/2006">
          <mc:Choice Requires="x14">
            <control shapeId="5200" r:id="rId15" name="Button 80">
              <controlPr defaultSize="0" print="0" autoFill="0" autoPict="0" macro="[0]!Pulse.Pulse">
                <anchor moveWithCells="1" sizeWithCells="1">
                  <from>
                    <xdr:col>0</xdr:col>
                    <xdr:colOff>355600</xdr:colOff>
                    <xdr:row>278</xdr:row>
                    <xdr:rowOff>0</xdr:rowOff>
                  </from>
                  <to>
                    <xdr:col>3</xdr:col>
                    <xdr:colOff>12700</xdr:colOff>
                    <xdr:row>279</xdr:row>
                    <xdr:rowOff>25400</xdr:rowOff>
                  </to>
                </anchor>
              </controlPr>
            </control>
          </mc:Choice>
        </mc:AlternateContent>
        <mc:AlternateContent xmlns:mc="http://schemas.openxmlformats.org/markup-compatibility/2006">
          <mc:Choice Requires="x14">
            <control shapeId="5201" r:id="rId16" name="Button 81">
              <controlPr defaultSize="0" print="0" autoFill="0" autoPict="0" macro="[0]!AsprinDiag">
                <anchor moveWithCells="1" sizeWithCells="1">
                  <from>
                    <xdr:col>0</xdr:col>
                    <xdr:colOff>355600</xdr:colOff>
                    <xdr:row>279</xdr:row>
                    <xdr:rowOff>25400</xdr:rowOff>
                  </from>
                  <to>
                    <xdr:col>3</xdr:col>
                    <xdr:colOff>12700</xdr:colOff>
                    <xdr:row>280</xdr:row>
                    <xdr:rowOff>12700</xdr:rowOff>
                  </to>
                </anchor>
              </controlPr>
            </control>
          </mc:Choice>
        </mc:AlternateContent>
        <mc:AlternateContent xmlns:mc="http://schemas.openxmlformats.org/markup-compatibility/2006">
          <mc:Choice Requires="x14">
            <control shapeId="5202" r:id="rId17" name="Button 82">
              <controlPr defaultSize="0" print="0" autoFill="0" autoPict="0" macro="[0]!HighComp.HighComp">
                <anchor moveWithCells="1" sizeWithCells="1">
                  <from>
                    <xdr:col>13</xdr:col>
                    <xdr:colOff>254000</xdr:colOff>
                    <xdr:row>3435</xdr:row>
                    <xdr:rowOff>12700</xdr:rowOff>
                  </from>
                  <to>
                    <xdr:col>15</xdr:col>
                    <xdr:colOff>330200</xdr:colOff>
                    <xdr:row>3436</xdr:row>
                    <xdr:rowOff>0</xdr:rowOff>
                  </to>
                </anchor>
              </controlPr>
            </control>
          </mc:Choice>
        </mc:AlternateContent>
        <mc:AlternateContent xmlns:mc="http://schemas.openxmlformats.org/markup-compatibility/2006">
          <mc:Choice Requires="x14">
            <control shapeId="5203" r:id="rId18" name="Button 83">
              <controlPr defaultSize="0" print="0" autoFill="0" autoPict="0" macro="[0]!Normal.Normal">
                <anchor moveWithCells="1" sizeWithCells="1">
                  <from>
                    <xdr:col>7</xdr:col>
                    <xdr:colOff>203200</xdr:colOff>
                    <xdr:row>6</xdr:row>
                    <xdr:rowOff>101600</xdr:rowOff>
                  </from>
                  <to>
                    <xdr:col>9</xdr:col>
                    <xdr:colOff>228600</xdr:colOff>
                    <xdr:row>7</xdr:row>
                    <xdr:rowOff>101600</xdr:rowOff>
                  </to>
                </anchor>
              </controlPr>
            </control>
          </mc:Choice>
        </mc:AlternateContent>
        <mc:AlternateContent xmlns:mc="http://schemas.openxmlformats.org/markup-compatibility/2006">
          <mc:Choice Requires="x14">
            <control shapeId="5206" r:id="rId19" name="Button 86">
              <controlPr defaultSize="0" print="0" autoFill="0" autoPict="0" macro="[0]!DChokingACIN.DChokingACIN">
                <anchor moveWithCells="1" sizeWithCells="1">
                  <from>
                    <xdr:col>0</xdr:col>
                    <xdr:colOff>101600</xdr:colOff>
                    <xdr:row>30</xdr:row>
                    <xdr:rowOff>25400</xdr:rowOff>
                  </from>
                  <to>
                    <xdr:col>2</xdr:col>
                    <xdr:colOff>50800</xdr:colOff>
                    <xdr:row>31</xdr:row>
                    <xdr:rowOff>38100</xdr:rowOff>
                  </to>
                </anchor>
              </controlPr>
            </control>
          </mc:Choice>
        </mc:AlternateContent>
        <mc:AlternateContent xmlns:mc="http://schemas.openxmlformats.org/markup-compatibility/2006">
          <mc:Choice Requires="x14">
            <control shapeId="5207" r:id="rId20" name="Button 87">
              <controlPr defaultSize="0" print="0" autoFill="0" autoPict="0" macro="[0]!CAACAdult">
                <anchor moveWithCells="1" sizeWithCells="1">
                  <from>
                    <xdr:col>2</xdr:col>
                    <xdr:colOff>63500</xdr:colOff>
                    <xdr:row>30</xdr:row>
                    <xdr:rowOff>25400</xdr:rowOff>
                  </from>
                  <to>
                    <xdr:col>3</xdr:col>
                    <xdr:colOff>419100</xdr:colOff>
                    <xdr:row>31</xdr:row>
                    <xdr:rowOff>38100</xdr:rowOff>
                  </to>
                </anchor>
              </controlPr>
            </control>
          </mc:Choice>
        </mc:AlternateContent>
        <mc:AlternateContent xmlns:mc="http://schemas.openxmlformats.org/markup-compatibility/2006">
          <mc:Choice Requires="x14">
            <control shapeId="5208" r:id="rId21" name="Button 88">
              <controlPr defaultSize="0" print="0" autoFill="0" autoPict="0" macro="[0]!BAACChild">
                <anchor moveWithCells="1" sizeWithCells="1">
                  <from>
                    <xdr:col>3</xdr:col>
                    <xdr:colOff>444500</xdr:colOff>
                    <xdr:row>30</xdr:row>
                    <xdr:rowOff>25400</xdr:rowOff>
                  </from>
                  <to>
                    <xdr:col>3</xdr:col>
                    <xdr:colOff>1079500</xdr:colOff>
                    <xdr:row>31</xdr:row>
                    <xdr:rowOff>38100</xdr:rowOff>
                  </to>
                </anchor>
              </controlPr>
            </control>
          </mc:Choice>
        </mc:AlternateContent>
        <mc:AlternateContent xmlns:mc="http://schemas.openxmlformats.org/markup-compatibility/2006">
          <mc:Choice Requires="x14">
            <control shapeId="5209" r:id="rId22" name="Button 89">
              <controlPr defaultSize="0" print="0" autoFill="0" autoPict="0" macro="[0]!AAACInfant">
                <anchor moveWithCells="1" sizeWithCells="1">
                  <from>
                    <xdr:col>3</xdr:col>
                    <xdr:colOff>1092200</xdr:colOff>
                    <xdr:row>30</xdr:row>
                    <xdr:rowOff>25400</xdr:rowOff>
                  </from>
                  <to>
                    <xdr:col>5</xdr:col>
                    <xdr:colOff>152400</xdr:colOff>
                    <xdr:row>31</xdr:row>
                    <xdr:rowOff>38100</xdr:rowOff>
                  </to>
                </anchor>
              </controlPr>
            </control>
          </mc:Choice>
        </mc:AlternateContent>
        <mc:AlternateContent xmlns:mc="http://schemas.openxmlformats.org/markup-compatibility/2006">
          <mc:Choice Requires="x14">
            <control shapeId="5210" r:id="rId23" name="Button 90">
              <controlPr defaultSize="0" print="0" autoFill="0" autoPict="0" macro="[0]!NAACNeo">
                <anchor moveWithCells="1" sizeWithCells="1">
                  <from>
                    <xdr:col>5</xdr:col>
                    <xdr:colOff>177800</xdr:colOff>
                    <xdr:row>30</xdr:row>
                    <xdr:rowOff>25400</xdr:rowOff>
                  </from>
                  <to>
                    <xdr:col>5</xdr:col>
                    <xdr:colOff>812800</xdr:colOff>
                    <xdr:row>31</xdr:row>
                    <xdr:rowOff>50800</xdr:rowOff>
                  </to>
                </anchor>
              </controlPr>
            </control>
          </mc:Choice>
        </mc:AlternateContent>
        <mc:AlternateContent xmlns:mc="http://schemas.openxmlformats.org/markup-compatibility/2006">
          <mc:Choice Requires="x14">
            <control shapeId="5211" r:id="rId24" name="Button 91">
              <controlPr defaultSize="0" print="0" autoFill="0" autoPict="0" macro="[0]!PEppi">
                <anchor moveWithCells="1" sizeWithCells="1">
                  <from>
                    <xdr:col>1</xdr:col>
                    <xdr:colOff>12700</xdr:colOff>
                    <xdr:row>86</xdr:row>
                    <xdr:rowOff>25400</xdr:rowOff>
                  </from>
                  <to>
                    <xdr:col>3</xdr:col>
                    <xdr:colOff>25400</xdr:colOff>
                    <xdr:row>87</xdr:row>
                    <xdr:rowOff>50800</xdr:rowOff>
                  </to>
                </anchor>
              </controlPr>
            </control>
          </mc:Choice>
        </mc:AlternateContent>
        <mc:AlternateContent xmlns:mc="http://schemas.openxmlformats.org/markup-compatibility/2006">
          <mc:Choice Requires="x14">
            <control shapeId="5212" r:id="rId25" name="Button 92">
              <controlPr defaultSize="0" print="0" autoFill="0" autoPict="0" macro="[0]!KPersonWater">
                <anchor moveWithCells="1" sizeWithCells="1">
                  <from>
                    <xdr:col>1</xdr:col>
                    <xdr:colOff>0</xdr:colOff>
                    <xdr:row>218</xdr:row>
                    <xdr:rowOff>0</xdr:rowOff>
                  </from>
                  <to>
                    <xdr:col>3</xdr:col>
                    <xdr:colOff>254000</xdr:colOff>
                    <xdr:row>219</xdr:row>
                    <xdr:rowOff>25400</xdr:rowOff>
                  </to>
                </anchor>
              </controlPr>
            </control>
          </mc:Choice>
        </mc:AlternateContent>
        <mc:AlternateContent xmlns:mc="http://schemas.openxmlformats.org/markup-compatibility/2006">
          <mc:Choice Requires="x14">
            <control shapeId="5213" r:id="rId26" name="Button 93">
              <controlPr defaultSize="0" print="0" autoFill="0" autoPict="0" macro="[0]!QNarcanN">
                <anchor moveWithCells="1" sizeWithCells="1">
                  <from>
                    <xdr:col>1</xdr:col>
                    <xdr:colOff>0</xdr:colOff>
                    <xdr:row>325</xdr:row>
                    <xdr:rowOff>0</xdr:rowOff>
                  </from>
                  <to>
                    <xdr:col>3</xdr:col>
                    <xdr:colOff>63500</xdr:colOff>
                    <xdr:row>326</xdr:row>
                    <xdr:rowOff>25400</xdr:rowOff>
                  </to>
                </anchor>
              </controlPr>
            </control>
          </mc:Choice>
        </mc:AlternateContent>
        <mc:AlternateContent xmlns:mc="http://schemas.openxmlformats.org/markup-compatibility/2006">
          <mc:Choice Requires="x14">
            <control shapeId="5214" r:id="rId27" name="Button 94">
              <controlPr defaultSize="0" print="0" autoFill="0" autoPict="0" macro="[0]!QNarcanI">
                <anchor moveWithCells="1" sizeWithCells="1">
                  <from>
                    <xdr:col>3</xdr:col>
                    <xdr:colOff>101600</xdr:colOff>
                    <xdr:row>325</xdr:row>
                    <xdr:rowOff>0</xdr:rowOff>
                  </from>
                  <to>
                    <xdr:col>3</xdr:col>
                    <xdr:colOff>736600</xdr:colOff>
                    <xdr:row>326</xdr:row>
                    <xdr:rowOff>25400</xdr:rowOff>
                  </to>
                </anchor>
              </controlPr>
            </control>
          </mc:Choice>
        </mc:AlternateContent>
        <mc:AlternateContent xmlns:mc="http://schemas.openxmlformats.org/markup-compatibility/2006">
          <mc:Choice Requires="x14">
            <control shapeId="5215" r:id="rId28" name="Button 95">
              <controlPr defaultSize="0" print="0" autoFill="0" autoPict="0" macro="[0]!GMiss">
                <anchor moveWithCells="1" sizeWithCells="1">
                  <from>
                    <xdr:col>1</xdr:col>
                    <xdr:colOff>12700</xdr:colOff>
                    <xdr:row>336</xdr:row>
                    <xdr:rowOff>25400</xdr:rowOff>
                  </from>
                  <to>
                    <xdr:col>3</xdr:col>
                    <xdr:colOff>254000</xdr:colOff>
                    <xdr:row>337</xdr:row>
                    <xdr:rowOff>50800</xdr:rowOff>
                  </to>
                </anchor>
              </controlPr>
            </control>
          </mc:Choice>
        </mc:AlternateContent>
        <mc:AlternateContent xmlns:mc="http://schemas.openxmlformats.org/markup-compatibility/2006">
          <mc:Choice Requires="x14">
            <control shapeId="5216" r:id="rId29" name="Button 96">
              <controlPr defaultSize="0" print="0" autoFill="0" autoPict="0" macro="[0]!Birth.Birth">
                <anchor moveWithCells="1" sizeWithCells="1">
                  <from>
                    <xdr:col>3</xdr:col>
                    <xdr:colOff>279400</xdr:colOff>
                    <xdr:row>336</xdr:row>
                    <xdr:rowOff>25400</xdr:rowOff>
                  </from>
                  <to>
                    <xdr:col>3</xdr:col>
                    <xdr:colOff>1092200</xdr:colOff>
                    <xdr:row>337</xdr:row>
                    <xdr:rowOff>50800</xdr:rowOff>
                  </to>
                </anchor>
              </controlPr>
            </control>
          </mc:Choice>
        </mc:AlternateContent>
        <mc:AlternateContent xmlns:mc="http://schemas.openxmlformats.org/markup-compatibility/2006">
          <mc:Choice Requires="x14">
            <control shapeId="5217" r:id="rId30" name="Button 97">
              <controlPr defaultSize="0" print="0" autoFill="0" autoPict="0" macro="[0]!LVehWater">
                <anchor moveWithCells="1" sizeWithCells="1">
                  <from>
                    <xdr:col>1</xdr:col>
                    <xdr:colOff>25400</xdr:colOff>
                    <xdr:row>391</xdr:row>
                    <xdr:rowOff>25400</xdr:rowOff>
                  </from>
                  <to>
                    <xdr:col>3</xdr:col>
                    <xdr:colOff>342900</xdr:colOff>
                    <xdr:row>392</xdr:row>
                    <xdr:rowOff>38100</xdr:rowOff>
                  </to>
                </anchor>
              </controlPr>
            </control>
          </mc:Choice>
        </mc:AlternateContent>
        <mc:AlternateContent xmlns:mc="http://schemas.openxmlformats.org/markup-compatibility/2006">
          <mc:Choice Requires="x14">
            <control shapeId="5218" r:id="rId31" name="Button 98">
              <controlPr defaultSize="0" print="0" autoFill="0" autoPict="0" macro="[0]!Bleeding.Bleeding">
                <anchor moveWithCells="1" sizeWithCells="1">
                  <from>
                    <xdr:col>1</xdr:col>
                    <xdr:colOff>25400</xdr:colOff>
                    <xdr:row>297</xdr:row>
                    <xdr:rowOff>12700</xdr:rowOff>
                  </from>
                  <to>
                    <xdr:col>3</xdr:col>
                    <xdr:colOff>444500</xdr:colOff>
                    <xdr:row>298</xdr:row>
                    <xdr:rowOff>38100</xdr:rowOff>
                  </to>
                </anchor>
              </controlPr>
            </control>
          </mc:Choice>
        </mc:AlternateContent>
        <mc:AlternateContent xmlns:mc="http://schemas.openxmlformats.org/markup-compatibility/2006">
          <mc:Choice Requires="x14">
            <control shapeId="5219" r:id="rId32" name="Button 99">
              <controlPr defaultSize="0" print="0" autoFill="0" autoPict="0" macro="[0]!Bleeding.Bleeding">
                <anchor moveWithCells="1" sizeWithCells="1">
                  <from>
                    <xdr:col>1</xdr:col>
                    <xdr:colOff>12700</xdr:colOff>
                    <xdr:row>402</xdr:row>
                    <xdr:rowOff>25400</xdr:rowOff>
                  </from>
                  <to>
                    <xdr:col>3</xdr:col>
                    <xdr:colOff>444500</xdr:colOff>
                    <xdr:row>403</xdr:row>
                    <xdr:rowOff>50800</xdr:rowOff>
                  </to>
                </anchor>
              </controlPr>
            </control>
          </mc:Choice>
        </mc:AlternateContent>
        <mc:AlternateContent xmlns:mc="http://schemas.openxmlformats.org/markup-compatibility/2006">
          <mc:Choice Requires="x14">
            <control shapeId="5220" r:id="rId33" name="Button 100">
              <controlPr defaultSize="0" print="0" autoFill="0" autoPict="0" macro="[0]!Bleeding.Bleeding">
                <anchor moveWithCells="1" sizeWithCells="1">
                  <from>
                    <xdr:col>1</xdr:col>
                    <xdr:colOff>0</xdr:colOff>
                    <xdr:row>491</xdr:row>
                    <xdr:rowOff>0</xdr:rowOff>
                  </from>
                  <to>
                    <xdr:col>3</xdr:col>
                    <xdr:colOff>495300</xdr:colOff>
                    <xdr:row>492</xdr:row>
                    <xdr:rowOff>12700</xdr:rowOff>
                  </to>
                </anchor>
              </controlPr>
            </control>
          </mc:Choice>
        </mc:AlternateContent>
        <mc:AlternateContent xmlns:mc="http://schemas.openxmlformats.org/markup-compatibility/2006">
          <mc:Choice Requires="x14">
            <control shapeId="5221" r:id="rId34" name="Button 101">
              <controlPr defaultSize="0" print="0" autoFill="0" autoPict="0" macro="[0]!Bleeding.Bleeding">
                <anchor moveWithCells="1" sizeWithCells="1">
                  <from>
                    <xdr:col>1</xdr:col>
                    <xdr:colOff>0</xdr:colOff>
                    <xdr:row>501</xdr:row>
                    <xdr:rowOff>0</xdr:rowOff>
                  </from>
                  <to>
                    <xdr:col>3</xdr:col>
                    <xdr:colOff>482600</xdr:colOff>
                    <xdr:row>502</xdr:row>
                    <xdr:rowOff>25400</xdr:rowOff>
                  </to>
                </anchor>
              </controlPr>
            </control>
          </mc:Choice>
        </mc:AlternateContent>
        <mc:AlternateContent xmlns:mc="http://schemas.openxmlformats.org/markup-compatibility/2006">
          <mc:Choice Requires="x14">
            <control shapeId="5222" r:id="rId35" name="Button 102">
              <controlPr defaultSize="0" print="0" autoFill="0" autoPict="0" macro="[0]!QNarcanI">
                <anchor moveWithCells="1" sizeWithCells="1">
                  <from>
                    <xdr:col>1</xdr:col>
                    <xdr:colOff>12700</xdr:colOff>
                    <xdr:row>515</xdr:row>
                    <xdr:rowOff>12700</xdr:rowOff>
                  </from>
                  <to>
                    <xdr:col>3</xdr:col>
                    <xdr:colOff>25400</xdr:colOff>
                    <xdr:row>515</xdr:row>
                    <xdr:rowOff>215900</xdr:rowOff>
                  </to>
                </anchor>
              </controlPr>
            </control>
          </mc:Choice>
        </mc:AlternateContent>
        <mc:AlternateContent xmlns:mc="http://schemas.openxmlformats.org/markup-compatibility/2006">
          <mc:Choice Requires="x14">
            <control shapeId="5223" r:id="rId36" name="Button 103">
              <controlPr defaultSize="0" print="0" autoFill="0" autoPict="0" macro="[0]!QNarcanN">
                <anchor moveWithCells="1" sizeWithCells="1">
                  <from>
                    <xdr:col>3</xdr:col>
                    <xdr:colOff>63500</xdr:colOff>
                    <xdr:row>515</xdr:row>
                    <xdr:rowOff>12700</xdr:rowOff>
                  </from>
                  <to>
                    <xdr:col>3</xdr:col>
                    <xdr:colOff>711200</xdr:colOff>
                    <xdr:row>515</xdr:row>
                    <xdr:rowOff>215900</xdr:rowOff>
                  </to>
                </anchor>
              </controlPr>
            </control>
          </mc:Choice>
        </mc:AlternateContent>
        <mc:AlternateContent xmlns:mc="http://schemas.openxmlformats.org/markup-compatibility/2006">
          <mc:Choice Requires="x14">
            <control shapeId="5224" r:id="rId37" name="Button 104">
              <controlPr defaultSize="0" print="0" autoFill="0" autoPict="0" macro="[0]!GMiss">
                <anchor moveWithCells="1" sizeWithCells="1">
                  <from>
                    <xdr:col>1</xdr:col>
                    <xdr:colOff>12700</xdr:colOff>
                    <xdr:row>526</xdr:row>
                    <xdr:rowOff>25400</xdr:rowOff>
                  </from>
                  <to>
                    <xdr:col>3</xdr:col>
                    <xdr:colOff>254000</xdr:colOff>
                    <xdr:row>527</xdr:row>
                    <xdr:rowOff>63500</xdr:rowOff>
                  </to>
                </anchor>
              </controlPr>
            </control>
          </mc:Choice>
        </mc:AlternateContent>
        <mc:AlternateContent xmlns:mc="http://schemas.openxmlformats.org/markup-compatibility/2006">
          <mc:Choice Requires="x14">
            <control shapeId="5225" r:id="rId38" name="Button 105">
              <controlPr defaultSize="0" print="0" autoFill="0" autoPict="0" macro="[0]!Birth.Birth">
                <anchor moveWithCells="1" sizeWithCells="1">
                  <from>
                    <xdr:col>3</xdr:col>
                    <xdr:colOff>279400</xdr:colOff>
                    <xdr:row>526</xdr:row>
                    <xdr:rowOff>25400</xdr:rowOff>
                  </from>
                  <to>
                    <xdr:col>3</xdr:col>
                    <xdr:colOff>1092200</xdr:colOff>
                    <xdr:row>527</xdr:row>
                    <xdr:rowOff>63500</xdr:rowOff>
                  </to>
                </anchor>
              </controlPr>
            </control>
          </mc:Choice>
        </mc:AlternateContent>
        <mc:AlternateContent xmlns:mc="http://schemas.openxmlformats.org/markup-compatibility/2006">
          <mc:Choice Requires="x14">
            <control shapeId="5226" r:id="rId39" name="Button 106">
              <controlPr defaultSize="0" print="0" autoFill="0" autoPict="0" macro="[0]!Bleeding.Bleeding">
                <anchor moveWithCells="1" sizeWithCells="1">
                  <from>
                    <xdr:col>1</xdr:col>
                    <xdr:colOff>0</xdr:colOff>
                    <xdr:row>537</xdr:row>
                    <xdr:rowOff>12700</xdr:rowOff>
                  </from>
                  <to>
                    <xdr:col>3</xdr:col>
                    <xdr:colOff>482600</xdr:colOff>
                    <xdr:row>538</xdr:row>
                    <xdr:rowOff>38100</xdr:rowOff>
                  </to>
                </anchor>
              </controlPr>
            </control>
          </mc:Choice>
        </mc:AlternateContent>
        <mc:AlternateContent xmlns:mc="http://schemas.openxmlformats.org/markup-compatibility/2006">
          <mc:Choice Requires="x14">
            <control shapeId="5227" r:id="rId40" name="Button 107">
              <controlPr defaultSize="0" print="0" autoFill="0" autoPict="0" macro="[0]!Bleeding.Bleeding">
                <anchor moveWithCells="1" sizeWithCells="1">
                  <from>
                    <xdr:col>2</xdr:col>
                    <xdr:colOff>0</xdr:colOff>
                    <xdr:row>548</xdr:row>
                    <xdr:rowOff>63500</xdr:rowOff>
                  </from>
                  <to>
                    <xdr:col>3</xdr:col>
                    <xdr:colOff>812800</xdr:colOff>
                    <xdr:row>549</xdr:row>
                    <xdr:rowOff>101600</xdr:rowOff>
                  </to>
                </anchor>
              </controlPr>
            </control>
          </mc:Choice>
        </mc:AlternateContent>
        <mc:AlternateContent xmlns:mc="http://schemas.openxmlformats.org/markup-compatibility/2006">
          <mc:Choice Requires="x14">
            <control shapeId="5228" r:id="rId41" name="Button 108">
              <controlPr defaultSize="0" print="0" autoFill="0" autoPict="0" macro="[0]!Bleeding.Bleeding">
                <anchor moveWithCells="1" sizeWithCells="1">
                  <from>
                    <xdr:col>1</xdr:col>
                    <xdr:colOff>0</xdr:colOff>
                    <xdr:row>368</xdr:row>
                    <xdr:rowOff>0</xdr:rowOff>
                  </from>
                  <to>
                    <xdr:col>3</xdr:col>
                    <xdr:colOff>482600</xdr:colOff>
                    <xdr:row>369</xdr:row>
                    <xdr:rowOff>25400</xdr:rowOff>
                  </to>
                </anchor>
              </controlPr>
            </control>
          </mc:Choice>
        </mc:AlternateContent>
        <mc:AlternateContent xmlns:mc="http://schemas.openxmlformats.org/markup-compatibility/2006">
          <mc:Choice Requires="x14">
            <control shapeId="5231" r:id="rId42" name="Button 111">
              <controlPr defaultSize="0" print="0" autoFill="0" autoPict="0" macro="[0]!QNarcanI">
                <anchor moveWithCells="1" sizeWithCells="1">
                  <from>
                    <xdr:col>1</xdr:col>
                    <xdr:colOff>12700</xdr:colOff>
                    <xdr:row>561</xdr:row>
                    <xdr:rowOff>12700</xdr:rowOff>
                  </from>
                  <to>
                    <xdr:col>3</xdr:col>
                    <xdr:colOff>25400</xdr:colOff>
                    <xdr:row>562</xdr:row>
                    <xdr:rowOff>0</xdr:rowOff>
                  </to>
                </anchor>
              </controlPr>
            </control>
          </mc:Choice>
        </mc:AlternateContent>
        <mc:AlternateContent xmlns:mc="http://schemas.openxmlformats.org/markup-compatibility/2006">
          <mc:Choice Requires="x14">
            <control shapeId="5232" r:id="rId43" name="Button 112">
              <controlPr defaultSize="0" print="0" autoFill="0" autoPict="0" macro="[0]!QNarcanN">
                <anchor moveWithCells="1" sizeWithCells="1">
                  <from>
                    <xdr:col>3</xdr:col>
                    <xdr:colOff>63500</xdr:colOff>
                    <xdr:row>561</xdr:row>
                    <xdr:rowOff>12700</xdr:rowOff>
                  </from>
                  <to>
                    <xdr:col>3</xdr:col>
                    <xdr:colOff>711200</xdr:colOff>
                    <xdr:row>562</xdr:row>
                    <xdr:rowOff>0</xdr:rowOff>
                  </to>
                </anchor>
              </controlPr>
            </control>
          </mc:Choice>
        </mc:AlternateContent>
        <mc:AlternateContent xmlns:mc="http://schemas.openxmlformats.org/markup-compatibility/2006">
          <mc:Choice Requires="x14">
            <control shapeId="5233" r:id="rId44" name="Button 113">
              <controlPr defaultSize="0" print="0" autoFill="0" autoPict="0" macro="[0]!BAACChild">
                <anchor moveWithCells="1" sizeWithCells="1">
                  <from>
                    <xdr:col>1</xdr:col>
                    <xdr:colOff>101600</xdr:colOff>
                    <xdr:row>3098</xdr:row>
                    <xdr:rowOff>0</xdr:rowOff>
                  </from>
                  <to>
                    <xdr:col>3</xdr:col>
                    <xdr:colOff>114300</xdr:colOff>
                    <xdr:row>3099</xdr:row>
                    <xdr:rowOff>12700</xdr:rowOff>
                  </to>
                </anchor>
              </controlPr>
            </control>
          </mc:Choice>
        </mc:AlternateContent>
        <mc:AlternateContent xmlns:mc="http://schemas.openxmlformats.org/markup-compatibility/2006">
          <mc:Choice Requires="x14">
            <control shapeId="5234" r:id="rId45" name="Button 114">
              <controlPr defaultSize="0" print="0" autoFill="0" autoPict="0" macro="[0]!CAACAdult">
                <anchor moveWithCells="1" sizeWithCells="1">
                  <from>
                    <xdr:col>3</xdr:col>
                    <xdr:colOff>177800</xdr:colOff>
                    <xdr:row>3098</xdr:row>
                    <xdr:rowOff>0</xdr:rowOff>
                  </from>
                  <to>
                    <xdr:col>3</xdr:col>
                    <xdr:colOff>825500</xdr:colOff>
                    <xdr:row>3099</xdr:row>
                    <xdr:rowOff>12700</xdr:rowOff>
                  </to>
                </anchor>
              </controlPr>
            </control>
          </mc:Choice>
        </mc:AlternateContent>
        <mc:AlternateContent xmlns:mc="http://schemas.openxmlformats.org/markup-compatibility/2006">
          <mc:Choice Requires="x14">
            <control shapeId="5848" r:id="rId46" name="Button 728">
              <controlPr defaultSize="0" print="0" autoFill="0" autoPict="0" macro="[0]!MedFacility">
                <anchor moveWithCells="1" sizeWithCells="1">
                  <from>
                    <xdr:col>5</xdr:col>
                    <xdr:colOff>457200</xdr:colOff>
                    <xdr:row>608</xdr:row>
                    <xdr:rowOff>38100</xdr:rowOff>
                  </from>
                  <to>
                    <xdr:col>7</xdr:col>
                    <xdr:colOff>342900</xdr:colOff>
                    <xdr:row>610</xdr:row>
                    <xdr:rowOff>0</xdr:rowOff>
                  </to>
                </anchor>
              </controlPr>
            </control>
          </mc:Choice>
        </mc:AlternateContent>
        <mc:AlternateContent xmlns:mc="http://schemas.openxmlformats.org/markup-compatibility/2006">
          <mc:Choice Requires="x14">
            <control shapeId="5849" r:id="rId47" name="Button 729">
              <controlPr defaultSize="0" print="0" autoFill="0" autoPict="0" macro="[0]!Safety.Safety">
                <anchor moveWithCells="1" sizeWithCells="1">
                  <from>
                    <xdr:col>0</xdr:col>
                    <xdr:colOff>342900</xdr:colOff>
                    <xdr:row>3279</xdr:row>
                    <xdr:rowOff>0</xdr:rowOff>
                  </from>
                  <to>
                    <xdr:col>3</xdr:col>
                    <xdr:colOff>190500</xdr:colOff>
                    <xdr:row>3280</xdr:row>
                    <xdr:rowOff>38100</xdr:rowOff>
                  </to>
                </anchor>
              </controlPr>
            </control>
          </mc:Choice>
        </mc:AlternateContent>
        <mc:AlternateContent xmlns:mc="http://schemas.openxmlformats.org/markup-compatibility/2006">
          <mc:Choice Requires="x14">
            <control shapeId="5850" r:id="rId48" name="Button 730">
              <controlPr defaultSize="0" print="0" autoFill="0" autoPict="0" macro="[0]!Safety.Safety">
                <anchor moveWithCells="1" sizeWithCells="1">
                  <from>
                    <xdr:col>6</xdr:col>
                    <xdr:colOff>165100</xdr:colOff>
                    <xdr:row>3306</xdr:row>
                    <xdr:rowOff>12700</xdr:rowOff>
                  </from>
                  <to>
                    <xdr:col>7</xdr:col>
                    <xdr:colOff>368300</xdr:colOff>
                    <xdr:row>3307</xdr:row>
                    <xdr:rowOff>50800</xdr:rowOff>
                  </to>
                </anchor>
              </controlPr>
            </control>
          </mc:Choice>
        </mc:AlternateContent>
        <mc:AlternateContent xmlns:mc="http://schemas.openxmlformats.org/markup-compatibility/2006">
          <mc:Choice Requires="x14">
            <control shapeId="5854" r:id="rId49" name="Button 734">
              <controlPr defaultSize="0" print="0" autoFill="0" autoPict="0" macro="[0]!echo7">
                <anchor moveWithCells="1" sizeWithCells="1">
                  <from>
                    <xdr:col>3</xdr:col>
                    <xdr:colOff>1257300</xdr:colOff>
                    <xdr:row>17</xdr:row>
                    <xdr:rowOff>0</xdr:rowOff>
                  </from>
                  <to>
                    <xdr:col>5</xdr:col>
                    <xdr:colOff>203200</xdr:colOff>
                    <xdr:row>18</xdr:row>
                    <xdr:rowOff>12700</xdr:rowOff>
                  </to>
                </anchor>
              </controlPr>
            </control>
          </mc:Choice>
        </mc:AlternateContent>
        <mc:AlternateContent xmlns:mc="http://schemas.openxmlformats.org/markup-compatibility/2006">
          <mc:Choice Requires="x14">
            <control shapeId="5855" r:id="rId50" name="Button 735">
              <controlPr defaultSize="0" print="0" autoFill="0" autoPict="0" macro="[0]!echo9">
                <anchor moveWithCells="1" sizeWithCells="1">
                  <from>
                    <xdr:col>5</xdr:col>
                    <xdr:colOff>406400</xdr:colOff>
                    <xdr:row>17</xdr:row>
                    <xdr:rowOff>0</xdr:rowOff>
                  </from>
                  <to>
                    <xdr:col>6</xdr:col>
                    <xdr:colOff>76200</xdr:colOff>
                    <xdr:row>18</xdr:row>
                    <xdr:rowOff>25400</xdr:rowOff>
                  </to>
                </anchor>
              </controlPr>
            </control>
          </mc:Choice>
        </mc:AlternateContent>
        <mc:AlternateContent xmlns:mc="http://schemas.openxmlformats.org/markup-compatibility/2006">
          <mc:Choice Requires="x14">
            <control shapeId="5856" r:id="rId51" name="Button 736">
              <controlPr defaultSize="0" print="0" autoFill="0" autoPict="0" macro="[0]!echo14">
                <anchor moveWithCells="1" sizeWithCells="1">
                  <from>
                    <xdr:col>6</xdr:col>
                    <xdr:colOff>215900</xdr:colOff>
                    <xdr:row>17</xdr:row>
                    <xdr:rowOff>0</xdr:rowOff>
                  </from>
                  <to>
                    <xdr:col>7</xdr:col>
                    <xdr:colOff>139700</xdr:colOff>
                    <xdr:row>18</xdr:row>
                    <xdr:rowOff>12700</xdr:rowOff>
                  </to>
                </anchor>
              </controlPr>
            </control>
          </mc:Choice>
        </mc:AlternateContent>
        <mc:AlternateContent xmlns:mc="http://schemas.openxmlformats.org/markup-compatibility/2006">
          <mc:Choice Requires="x14">
            <control shapeId="5857" r:id="rId52" name="Button 737">
              <controlPr defaultSize="0" print="0" autoFill="0" autoPict="0" macro="[0]!DChokingACIN.DChokingACIN">
                <anchor moveWithCells="1" sizeWithCells="1">
                  <from>
                    <xdr:col>0</xdr:col>
                    <xdr:colOff>342900</xdr:colOff>
                    <xdr:row>187</xdr:row>
                    <xdr:rowOff>0</xdr:rowOff>
                  </from>
                  <to>
                    <xdr:col>3</xdr:col>
                    <xdr:colOff>0</xdr:colOff>
                    <xdr:row>188</xdr:row>
                    <xdr:rowOff>25400</xdr:rowOff>
                  </to>
                </anchor>
              </controlPr>
            </control>
          </mc:Choice>
        </mc:AlternateContent>
        <mc:AlternateContent xmlns:mc="http://schemas.openxmlformats.org/markup-compatibility/2006">
          <mc:Choice Requires="x14">
            <control shapeId="5863" r:id="rId53" name="Button 743">
              <controlPr defaultSize="0" print="0" autoFill="0" autoPict="0" macro="[0]!FirstpartyStayLine">
                <anchor moveWithCells="1" sizeWithCells="1">
                  <from>
                    <xdr:col>0</xdr:col>
                    <xdr:colOff>215900</xdr:colOff>
                    <xdr:row>3287</xdr:row>
                    <xdr:rowOff>25400</xdr:rowOff>
                  </from>
                  <to>
                    <xdr:col>3</xdr:col>
                    <xdr:colOff>25400</xdr:colOff>
                    <xdr:row>3288</xdr:row>
                    <xdr:rowOff>50800</xdr:rowOff>
                  </to>
                </anchor>
              </controlPr>
            </control>
          </mc:Choice>
        </mc:AlternateContent>
        <mc:AlternateContent xmlns:mc="http://schemas.openxmlformats.org/markup-compatibility/2006">
          <mc:Choice Requires="x14">
            <control shapeId="5864" r:id="rId54" name="Button 744">
              <controlPr defaultSize="0" print="0" autoFill="0" autoPict="0" macro="[0]!Firstpartyurgentdis">
                <anchor moveWithCells="1" sizeWithCells="1">
                  <from>
                    <xdr:col>0</xdr:col>
                    <xdr:colOff>228600</xdr:colOff>
                    <xdr:row>3288</xdr:row>
                    <xdr:rowOff>25400</xdr:rowOff>
                  </from>
                  <to>
                    <xdr:col>3</xdr:col>
                    <xdr:colOff>520700</xdr:colOff>
                    <xdr:row>3289</xdr:row>
                    <xdr:rowOff>25400</xdr:rowOff>
                  </to>
                </anchor>
              </controlPr>
            </control>
          </mc:Choice>
        </mc:AlternateContent>
        <mc:AlternateContent xmlns:mc="http://schemas.openxmlformats.org/markup-compatibility/2006">
          <mc:Choice Requires="x14">
            <control shapeId="5865" r:id="rId55" name="Button 745">
              <controlPr defaultSize="0" print="0" autoFill="0" autoPict="0" macro="[0]!Bleeding.Bleeding">
                <anchor moveWithCells="1" sizeWithCells="1">
                  <from>
                    <xdr:col>0</xdr:col>
                    <xdr:colOff>330200</xdr:colOff>
                    <xdr:row>3280</xdr:row>
                    <xdr:rowOff>38100</xdr:rowOff>
                  </from>
                  <to>
                    <xdr:col>3</xdr:col>
                    <xdr:colOff>203200</xdr:colOff>
                    <xdr:row>3281</xdr:row>
                    <xdr:rowOff>63500</xdr:rowOff>
                  </to>
                </anchor>
              </controlPr>
            </control>
          </mc:Choice>
        </mc:AlternateContent>
        <mc:AlternateContent xmlns:mc="http://schemas.openxmlformats.org/markup-compatibility/2006">
          <mc:Choice Requires="x14">
            <control shapeId="5866" r:id="rId56" name="Button 746">
              <controlPr defaultSize="0" print="0" autoFill="0" autoPict="0" macro="[0]!SecPartCallStayLine">
                <anchor moveWithCells="1" sizeWithCells="1">
                  <from>
                    <xdr:col>0</xdr:col>
                    <xdr:colOff>114300</xdr:colOff>
                    <xdr:row>3325</xdr:row>
                    <xdr:rowOff>0</xdr:rowOff>
                  </from>
                  <to>
                    <xdr:col>2</xdr:col>
                    <xdr:colOff>228600</xdr:colOff>
                    <xdr:row>3326</xdr:row>
                    <xdr:rowOff>25400</xdr:rowOff>
                  </to>
                </anchor>
              </controlPr>
            </control>
          </mc:Choice>
        </mc:AlternateContent>
        <mc:AlternateContent xmlns:mc="http://schemas.openxmlformats.org/markup-compatibility/2006">
          <mc:Choice Requires="x14">
            <control shapeId="5867" r:id="rId57" name="Button 747">
              <controlPr defaultSize="0" print="0" autoFill="0" autoPict="0" macro="[0]!SecpartCallUrgDis">
                <anchor moveWithCells="1" sizeWithCells="1">
                  <from>
                    <xdr:col>0</xdr:col>
                    <xdr:colOff>101600</xdr:colOff>
                    <xdr:row>3327</xdr:row>
                    <xdr:rowOff>0</xdr:rowOff>
                  </from>
                  <to>
                    <xdr:col>3</xdr:col>
                    <xdr:colOff>330200</xdr:colOff>
                    <xdr:row>3328</xdr:row>
                    <xdr:rowOff>25400</xdr:rowOff>
                  </to>
                </anchor>
              </controlPr>
            </control>
          </mc:Choice>
        </mc:AlternateContent>
        <mc:AlternateContent xmlns:mc="http://schemas.openxmlformats.org/markup-compatibility/2006">
          <mc:Choice Requires="x14">
            <control shapeId="5868" r:id="rId58" name="Button 748">
              <controlPr defaultSize="0" print="0" autoFill="0" autoPict="0" macro="[0]!Bleeding.Bleeding">
                <anchor moveWithCells="1" sizeWithCells="1">
                  <from>
                    <xdr:col>0</xdr:col>
                    <xdr:colOff>241300</xdr:colOff>
                    <xdr:row>3329</xdr:row>
                    <xdr:rowOff>139700</xdr:rowOff>
                  </from>
                  <to>
                    <xdr:col>2</xdr:col>
                    <xdr:colOff>215900</xdr:colOff>
                    <xdr:row>3330</xdr:row>
                    <xdr:rowOff>152400</xdr:rowOff>
                  </to>
                </anchor>
              </controlPr>
            </control>
          </mc:Choice>
        </mc:AlternateContent>
        <mc:AlternateContent xmlns:mc="http://schemas.openxmlformats.org/markup-compatibility/2006">
          <mc:Choice Requires="x14">
            <control shapeId="5884" r:id="rId59" name="Button 764">
              <controlPr defaultSize="0" print="0" autoFill="0" autoPict="0" macro="[0]!STROKE.STROKE">
                <anchor moveWithCells="1" sizeWithCells="1">
                  <from>
                    <xdr:col>1</xdr:col>
                    <xdr:colOff>203200</xdr:colOff>
                    <xdr:row>379</xdr:row>
                    <xdr:rowOff>25400</xdr:rowOff>
                  </from>
                  <to>
                    <xdr:col>3</xdr:col>
                    <xdr:colOff>482600</xdr:colOff>
                    <xdr:row>380</xdr:row>
                    <xdr:rowOff>88900</xdr:rowOff>
                  </to>
                </anchor>
              </controlPr>
            </control>
          </mc:Choice>
        </mc:AlternateContent>
        <mc:AlternateContent xmlns:mc="http://schemas.openxmlformats.org/markup-compatibility/2006">
          <mc:Choice Requires="x14">
            <control shapeId="5898" r:id="rId60" name="Button 778">
              <controlPr defaultSize="0" print="0" autoFill="0" autoPict="0" macro="[0]!TopofForm.TopofForm">
                <anchor moveWithCells="1" sizeWithCells="1">
                  <from>
                    <xdr:col>0</xdr:col>
                    <xdr:colOff>76200</xdr:colOff>
                    <xdr:row>3439</xdr:row>
                    <xdr:rowOff>63500</xdr:rowOff>
                  </from>
                  <to>
                    <xdr:col>2</xdr:col>
                    <xdr:colOff>12700</xdr:colOff>
                    <xdr:row>3440</xdr:row>
                    <xdr:rowOff>114300</xdr:rowOff>
                  </to>
                </anchor>
              </controlPr>
            </control>
          </mc:Choice>
        </mc:AlternateContent>
        <mc:AlternateContent xmlns:mc="http://schemas.openxmlformats.org/markup-compatibility/2006">
          <mc:Choice Requires="x14">
            <control shapeId="5904" r:id="rId61" name="Button 784">
              <controlPr defaultSize="0" print="0" autoFill="0" autoPict="0" macro="[0]!STROKE.STROKE">
                <anchor moveWithCells="1" sizeWithCells="1">
                  <from>
                    <xdr:col>1</xdr:col>
                    <xdr:colOff>38100</xdr:colOff>
                    <xdr:row>357</xdr:row>
                    <xdr:rowOff>25400</xdr:rowOff>
                  </from>
                  <to>
                    <xdr:col>3</xdr:col>
                    <xdr:colOff>114300</xdr:colOff>
                    <xdr:row>358</xdr:row>
                    <xdr:rowOff>25400</xdr:rowOff>
                  </to>
                </anchor>
              </controlPr>
            </control>
          </mc:Choice>
        </mc:AlternateContent>
        <mc:AlternateContent xmlns:mc="http://schemas.openxmlformats.org/markup-compatibility/2006">
          <mc:Choice Requires="x14">
            <control shapeId="5905" r:id="rId62" name="Button 785">
              <controlPr defaultSize="0" print="0" autoFill="0" autoPict="0" macro="[0]!Times">
                <anchor moveWithCells="1" sizeWithCells="1">
                  <from>
                    <xdr:col>6</xdr:col>
                    <xdr:colOff>12700</xdr:colOff>
                    <xdr:row>30</xdr:row>
                    <xdr:rowOff>25400</xdr:rowOff>
                  </from>
                  <to>
                    <xdr:col>7</xdr:col>
                    <xdr:colOff>12700</xdr:colOff>
                    <xdr:row>31</xdr:row>
                    <xdr:rowOff>50800</xdr:rowOff>
                  </to>
                </anchor>
              </controlPr>
            </control>
          </mc:Choice>
        </mc:AlternateContent>
        <mc:AlternateContent xmlns:mc="http://schemas.openxmlformats.org/markup-compatibility/2006">
          <mc:Choice Requires="x14">
            <control shapeId="5918" r:id="rId63" name="Button 798">
              <controlPr defaultSize="0" print="0" autoFill="0" autoPict="0" macro="[0]!MedFacility">
                <anchor moveWithCells="1" sizeWithCells="1">
                  <from>
                    <xdr:col>0</xdr:col>
                    <xdr:colOff>101600</xdr:colOff>
                    <xdr:row>3323</xdr:row>
                    <xdr:rowOff>38100</xdr:rowOff>
                  </from>
                  <to>
                    <xdr:col>2</xdr:col>
                    <xdr:colOff>254000</xdr:colOff>
                    <xdr:row>3324</xdr:row>
                    <xdr:rowOff>50800</xdr:rowOff>
                  </to>
                </anchor>
              </controlPr>
            </control>
          </mc:Choice>
        </mc:AlternateContent>
        <mc:AlternateContent xmlns:mc="http://schemas.openxmlformats.org/markup-compatibility/2006">
          <mc:Choice Requires="x14">
            <control shapeId="5919" r:id="rId64" name="Button 799">
              <controlPr defaultSize="0" print="0" autoFill="0" autoPict="0" macro="[0]!EIDS">
                <anchor moveWithCells="1" sizeWithCells="1">
                  <from>
                    <xdr:col>0</xdr:col>
                    <xdr:colOff>63500</xdr:colOff>
                    <xdr:row>457</xdr:row>
                    <xdr:rowOff>139700</xdr:rowOff>
                  </from>
                  <to>
                    <xdr:col>1</xdr:col>
                    <xdr:colOff>190500</xdr:colOff>
                    <xdr:row>458</xdr:row>
                    <xdr:rowOff>139700</xdr:rowOff>
                  </to>
                </anchor>
              </controlPr>
            </control>
          </mc:Choice>
        </mc:AlternateContent>
        <mc:AlternateContent xmlns:mc="http://schemas.openxmlformats.org/markup-compatibility/2006">
          <mc:Choice Requires="x14">
            <control shapeId="5920" r:id="rId65" name="Button 800">
              <controlPr defaultSize="0" print="0" autoFill="0" autoPict="0" macro="[0]!EIDS">
                <anchor moveWithCells="1" sizeWithCells="1">
                  <from>
                    <xdr:col>0</xdr:col>
                    <xdr:colOff>25400</xdr:colOff>
                    <xdr:row>495</xdr:row>
                    <xdr:rowOff>12700</xdr:rowOff>
                  </from>
                  <to>
                    <xdr:col>1</xdr:col>
                    <xdr:colOff>152400</xdr:colOff>
                    <xdr:row>496</xdr:row>
                    <xdr:rowOff>12700</xdr:rowOff>
                  </to>
                </anchor>
              </controlPr>
            </control>
          </mc:Choice>
        </mc:AlternateContent>
        <mc:AlternateContent xmlns:mc="http://schemas.openxmlformats.org/markup-compatibility/2006">
          <mc:Choice Requires="x14">
            <control shapeId="5921" r:id="rId66" name="Button 801">
              <controlPr defaultSize="0" print="0" autoFill="0" autoPict="0" macro="[0]!EIDS">
                <anchor moveWithCells="1" sizeWithCells="1">
                  <from>
                    <xdr:col>0</xdr:col>
                    <xdr:colOff>12700</xdr:colOff>
                    <xdr:row>352</xdr:row>
                    <xdr:rowOff>152400</xdr:rowOff>
                  </from>
                  <to>
                    <xdr:col>1</xdr:col>
                    <xdr:colOff>139700</xdr:colOff>
                    <xdr:row>353</xdr:row>
                    <xdr:rowOff>152400</xdr:rowOff>
                  </to>
                </anchor>
              </controlPr>
            </control>
          </mc:Choice>
        </mc:AlternateContent>
        <mc:AlternateContent xmlns:mc="http://schemas.openxmlformats.org/markup-compatibility/2006">
          <mc:Choice Requires="x14">
            <control shapeId="5922" r:id="rId67" name="Button 802">
              <controlPr defaultSize="0" print="0" autoFill="0" autoPict="0" macro="[0]!EIDS">
                <anchor moveWithCells="1" sizeWithCells="1">
                  <from>
                    <xdr:col>0</xdr:col>
                    <xdr:colOff>12700</xdr:colOff>
                    <xdr:row>291</xdr:row>
                    <xdr:rowOff>12700</xdr:rowOff>
                  </from>
                  <to>
                    <xdr:col>1</xdr:col>
                    <xdr:colOff>139700</xdr:colOff>
                    <xdr:row>292</xdr:row>
                    <xdr:rowOff>12700</xdr:rowOff>
                  </to>
                </anchor>
              </controlPr>
            </control>
          </mc:Choice>
        </mc:AlternateContent>
        <mc:AlternateContent xmlns:mc="http://schemas.openxmlformats.org/markup-compatibility/2006">
          <mc:Choice Requires="x14">
            <control shapeId="5923" r:id="rId68" name="Button 803">
              <controlPr defaultSize="0" print="0" autoFill="0" autoPict="0" macro="[0]!EIDS">
                <anchor moveWithCells="1" sizeWithCells="1">
                  <from>
                    <xdr:col>0</xdr:col>
                    <xdr:colOff>12700</xdr:colOff>
                    <xdr:row>254</xdr:row>
                    <xdr:rowOff>12700</xdr:rowOff>
                  </from>
                  <to>
                    <xdr:col>1</xdr:col>
                    <xdr:colOff>139700</xdr:colOff>
                    <xdr:row>255</xdr:row>
                    <xdr:rowOff>12700</xdr:rowOff>
                  </to>
                </anchor>
              </controlPr>
            </control>
          </mc:Choice>
        </mc:AlternateContent>
        <mc:AlternateContent xmlns:mc="http://schemas.openxmlformats.org/markup-compatibility/2006">
          <mc:Choice Requires="x14">
            <control shapeId="5924" r:id="rId69" name="Button 804">
              <controlPr defaultSize="0" print="0" autoFill="0" autoPict="0" macro="[0]!EIDS">
                <anchor moveWithCells="1" sizeWithCells="1">
                  <from>
                    <xdr:col>0</xdr:col>
                    <xdr:colOff>25400</xdr:colOff>
                    <xdr:row>206</xdr:row>
                    <xdr:rowOff>152400</xdr:rowOff>
                  </from>
                  <to>
                    <xdr:col>1</xdr:col>
                    <xdr:colOff>152400</xdr:colOff>
                    <xdr:row>207</xdr:row>
                    <xdr:rowOff>152400</xdr:rowOff>
                  </to>
                </anchor>
              </controlPr>
            </control>
          </mc:Choice>
        </mc:AlternateContent>
        <mc:AlternateContent xmlns:mc="http://schemas.openxmlformats.org/markup-compatibility/2006">
          <mc:Choice Requires="x14">
            <control shapeId="5925" r:id="rId70" name="Button 805">
              <controlPr defaultSize="0" print="0" autoFill="0" autoPict="0" macro="[0]!EIDS">
                <anchor moveWithCells="1" sizeWithCells="1">
                  <from>
                    <xdr:col>0</xdr:col>
                    <xdr:colOff>12700</xdr:colOff>
                    <xdr:row>171</xdr:row>
                    <xdr:rowOff>25400</xdr:rowOff>
                  </from>
                  <to>
                    <xdr:col>1</xdr:col>
                    <xdr:colOff>139700</xdr:colOff>
                    <xdr:row>172</xdr:row>
                    <xdr:rowOff>25400</xdr:rowOff>
                  </to>
                </anchor>
              </controlPr>
            </control>
          </mc:Choice>
        </mc:AlternateContent>
        <mc:AlternateContent xmlns:mc="http://schemas.openxmlformats.org/markup-compatibility/2006">
          <mc:Choice Requires="x14">
            <control shapeId="5926" r:id="rId71" name="Button 806">
              <controlPr defaultSize="0" print="0" autoFill="0" autoPict="0" macro="[0]!EIDS">
                <anchor moveWithCells="1" sizeWithCells="1">
                  <from>
                    <xdr:col>0</xdr:col>
                    <xdr:colOff>12700</xdr:colOff>
                    <xdr:row>127</xdr:row>
                    <xdr:rowOff>0</xdr:rowOff>
                  </from>
                  <to>
                    <xdr:col>1</xdr:col>
                    <xdr:colOff>139700</xdr:colOff>
                    <xdr:row>128</xdr:row>
                    <xdr:rowOff>0</xdr:rowOff>
                  </to>
                </anchor>
              </controlPr>
            </control>
          </mc:Choice>
        </mc:AlternateContent>
        <mc:AlternateContent xmlns:mc="http://schemas.openxmlformats.org/markup-compatibility/2006">
          <mc:Choice Requires="x14">
            <control shapeId="5949" r:id="rId72" name="Button 829">
              <controlPr defaultSize="0" print="0" autoFill="0" autoPict="0" macro="[0]!AsprinDiag">
                <anchor moveWithCells="1">
                  <from>
                    <xdr:col>0</xdr:col>
                    <xdr:colOff>254000</xdr:colOff>
                    <xdr:row>3432</xdr:row>
                    <xdr:rowOff>25400</xdr:rowOff>
                  </from>
                  <to>
                    <xdr:col>2</xdr:col>
                    <xdr:colOff>190500</xdr:colOff>
                    <xdr:row>3433</xdr:row>
                    <xdr:rowOff>0</xdr:rowOff>
                  </to>
                </anchor>
              </controlPr>
            </control>
          </mc:Choice>
        </mc:AlternateContent>
        <mc:AlternateContent xmlns:mc="http://schemas.openxmlformats.org/markup-compatibility/2006">
          <mc:Choice Requires="x14">
            <control shapeId="5955" r:id="rId73" name="Button 835">
              <controlPr defaultSize="0" print="0" autoFill="0" autoPict="0" macro="[0]!AGONAL.AGONAL">
                <anchor moveWithCells="1" sizeWithCells="1">
                  <from>
                    <xdr:col>0</xdr:col>
                    <xdr:colOff>292100</xdr:colOff>
                    <xdr:row>414</xdr:row>
                    <xdr:rowOff>12700</xdr:rowOff>
                  </from>
                  <to>
                    <xdr:col>2</xdr:col>
                    <xdr:colOff>254000</xdr:colOff>
                    <xdr:row>415</xdr:row>
                    <xdr:rowOff>38100</xdr:rowOff>
                  </to>
                </anchor>
              </controlPr>
            </control>
          </mc:Choice>
        </mc:AlternateContent>
        <mc:AlternateContent xmlns:mc="http://schemas.openxmlformats.org/markup-compatibility/2006">
          <mc:Choice Requires="x14">
            <control shapeId="5957" r:id="rId74" name="Button 837">
              <controlPr defaultSize="0" print="0" autoFill="0" autoPict="0" macro="[0]!AGONAL.AGONAL">
                <anchor moveWithCells="1" sizeWithCells="1">
                  <from>
                    <xdr:col>3</xdr:col>
                    <xdr:colOff>711200</xdr:colOff>
                    <xdr:row>561</xdr:row>
                    <xdr:rowOff>12700</xdr:rowOff>
                  </from>
                  <to>
                    <xdr:col>4</xdr:col>
                    <xdr:colOff>139700</xdr:colOff>
                    <xdr:row>561</xdr:row>
                    <xdr:rowOff>203200</xdr:rowOff>
                  </to>
                </anchor>
              </controlPr>
            </control>
          </mc:Choice>
        </mc:AlternateContent>
        <mc:AlternateContent xmlns:mc="http://schemas.openxmlformats.org/markup-compatibility/2006">
          <mc:Choice Requires="x14">
            <control shapeId="5958" r:id="rId75" name="Button 838">
              <controlPr defaultSize="0" print="0" autoFill="0" autoPict="0" macro="[0]!AGONAL.AGONAL">
                <anchor moveWithCells="1" sizeWithCells="1">
                  <from>
                    <xdr:col>4</xdr:col>
                    <xdr:colOff>76200</xdr:colOff>
                    <xdr:row>24</xdr:row>
                    <xdr:rowOff>76200</xdr:rowOff>
                  </from>
                  <to>
                    <xdr:col>5</xdr:col>
                    <xdr:colOff>419100</xdr:colOff>
                    <xdr:row>25</xdr:row>
                    <xdr:rowOff>114300</xdr:rowOff>
                  </to>
                </anchor>
              </controlPr>
            </control>
          </mc:Choice>
        </mc:AlternateContent>
        <mc:AlternateContent xmlns:mc="http://schemas.openxmlformats.org/markup-compatibility/2006">
          <mc:Choice Requires="x14">
            <control shapeId="5960" r:id="rId76" name="Button 840">
              <controlPr defaultSize="0" print="0" autoFill="0" autoPict="0" macro="[0]!AGONAL.AGONAL">
                <anchor moveWithCells="1" sizeWithCells="1">
                  <from>
                    <xdr:col>1</xdr:col>
                    <xdr:colOff>25400</xdr:colOff>
                    <xdr:row>3315</xdr:row>
                    <xdr:rowOff>12700</xdr:rowOff>
                  </from>
                  <to>
                    <xdr:col>3</xdr:col>
                    <xdr:colOff>63500</xdr:colOff>
                    <xdr:row>3316</xdr:row>
                    <xdr:rowOff>50800</xdr:rowOff>
                  </to>
                </anchor>
              </controlPr>
            </control>
          </mc:Choice>
        </mc:AlternateContent>
        <mc:AlternateContent xmlns:mc="http://schemas.openxmlformats.org/markup-compatibility/2006">
          <mc:Choice Requires="x14">
            <control shapeId="5962" r:id="rId77" name="Button 842">
              <controlPr defaultSize="0" print="0" autoFill="0" autoPict="0" macro="[0]!EIDS">
                <anchor moveWithCells="1" sizeWithCells="1">
                  <from>
                    <xdr:col>0</xdr:col>
                    <xdr:colOff>317500</xdr:colOff>
                    <xdr:row>3435</xdr:row>
                    <xdr:rowOff>12700</xdr:rowOff>
                  </from>
                  <to>
                    <xdr:col>2</xdr:col>
                    <xdr:colOff>139700</xdr:colOff>
                    <xdr:row>3435</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showInputMessage="1" showErrorMessage="1" xr:uid="{00000000-0002-0000-0100-000006000000}">
          <x14:formula1>
            <xm:f>Data!$H$2:$H$6</xm:f>
          </x14:formula1>
          <xm:sqref>L3434:M3434</xm:sqref>
        </x14:dataValidation>
        <x14:dataValidation type="list" showInputMessage="1" showErrorMessage="1" xr:uid="{00000000-0002-0000-0100-000007000000}">
          <x14:formula1>
            <xm:f>Data!$I$2:$I$4</xm:f>
          </x14:formula1>
          <xm:sqref>F138 F561 F515 F467 G586:H586 G3437:H3437 G35:H35 F415 F325 F279 F180</xm:sqref>
        </x14:dataValidation>
        <x14:dataValidation type="list" showInputMessage="1" showErrorMessage="1" xr:uid="{00000000-0002-0000-0100-000008000000}">
          <x14:formula1>
            <xm:f>Data!$G$15:$G$19</xm:f>
          </x14:formula1>
          <xm:sqref>F286</xm:sqref>
        </x14:dataValidation>
        <x14:dataValidation type="list" showInputMessage="1" showErrorMessage="1" xr:uid="{00000000-0002-0000-0100-000009000000}">
          <x14:formula1>
            <xm:f>Data!$G$22:$G$24</xm:f>
          </x14:formula1>
          <xm:sqref>I279:K279 I467:K467 I180:K180</xm:sqref>
        </x14:dataValidation>
        <x14:dataValidation type="list" allowBlank="1" showInputMessage="1" showErrorMessage="1" xr:uid="{00000000-0002-0000-0100-00000A000000}">
          <x14:formula1>
            <xm:f>Data!$H$31:$H$34</xm:f>
          </x14:formula1>
          <xm:sqref>G124</xm:sqref>
        </x14:dataValidation>
        <x14:dataValidation type="list" allowBlank="1" showInputMessage="1" showErrorMessage="1" xr:uid="{00000000-0002-0000-0100-00000B000000}">
          <x14:formula1>
            <xm:f>Data!$H$36:$H$38</xm:f>
          </x14:formula1>
          <xm:sqref>G150</xm:sqref>
        </x14:dataValidation>
        <x14:dataValidation type="list" allowBlank="1" showInputMessage="1" showErrorMessage="1" xr:uid="{00000000-0002-0000-0100-00000C000000}">
          <x14:formula1>
            <xm:f>Data!$H$40:$H$42</xm:f>
          </x14:formula1>
          <xm:sqref>G251</xm:sqref>
        </x14:dataValidation>
        <x14:dataValidation type="list" allowBlank="1" showInputMessage="1" showErrorMessage="1" xr:uid="{00000000-0002-0000-0100-00000D000000}">
          <x14:formula1>
            <xm:f>Data!$L$31:$L$32</xm:f>
          </x14:formula1>
          <xm:sqref>G288</xm:sqref>
        </x14:dataValidation>
        <x14:dataValidation type="list" allowBlank="1" showInputMessage="1" showErrorMessage="1" xr:uid="{00000000-0002-0000-0100-00000E000000}">
          <x14:formula1>
            <xm:f>Data!$L$34:$L$35</xm:f>
          </x14:formula1>
          <xm:sqref>G298</xm:sqref>
        </x14:dataValidation>
        <x14:dataValidation type="list" allowBlank="1" showInputMessage="1" showErrorMessage="1" xr:uid="{00000000-0002-0000-0100-00000F000000}">
          <x14:formula1>
            <xm:f>Data!$L$37:$L$39</xm:f>
          </x14:formula1>
          <xm:sqref>G312</xm:sqref>
        </x14:dataValidation>
        <x14:dataValidation type="list" allowBlank="1" showInputMessage="1" showErrorMessage="1" xr:uid="{00000000-0002-0000-0100-000010000000}">
          <x14:formula1>
            <xm:f>Data!$P$31:$P$34</xm:f>
          </x14:formula1>
          <xm:sqref>G350</xm:sqref>
        </x14:dataValidation>
        <x14:dataValidation type="list" allowBlank="1" showInputMessage="1" showErrorMessage="1" xr:uid="{00000000-0002-0000-0100-000011000000}">
          <x14:formula1>
            <xm:f>Data!$P$36:$P$38</xm:f>
          </x14:formula1>
          <xm:sqref>G358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FF0000"/>
  </sheetPr>
  <dimension ref="B1:V86"/>
  <sheetViews>
    <sheetView showRuler="0" view="pageLayout" zoomScaleNormal="100" workbookViewId="0">
      <selection activeCell="C4" sqref="C4:D4"/>
    </sheetView>
  </sheetViews>
  <sheetFormatPr baseColWidth="10" defaultColWidth="9.1640625" defaultRowHeight="15" x14ac:dyDescent="0.2"/>
  <cols>
    <col min="1" max="2" width="5.1640625" style="58" customWidth="1"/>
    <col min="3" max="3" width="6.1640625" style="58" customWidth="1"/>
    <col min="4" max="4" width="18" style="58" customWidth="1"/>
    <col min="5" max="5" width="2.83203125" style="58" customWidth="1"/>
    <col min="6" max="6" width="13.1640625" style="58" bestFit="1" customWidth="1"/>
    <col min="7" max="7" width="9.5" style="58" customWidth="1"/>
    <col min="8" max="8" width="4.83203125" style="58" customWidth="1"/>
    <col min="9" max="9" width="2.83203125" style="58" customWidth="1"/>
    <col min="10" max="12" width="3.6640625" style="58" customWidth="1"/>
    <col min="13" max="13" width="4" style="58" customWidth="1"/>
    <col min="14" max="15" width="4.1640625" style="58" customWidth="1"/>
    <col min="16" max="16" width="6.33203125" style="58" customWidth="1"/>
    <col min="17" max="17" width="20.1640625" style="58" bestFit="1" customWidth="1"/>
    <col min="18" max="18" width="9.1640625" style="58"/>
    <col min="19" max="19" width="12.1640625" style="58" bestFit="1" customWidth="1"/>
    <col min="20" max="20" width="2.33203125" style="58" bestFit="1" customWidth="1"/>
    <col min="21" max="16384" width="9.1640625" style="58"/>
  </cols>
  <sheetData>
    <row r="1" spans="2:22" ht="11.25" customHeight="1" thickBot="1" x14ac:dyDescent="0.25">
      <c r="R1"/>
      <c r="T1"/>
      <c r="V1"/>
    </row>
    <row r="2" spans="2:22" ht="20" thickBot="1" x14ac:dyDescent="0.3">
      <c r="F2" s="60" t="s">
        <v>217</v>
      </c>
      <c r="G2" s="76">
        <f>SUM(M19,L42,L64,L81)</f>
        <v>0</v>
      </c>
      <c r="H2" s="61" t="s">
        <v>1</v>
      </c>
      <c r="I2" s="947">
        <v>38</v>
      </c>
      <c r="J2" s="948"/>
      <c r="L2" s="61"/>
      <c r="M2" s="61"/>
      <c r="N2" s="949">
        <f>SUM(G2/I2)</f>
        <v>0</v>
      </c>
      <c r="O2" s="950"/>
      <c r="Q2"/>
      <c r="R2"/>
      <c r="S2"/>
      <c r="V2"/>
    </row>
    <row r="3" spans="2:22" ht="9.75" customHeight="1" x14ac:dyDescent="0.2">
      <c r="Q3"/>
      <c r="R3"/>
      <c r="S3"/>
      <c r="V3"/>
    </row>
    <row r="4" spans="2:22" ht="14.25" customHeight="1" x14ac:dyDescent="0.2">
      <c r="B4" s="62" t="s">
        <v>2</v>
      </c>
      <c r="C4" s="951"/>
      <c r="D4" s="659"/>
      <c r="F4" s="62" t="s">
        <v>3</v>
      </c>
      <c r="G4" s="951"/>
      <c r="H4" s="659"/>
      <c r="J4" s="952" t="s">
        <v>218</v>
      </c>
      <c r="K4" s="953"/>
      <c r="L4" s="714" t="s">
        <v>92</v>
      </c>
      <c r="M4" s="714"/>
      <c r="N4" s="714"/>
      <c r="O4" s="715"/>
      <c r="Q4"/>
      <c r="R4"/>
      <c r="S4"/>
      <c r="V4"/>
    </row>
    <row r="5" spans="2:22" ht="7.5" customHeight="1" x14ac:dyDescent="0.2">
      <c r="Q5" s="22"/>
      <c r="R5"/>
      <c r="S5"/>
      <c r="V5"/>
    </row>
    <row r="6" spans="2:22" ht="14.25" customHeight="1" x14ac:dyDescent="0.2">
      <c r="B6" s="954" t="s">
        <v>219</v>
      </c>
      <c r="C6" s="955"/>
      <c r="D6" s="63" t="s">
        <v>91</v>
      </c>
      <c r="F6" s="77" t="s">
        <v>6</v>
      </c>
      <c r="G6" s="64"/>
      <c r="H6" s="65" t="s">
        <v>220</v>
      </c>
      <c r="J6" s="947" t="s">
        <v>221</v>
      </c>
      <c r="K6" s="948"/>
      <c r="L6" s="660" t="s">
        <v>92</v>
      </c>
      <c r="M6" s="661"/>
      <c r="N6" s="661"/>
      <c r="O6" s="662"/>
      <c r="Q6" s="22"/>
      <c r="R6"/>
      <c r="V6"/>
    </row>
    <row r="7" spans="2:22" ht="8.25" customHeight="1" thickBot="1" x14ac:dyDescent="0.25">
      <c r="Q7" s="22"/>
      <c r="R7"/>
      <c r="V7"/>
    </row>
    <row r="8" spans="2:22" ht="14.25" customHeight="1" x14ac:dyDescent="0.2">
      <c r="B8" s="917" t="s">
        <v>250</v>
      </c>
      <c r="C8" s="918"/>
      <c r="D8" s="918"/>
      <c r="E8" s="918"/>
      <c r="F8" s="918"/>
      <c r="G8" s="918"/>
      <c r="H8" s="918"/>
      <c r="I8" s="918"/>
      <c r="J8" s="918"/>
      <c r="K8" s="918"/>
      <c r="L8" s="918"/>
      <c r="M8" s="918"/>
      <c r="N8" s="918"/>
      <c r="O8" s="919"/>
      <c r="Q8"/>
      <c r="R8"/>
    </row>
    <row r="9" spans="2:22" ht="14.25" customHeight="1" thickBot="1" x14ac:dyDescent="0.25">
      <c r="B9" s="920"/>
      <c r="C9" s="921"/>
      <c r="D9" s="921"/>
      <c r="E9" s="921"/>
      <c r="F9" s="921"/>
      <c r="G9" s="921"/>
      <c r="H9" s="921"/>
      <c r="I9" s="921"/>
      <c r="J9" s="921"/>
      <c r="K9" s="921"/>
      <c r="L9" s="921"/>
      <c r="M9" s="921"/>
      <c r="N9" s="921"/>
      <c r="O9" s="922"/>
      <c r="Q9"/>
      <c r="R9"/>
    </row>
    <row r="10" spans="2:22" ht="14.25" customHeight="1" x14ac:dyDescent="0.2">
      <c r="B10" s="60">
        <v>1</v>
      </c>
      <c r="C10" s="956" t="s">
        <v>97</v>
      </c>
      <c r="D10" s="956"/>
      <c r="E10" s="956"/>
      <c r="F10" s="956"/>
      <c r="G10" s="956"/>
      <c r="H10" s="956"/>
      <c r="I10" s="956"/>
      <c r="J10" s="66" t="s">
        <v>211</v>
      </c>
      <c r="K10" s="67" t="s">
        <v>215</v>
      </c>
      <c r="L10" s="66" t="s">
        <v>211</v>
      </c>
      <c r="M10" s="67" t="s">
        <v>214</v>
      </c>
      <c r="N10" s="66" t="s">
        <v>211</v>
      </c>
      <c r="O10" s="67" t="s">
        <v>213</v>
      </c>
      <c r="Q10"/>
      <c r="R10"/>
      <c r="T10" s="13"/>
    </row>
    <row r="11" spans="2:22" ht="14.25" customHeight="1" x14ac:dyDescent="0.2">
      <c r="B11" s="60" t="s">
        <v>9</v>
      </c>
      <c r="C11" s="914" t="s">
        <v>13</v>
      </c>
      <c r="D11" s="914"/>
      <c r="E11" s="914"/>
      <c r="F11" s="914"/>
      <c r="G11" s="914"/>
      <c r="H11" s="914"/>
      <c r="I11" s="914"/>
      <c r="J11" s="66" t="s">
        <v>211</v>
      </c>
      <c r="K11" s="67" t="s">
        <v>215</v>
      </c>
      <c r="L11" s="66" t="s">
        <v>211</v>
      </c>
      <c r="M11" s="67" t="s">
        <v>214</v>
      </c>
      <c r="N11" s="66" t="s">
        <v>211</v>
      </c>
      <c r="O11" s="67" t="s">
        <v>213</v>
      </c>
      <c r="Q11"/>
      <c r="R11"/>
    </row>
    <row r="12" spans="2:22" ht="14.25" customHeight="1" x14ac:dyDescent="0.2">
      <c r="B12" s="60" t="s">
        <v>180</v>
      </c>
      <c r="C12" s="914" t="s">
        <v>178</v>
      </c>
      <c r="D12" s="914"/>
      <c r="E12" s="914"/>
      <c r="F12" s="914"/>
      <c r="G12" s="914"/>
      <c r="H12" s="914"/>
      <c r="I12" s="914"/>
      <c r="J12" s="66" t="s">
        <v>211</v>
      </c>
      <c r="K12" s="67" t="s">
        <v>215</v>
      </c>
      <c r="L12" s="66" t="s">
        <v>211</v>
      </c>
      <c r="M12" s="67" t="s">
        <v>214</v>
      </c>
      <c r="N12" s="66" t="s">
        <v>211</v>
      </c>
      <c r="O12" s="67" t="s">
        <v>213</v>
      </c>
      <c r="Q12"/>
      <c r="R12"/>
    </row>
    <row r="13" spans="2:22" ht="14.25" customHeight="1" x14ac:dyDescent="0.2">
      <c r="B13" s="60">
        <v>2</v>
      </c>
      <c r="C13" s="946" t="s">
        <v>99</v>
      </c>
      <c r="D13" s="946"/>
      <c r="E13" s="946"/>
      <c r="F13" s="946"/>
      <c r="G13" s="946"/>
      <c r="H13" s="946"/>
      <c r="I13" s="946"/>
      <c r="J13" s="66" t="s">
        <v>211</v>
      </c>
      <c r="K13" s="67" t="s">
        <v>215</v>
      </c>
      <c r="L13" s="66" t="s">
        <v>211</v>
      </c>
      <c r="M13" s="67" t="s">
        <v>214</v>
      </c>
      <c r="N13" s="66" t="s">
        <v>211</v>
      </c>
      <c r="O13" s="67" t="s">
        <v>213</v>
      </c>
      <c r="Q13"/>
      <c r="R13"/>
    </row>
    <row r="14" spans="2:22" ht="14.25" customHeight="1" x14ac:dyDescent="0.2">
      <c r="B14" s="60" t="s">
        <v>100</v>
      </c>
      <c r="C14" s="946" t="s">
        <v>101</v>
      </c>
      <c r="D14" s="946"/>
      <c r="E14" s="946"/>
      <c r="F14" s="946"/>
      <c r="G14" s="946"/>
      <c r="H14" s="946"/>
      <c r="I14" s="946"/>
      <c r="J14" s="66" t="s">
        <v>211</v>
      </c>
      <c r="K14" s="67" t="s">
        <v>215</v>
      </c>
      <c r="L14" s="66" t="s">
        <v>211</v>
      </c>
      <c r="M14" s="67" t="s">
        <v>214</v>
      </c>
      <c r="N14" s="66" t="s">
        <v>211</v>
      </c>
      <c r="O14" s="67" t="s">
        <v>213</v>
      </c>
      <c r="Q14"/>
      <c r="R14"/>
    </row>
    <row r="15" spans="2:22" ht="14.25" customHeight="1" x14ac:dyDescent="0.2">
      <c r="B15" s="60">
        <v>3</v>
      </c>
      <c r="C15" s="946" t="s">
        <v>198</v>
      </c>
      <c r="D15" s="946"/>
      <c r="E15" s="946"/>
      <c r="F15" s="946"/>
      <c r="G15" s="946"/>
      <c r="H15" s="946"/>
      <c r="I15" s="946"/>
      <c r="J15" s="66" t="s">
        <v>211</v>
      </c>
      <c r="K15" s="67" t="s">
        <v>215</v>
      </c>
      <c r="L15" s="66" t="s">
        <v>211</v>
      </c>
      <c r="M15" s="67" t="s">
        <v>214</v>
      </c>
      <c r="N15" s="66" t="s">
        <v>211</v>
      </c>
      <c r="O15" s="67" t="s">
        <v>213</v>
      </c>
      <c r="Q15"/>
      <c r="R15"/>
    </row>
    <row r="16" spans="2:22" ht="14.25" customHeight="1" x14ac:dyDescent="0.2">
      <c r="B16" s="60">
        <v>4</v>
      </c>
      <c r="C16" s="946" t="s">
        <v>184</v>
      </c>
      <c r="D16" s="946"/>
      <c r="E16" s="946"/>
      <c r="F16" s="946"/>
      <c r="G16" s="946"/>
      <c r="H16" s="946"/>
      <c r="I16" s="946"/>
      <c r="J16" s="66" t="s">
        <v>211</v>
      </c>
      <c r="K16" s="67" t="s">
        <v>215</v>
      </c>
      <c r="L16" s="66" t="s">
        <v>211</v>
      </c>
      <c r="M16" s="67" t="s">
        <v>214</v>
      </c>
      <c r="N16" s="66" t="s">
        <v>211</v>
      </c>
      <c r="O16" s="67" t="s">
        <v>213</v>
      </c>
      <c r="Q16"/>
      <c r="R16"/>
    </row>
    <row r="17" spans="2:22" ht="14.25" customHeight="1" x14ac:dyDescent="0.2">
      <c r="B17" s="60" t="s">
        <v>246</v>
      </c>
      <c r="C17" s="946" t="s">
        <v>185</v>
      </c>
      <c r="D17" s="946"/>
      <c r="E17" s="946"/>
      <c r="F17" s="946"/>
      <c r="G17" s="946"/>
      <c r="H17" s="946"/>
      <c r="I17" s="946"/>
      <c r="J17" s="66" t="s">
        <v>211</v>
      </c>
      <c r="K17" s="67" t="s">
        <v>215</v>
      </c>
      <c r="L17" s="66" t="s">
        <v>211</v>
      </c>
      <c r="M17" s="67" t="s">
        <v>214</v>
      </c>
      <c r="N17" s="66" t="s">
        <v>211</v>
      </c>
      <c r="O17" s="67" t="s">
        <v>213</v>
      </c>
      <c r="Q17"/>
      <c r="R17" s="13"/>
    </row>
    <row r="18" spans="2:22" ht="14.25" customHeight="1" thickBot="1" x14ac:dyDescent="0.25">
      <c r="C18" s="660" t="s">
        <v>120</v>
      </c>
      <c r="D18" s="661"/>
      <c r="E18" s="662"/>
      <c r="F18" s="78" t="e">
        <f>VLOOKUP(C18,Data!J49:K52,2,FALSE)</f>
        <v>#N/A</v>
      </c>
      <c r="I18" s="11"/>
      <c r="J18" s="11">
        <f>COUNTIF(J10:J17,Data!A1)</f>
        <v>0</v>
      </c>
      <c r="K18" s="11"/>
      <c r="L18" s="11">
        <f>COUNTIF(L10:L17,Data!A1)</f>
        <v>0</v>
      </c>
      <c r="M18" s="11"/>
      <c r="N18" s="11">
        <f>COUNTIF(N10:N17,Data!A1)</f>
        <v>0</v>
      </c>
      <c r="O18" s="11"/>
      <c r="Q18"/>
      <c r="R18" s="13"/>
      <c r="V18" s="13"/>
    </row>
    <row r="19" spans="2:22" ht="20" thickBot="1" x14ac:dyDescent="0.3">
      <c r="F19" s="926" t="s">
        <v>222</v>
      </c>
      <c r="G19" s="926"/>
      <c r="H19" s="68">
        <v>8</v>
      </c>
      <c r="I19" s="944" t="s">
        <v>223</v>
      </c>
      <c r="J19" s="944"/>
      <c r="K19" s="944"/>
      <c r="L19" s="945"/>
      <c r="M19" s="938">
        <f>SUM(J18,L18)</f>
        <v>0</v>
      </c>
      <c r="N19" s="939"/>
      <c r="O19" s="69"/>
      <c r="Q19"/>
      <c r="R19" s="13"/>
      <c r="V19" s="13"/>
    </row>
    <row r="20" spans="2:22" ht="14.25" customHeight="1" x14ac:dyDescent="0.2">
      <c r="B20" s="58" t="s">
        <v>15</v>
      </c>
      <c r="Q20"/>
      <c r="R20" s="13"/>
      <c r="V20" s="13"/>
    </row>
    <row r="21" spans="2:22" ht="14.25" customHeight="1" x14ac:dyDescent="0.2">
      <c r="B21" s="642"/>
      <c r="C21" s="643"/>
      <c r="D21" s="643"/>
      <c r="E21" s="643"/>
      <c r="F21" s="643"/>
      <c r="G21" s="643"/>
      <c r="H21" s="643"/>
      <c r="I21" s="643"/>
      <c r="J21" s="643"/>
      <c r="K21" s="643"/>
      <c r="L21" s="643"/>
      <c r="M21" s="643"/>
      <c r="N21" s="643"/>
      <c r="O21" s="644"/>
      <c r="Q21"/>
      <c r="R21"/>
      <c r="V21"/>
    </row>
    <row r="22" spans="2:22" ht="14.25" customHeight="1" x14ac:dyDescent="0.2">
      <c r="B22" s="645"/>
      <c r="C22" s="916"/>
      <c r="D22" s="916"/>
      <c r="E22" s="916"/>
      <c r="F22" s="916"/>
      <c r="G22" s="916"/>
      <c r="H22" s="916"/>
      <c r="I22" s="916"/>
      <c r="J22" s="916"/>
      <c r="K22" s="916"/>
      <c r="L22" s="916"/>
      <c r="M22" s="916"/>
      <c r="N22" s="916"/>
      <c r="O22" s="647"/>
      <c r="Q22"/>
      <c r="R22"/>
      <c r="V22"/>
    </row>
    <row r="23" spans="2:22" ht="14.25" customHeight="1" x14ac:dyDescent="0.2">
      <c r="B23" s="645"/>
      <c r="C23" s="916"/>
      <c r="D23" s="916"/>
      <c r="E23" s="916"/>
      <c r="F23" s="916"/>
      <c r="G23" s="916"/>
      <c r="H23" s="916"/>
      <c r="I23" s="916"/>
      <c r="J23" s="916"/>
      <c r="K23" s="916"/>
      <c r="L23" s="916"/>
      <c r="M23" s="916"/>
      <c r="N23" s="916"/>
      <c r="O23" s="647"/>
      <c r="Q23"/>
      <c r="R23"/>
      <c r="V23"/>
    </row>
    <row r="24" spans="2:22" ht="14.25" customHeight="1" x14ac:dyDescent="0.2">
      <c r="B24" s="648"/>
      <c r="C24" s="649"/>
      <c r="D24" s="649"/>
      <c r="E24" s="649"/>
      <c r="F24" s="649"/>
      <c r="G24" s="649"/>
      <c r="H24" s="649"/>
      <c r="I24" s="649"/>
      <c r="J24" s="649"/>
      <c r="K24" s="649"/>
      <c r="L24" s="649"/>
      <c r="M24" s="649"/>
      <c r="N24" s="649"/>
      <c r="O24" s="650"/>
      <c r="Q24"/>
      <c r="R24"/>
      <c r="V24"/>
    </row>
    <row r="25" spans="2:22" ht="8.25" customHeight="1" thickBot="1" x14ac:dyDescent="0.25">
      <c r="Q25"/>
      <c r="R25" s="2"/>
      <c r="V25"/>
    </row>
    <row r="26" spans="2:22" ht="14.25" customHeight="1" x14ac:dyDescent="0.2">
      <c r="B26" s="917" t="s">
        <v>251</v>
      </c>
      <c r="C26" s="918"/>
      <c r="D26" s="918"/>
      <c r="E26" s="918"/>
      <c r="F26" s="918"/>
      <c r="G26" s="918"/>
      <c r="H26" s="918"/>
      <c r="I26" s="918"/>
      <c r="J26" s="918"/>
      <c r="K26" s="918"/>
      <c r="L26" s="918"/>
      <c r="M26" s="918"/>
      <c r="N26" s="918"/>
      <c r="O26" s="919"/>
      <c r="Q26"/>
      <c r="R26"/>
      <c r="V26"/>
    </row>
    <row r="27" spans="2:22" ht="14.25" customHeight="1" thickBot="1" x14ac:dyDescent="0.25">
      <c r="B27" s="920"/>
      <c r="C27" s="921"/>
      <c r="D27" s="921"/>
      <c r="E27" s="921"/>
      <c r="F27" s="921"/>
      <c r="G27" s="921"/>
      <c r="H27" s="921"/>
      <c r="I27" s="921"/>
      <c r="J27" s="921"/>
      <c r="K27" s="921"/>
      <c r="L27" s="921"/>
      <c r="M27" s="921"/>
      <c r="N27" s="921"/>
      <c r="O27" s="922"/>
      <c r="Q27"/>
      <c r="R27"/>
      <c r="S27"/>
      <c r="V27"/>
    </row>
    <row r="28" spans="2:22" ht="14.25" customHeight="1" x14ac:dyDescent="0.2">
      <c r="B28" s="70">
        <v>1</v>
      </c>
      <c r="C28" s="913" t="s">
        <v>186</v>
      </c>
      <c r="D28" s="913"/>
      <c r="E28" s="913"/>
      <c r="F28" s="913"/>
      <c r="G28" s="913"/>
      <c r="H28" s="913"/>
      <c r="I28" s="913"/>
      <c r="J28" s="66" t="s">
        <v>211</v>
      </c>
      <c r="K28" s="67" t="s">
        <v>215</v>
      </c>
      <c r="L28" s="66" t="s">
        <v>211</v>
      </c>
      <c r="M28" s="67" t="s">
        <v>214</v>
      </c>
      <c r="N28" s="66" t="s">
        <v>211</v>
      </c>
      <c r="O28" s="67" t="s">
        <v>213</v>
      </c>
      <c r="Q28"/>
      <c r="R28"/>
      <c r="V28" s="3"/>
    </row>
    <row r="29" spans="2:22" ht="14.25" customHeight="1" x14ac:dyDescent="0.2">
      <c r="B29" s="60">
        <v>2</v>
      </c>
      <c r="C29" s="914" t="s">
        <v>187</v>
      </c>
      <c r="D29" s="914"/>
      <c r="E29" s="914"/>
      <c r="F29" s="914"/>
      <c r="G29" s="914"/>
      <c r="H29" s="914"/>
      <c r="I29" s="914"/>
      <c r="J29" s="66" t="s">
        <v>211</v>
      </c>
      <c r="K29" s="67" t="s">
        <v>215</v>
      </c>
      <c r="L29" s="66" t="s">
        <v>211</v>
      </c>
      <c r="M29" s="67" t="s">
        <v>214</v>
      </c>
      <c r="N29" s="66" t="s">
        <v>211</v>
      </c>
      <c r="O29" s="67" t="s">
        <v>213</v>
      </c>
      <c r="Q29"/>
      <c r="R29" s="10"/>
      <c r="V29" s="10"/>
    </row>
    <row r="30" spans="2:22" ht="14.25" customHeight="1" x14ac:dyDescent="0.2">
      <c r="B30" s="70" t="s">
        <v>11</v>
      </c>
      <c r="C30" s="915" t="s">
        <v>189</v>
      </c>
      <c r="D30" s="915"/>
      <c r="E30" s="915"/>
      <c r="F30" s="915"/>
      <c r="G30" s="915"/>
      <c r="H30" s="915"/>
      <c r="I30" s="915"/>
      <c r="J30" s="66" t="s">
        <v>211</v>
      </c>
      <c r="K30" s="67" t="s">
        <v>215</v>
      </c>
      <c r="L30" s="66" t="s">
        <v>211</v>
      </c>
      <c r="M30" s="67" t="s">
        <v>214</v>
      </c>
      <c r="N30" s="66" t="s">
        <v>211</v>
      </c>
      <c r="O30" s="67" t="s">
        <v>213</v>
      </c>
      <c r="Q30"/>
      <c r="R30"/>
      <c r="V30"/>
    </row>
    <row r="31" spans="2:22" ht="14.25" customHeight="1" x14ac:dyDescent="0.2">
      <c r="B31" s="60" t="s">
        <v>283</v>
      </c>
      <c r="C31" s="914" t="s">
        <v>188</v>
      </c>
      <c r="D31" s="914"/>
      <c r="E31" s="914"/>
      <c r="F31" s="914"/>
      <c r="G31" s="914"/>
      <c r="H31" s="914"/>
      <c r="I31" s="914"/>
      <c r="J31" s="66" t="s">
        <v>211</v>
      </c>
      <c r="K31" s="67" t="s">
        <v>215</v>
      </c>
      <c r="L31" s="66" t="s">
        <v>211</v>
      </c>
      <c r="M31" s="67" t="s">
        <v>214</v>
      </c>
      <c r="N31" s="66" t="s">
        <v>211</v>
      </c>
      <c r="O31" s="67" t="s">
        <v>213</v>
      </c>
      <c r="Q31"/>
      <c r="R31"/>
      <c r="V31"/>
    </row>
    <row r="32" spans="2:22" ht="14.25" customHeight="1" x14ac:dyDescent="0.2">
      <c r="B32" s="70">
        <v>3</v>
      </c>
      <c r="C32" s="915" t="s">
        <v>190</v>
      </c>
      <c r="D32" s="915"/>
      <c r="E32" s="915"/>
      <c r="F32" s="915"/>
      <c r="G32" s="915"/>
      <c r="H32" s="915"/>
      <c r="I32" s="915"/>
      <c r="J32" s="66" t="s">
        <v>211</v>
      </c>
      <c r="K32" s="67" t="s">
        <v>215</v>
      </c>
      <c r="L32" s="66" t="s">
        <v>211</v>
      </c>
      <c r="M32" s="67" t="s">
        <v>214</v>
      </c>
      <c r="N32" s="66" t="s">
        <v>211</v>
      </c>
      <c r="O32" s="67" t="s">
        <v>213</v>
      </c>
      <c r="Q32"/>
      <c r="R32"/>
      <c r="V32"/>
    </row>
    <row r="33" spans="2:22" ht="14.25" customHeight="1" x14ac:dyDescent="0.2">
      <c r="B33" s="60">
        <v>4</v>
      </c>
      <c r="C33" s="914" t="s">
        <v>191</v>
      </c>
      <c r="D33" s="914"/>
      <c r="E33" s="914"/>
      <c r="F33" s="914"/>
      <c r="G33" s="914"/>
      <c r="H33" s="914"/>
      <c r="I33" s="914"/>
      <c r="J33" s="66" t="s">
        <v>211</v>
      </c>
      <c r="K33" s="67" t="s">
        <v>215</v>
      </c>
      <c r="L33" s="66" t="s">
        <v>211</v>
      </c>
      <c r="M33" s="67" t="s">
        <v>214</v>
      </c>
      <c r="N33" s="66" t="s">
        <v>211</v>
      </c>
      <c r="O33" s="67" t="s">
        <v>213</v>
      </c>
      <c r="Q33"/>
      <c r="R33"/>
      <c r="V33"/>
    </row>
    <row r="34" spans="2:22" ht="14.25" customHeight="1" x14ac:dyDescent="0.2">
      <c r="B34" s="70">
        <v>5</v>
      </c>
      <c r="C34" s="915" t="s">
        <v>192</v>
      </c>
      <c r="D34" s="915"/>
      <c r="E34" s="915"/>
      <c r="F34" s="915"/>
      <c r="G34" s="915"/>
      <c r="H34" s="915"/>
      <c r="I34" s="915"/>
      <c r="J34" s="66" t="s">
        <v>211</v>
      </c>
      <c r="K34" s="67" t="s">
        <v>215</v>
      </c>
      <c r="L34" s="66" t="s">
        <v>211</v>
      </c>
      <c r="M34" s="67" t="s">
        <v>214</v>
      </c>
      <c r="N34" s="66" t="s">
        <v>211</v>
      </c>
      <c r="O34" s="67" t="s">
        <v>213</v>
      </c>
      <c r="Q34"/>
      <c r="R34"/>
      <c r="V34"/>
    </row>
    <row r="35" spans="2:22" ht="14.25" customHeight="1" x14ac:dyDescent="0.2">
      <c r="B35" s="60">
        <v>6</v>
      </c>
      <c r="C35" s="914" t="s">
        <v>320</v>
      </c>
      <c r="D35" s="914"/>
      <c r="E35" s="914"/>
      <c r="F35" s="914"/>
      <c r="G35" s="914"/>
      <c r="H35" s="914"/>
      <c r="I35" s="914"/>
      <c r="J35" s="66" t="s">
        <v>211</v>
      </c>
      <c r="K35" s="67" t="s">
        <v>215</v>
      </c>
      <c r="L35" s="66" t="s">
        <v>211</v>
      </c>
      <c r="M35" s="67" t="s">
        <v>214</v>
      </c>
      <c r="N35" s="66" t="s">
        <v>211</v>
      </c>
      <c r="O35" s="67" t="s">
        <v>213</v>
      </c>
      <c r="Q35"/>
      <c r="R35"/>
      <c r="V35"/>
    </row>
    <row r="36" spans="2:22" ht="14.25" customHeight="1" x14ac:dyDescent="0.2">
      <c r="B36" s="70">
        <v>7</v>
      </c>
      <c r="C36" s="915" t="s">
        <v>193</v>
      </c>
      <c r="D36" s="915"/>
      <c r="E36" s="915"/>
      <c r="F36" s="915"/>
      <c r="G36" s="915"/>
      <c r="H36" s="915"/>
      <c r="I36" s="915"/>
      <c r="J36" s="66" t="s">
        <v>211</v>
      </c>
      <c r="K36" s="67" t="s">
        <v>215</v>
      </c>
      <c r="L36" s="66" t="s">
        <v>211</v>
      </c>
      <c r="M36" s="67" t="s">
        <v>214</v>
      </c>
      <c r="N36" s="66" t="s">
        <v>211</v>
      </c>
      <c r="O36" s="67" t="s">
        <v>213</v>
      </c>
      <c r="Q36"/>
      <c r="R36"/>
      <c r="V36"/>
    </row>
    <row r="37" spans="2:22" ht="14.25" customHeight="1" x14ac:dyDescent="0.2">
      <c r="B37" s="60">
        <v>8</v>
      </c>
      <c r="C37" s="914" t="s">
        <v>40</v>
      </c>
      <c r="D37" s="914"/>
      <c r="E37" s="914"/>
      <c r="F37" s="914"/>
      <c r="G37" s="914"/>
      <c r="H37" s="914"/>
      <c r="I37" s="914"/>
      <c r="J37" s="66" t="s">
        <v>211</v>
      </c>
      <c r="K37" s="67" t="s">
        <v>215</v>
      </c>
      <c r="L37" s="66" t="s">
        <v>211</v>
      </c>
      <c r="M37" s="67" t="s">
        <v>213</v>
      </c>
      <c r="N37" s="66" t="s">
        <v>211</v>
      </c>
      <c r="O37" s="67" t="s">
        <v>214</v>
      </c>
      <c r="Q37"/>
      <c r="R37"/>
      <c r="V37"/>
    </row>
    <row r="38" spans="2:22" ht="14.25" customHeight="1" thickBot="1" x14ac:dyDescent="0.25">
      <c r="I38" s="11"/>
      <c r="J38" s="11">
        <f>COUNTIF(J28:J37,Data!A1)</f>
        <v>0</v>
      </c>
      <c r="K38" s="11"/>
      <c r="L38" s="11">
        <f>COUNTIF(L28:L37,Data!A1)</f>
        <v>0</v>
      </c>
      <c r="M38" s="11"/>
      <c r="N38" s="11">
        <f>COUNTIF(N28:N37,Data!A1)</f>
        <v>0</v>
      </c>
      <c r="O38" s="11"/>
      <c r="Q38"/>
      <c r="R38"/>
      <c r="V38"/>
    </row>
    <row r="39" spans="2:22" ht="14.25" customHeight="1" thickBot="1" x14ac:dyDescent="0.25">
      <c r="C39" s="914" t="s">
        <v>21</v>
      </c>
      <c r="D39" s="914"/>
      <c r="E39" s="914"/>
      <c r="F39" s="914"/>
      <c r="G39" s="914"/>
      <c r="H39" s="914"/>
      <c r="I39" s="914"/>
      <c r="J39" s="914"/>
      <c r="K39" s="914"/>
      <c r="M39" s="72">
        <v>0</v>
      </c>
      <c r="Q39"/>
      <c r="R39"/>
      <c r="S39"/>
      <c r="V39"/>
    </row>
    <row r="40" spans="2:22" ht="14.25" customHeight="1" x14ac:dyDescent="0.2">
      <c r="B40" s="914" t="s">
        <v>177</v>
      </c>
      <c r="C40" s="914"/>
      <c r="D40" s="914"/>
      <c r="E40" s="914"/>
      <c r="F40" s="914"/>
      <c r="G40" s="914"/>
      <c r="H40" s="914"/>
      <c r="I40" s="914"/>
      <c r="J40" s="914"/>
      <c r="K40" s="914"/>
      <c r="Q40"/>
      <c r="R40"/>
      <c r="V40"/>
    </row>
    <row r="41" spans="2:22" ht="14.25" customHeight="1" thickBot="1" x14ac:dyDescent="0.25">
      <c r="B41" s="61" t="s">
        <v>42</v>
      </c>
      <c r="C41" s="61"/>
      <c r="D41" s="73" t="s">
        <v>43</v>
      </c>
      <c r="F41" s="61" t="s">
        <v>44</v>
      </c>
      <c r="G41" s="60" t="s">
        <v>45</v>
      </c>
      <c r="H41" s="61"/>
      <c r="Q41"/>
      <c r="R41"/>
      <c r="V41"/>
    </row>
    <row r="42" spans="2:22" ht="20" thickBot="1" x14ac:dyDescent="0.3">
      <c r="B42" s="940" t="s">
        <v>137</v>
      </c>
      <c r="C42" s="940"/>
      <c r="D42" s="74" t="s">
        <v>138</v>
      </c>
      <c r="F42" s="74" t="s">
        <v>139</v>
      </c>
      <c r="G42" s="61">
        <v>10</v>
      </c>
      <c r="H42" s="61"/>
      <c r="I42" s="941" t="s">
        <v>0</v>
      </c>
      <c r="J42" s="941"/>
      <c r="K42" s="941"/>
      <c r="L42" s="942">
        <f>SUM(J38,L38-M39)</f>
        <v>0</v>
      </c>
      <c r="M42" s="943"/>
      <c r="N42" s="61"/>
      <c r="Q42"/>
      <c r="R42"/>
      <c r="V42"/>
    </row>
    <row r="43" spans="2:22" ht="7.25" customHeight="1" x14ac:dyDescent="0.2">
      <c r="R43"/>
      <c r="V43"/>
    </row>
    <row r="44" spans="2:22" hidden="1" x14ac:dyDescent="0.2">
      <c r="R44"/>
      <c r="V44"/>
    </row>
    <row r="45" spans="2:22" hidden="1" x14ac:dyDescent="0.2">
      <c r="R45"/>
      <c r="V45"/>
    </row>
    <row r="46" spans="2:22" hidden="1" x14ac:dyDescent="0.2">
      <c r="R46"/>
      <c r="V46"/>
    </row>
    <row r="47" spans="2:22" ht="14.25" customHeight="1" x14ac:dyDescent="0.2">
      <c r="R47"/>
      <c r="T47"/>
      <c r="U47"/>
      <c r="V47"/>
    </row>
    <row r="48" spans="2:22" x14ac:dyDescent="0.2">
      <c r="B48" s="58" t="s">
        <v>15</v>
      </c>
    </row>
    <row r="49" spans="2:15" ht="14.25" customHeight="1" x14ac:dyDescent="0.2">
      <c r="B49" s="642"/>
      <c r="C49" s="643"/>
      <c r="D49" s="643"/>
      <c r="E49" s="643"/>
      <c r="F49" s="643"/>
      <c r="G49" s="643"/>
      <c r="H49" s="643"/>
      <c r="I49" s="643"/>
      <c r="J49" s="643"/>
      <c r="K49" s="643"/>
      <c r="L49" s="643"/>
      <c r="M49" s="643"/>
      <c r="N49" s="643"/>
      <c r="O49" s="644"/>
    </row>
    <row r="50" spans="2:15" x14ac:dyDescent="0.2">
      <c r="B50" s="645"/>
      <c r="C50" s="916"/>
      <c r="D50" s="916"/>
      <c r="E50" s="916"/>
      <c r="F50" s="916"/>
      <c r="G50" s="916"/>
      <c r="H50" s="916"/>
      <c r="I50" s="916"/>
      <c r="J50" s="916"/>
      <c r="K50" s="916"/>
      <c r="L50" s="916"/>
      <c r="M50" s="916"/>
      <c r="N50" s="916"/>
      <c r="O50" s="647"/>
    </row>
    <row r="51" spans="2:15" x14ac:dyDescent="0.2">
      <c r="B51" s="645"/>
      <c r="C51" s="916"/>
      <c r="D51" s="916"/>
      <c r="E51" s="916"/>
      <c r="F51" s="916"/>
      <c r="G51" s="916"/>
      <c r="H51" s="916"/>
      <c r="I51" s="916"/>
      <c r="J51" s="916"/>
      <c r="K51" s="916"/>
      <c r="L51" s="916"/>
      <c r="M51" s="916"/>
      <c r="N51" s="916"/>
      <c r="O51" s="647"/>
    </row>
    <row r="52" spans="2:15" ht="14.25" customHeight="1" x14ac:dyDescent="0.2">
      <c r="B52" s="648"/>
      <c r="C52" s="649"/>
      <c r="D52" s="649"/>
      <c r="E52" s="649"/>
      <c r="F52" s="649"/>
      <c r="G52" s="649"/>
      <c r="H52" s="649"/>
      <c r="I52" s="649"/>
      <c r="J52" s="649"/>
      <c r="K52" s="649"/>
      <c r="L52" s="649"/>
      <c r="M52" s="649"/>
      <c r="N52" s="649"/>
      <c r="O52" s="650"/>
    </row>
    <row r="53" spans="2:15" ht="8.25" customHeight="1" thickBot="1" x14ac:dyDescent="0.25"/>
    <row r="54" spans="2:15" x14ac:dyDescent="0.2">
      <c r="B54" s="917" t="s">
        <v>252</v>
      </c>
      <c r="C54" s="918"/>
      <c r="D54" s="918"/>
      <c r="E54" s="918"/>
      <c r="F54" s="918"/>
      <c r="G54" s="918"/>
      <c r="H54" s="918"/>
      <c r="I54" s="918"/>
      <c r="J54" s="918"/>
      <c r="K54" s="918"/>
      <c r="L54" s="918"/>
      <c r="M54" s="918"/>
      <c r="N54" s="918"/>
      <c r="O54" s="919"/>
    </row>
    <row r="55" spans="2:15" ht="16" thickBot="1" x14ac:dyDescent="0.25">
      <c r="B55" s="920"/>
      <c r="C55" s="921"/>
      <c r="D55" s="921"/>
      <c r="E55" s="921"/>
      <c r="F55" s="921"/>
      <c r="G55" s="921"/>
      <c r="H55" s="921"/>
      <c r="I55" s="921"/>
      <c r="J55" s="921"/>
      <c r="K55" s="921"/>
      <c r="L55" s="921"/>
      <c r="M55" s="921"/>
      <c r="N55" s="921"/>
      <c r="O55" s="922"/>
    </row>
    <row r="56" spans="2:15" x14ac:dyDescent="0.2">
      <c r="B56" s="71">
        <v>1</v>
      </c>
      <c r="C56" s="913" t="s">
        <v>52</v>
      </c>
      <c r="D56" s="913"/>
      <c r="E56" s="913"/>
      <c r="F56" s="913"/>
      <c r="G56" s="913"/>
      <c r="H56" s="913"/>
      <c r="I56" s="913"/>
      <c r="J56" s="66" t="s">
        <v>211</v>
      </c>
      <c r="K56" s="67" t="s">
        <v>215</v>
      </c>
      <c r="L56" s="66" t="s">
        <v>211</v>
      </c>
      <c r="M56" s="67" t="s">
        <v>214</v>
      </c>
      <c r="N56" s="66" t="s">
        <v>211</v>
      </c>
      <c r="O56" s="67" t="s">
        <v>213</v>
      </c>
    </row>
    <row r="57" spans="2:15" x14ac:dyDescent="0.2">
      <c r="B57" s="58">
        <v>2</v>
      </c>
      <c r="C57" s="914" t="s">
        <v>170</v>
      </c>
      <c r="D57" s="914"/>
      <c r="E57" s="914"/>
      <c r="F57" s="914"/>
      <c r="G57" s="914"/>
      <c r="H57" s="914"/>
      <c r="I57" s="914"/>
      <c r="J57" s="66" t="s">
        <v>211</v>
      </c>
      <c r="K57" s="67" t="s">
        <v>215</v>
      </c>
      <c r="L57" s="66" t="s">
        <v>211</v>
      </c>
      <c r="M57" s="67" t="s">
        <v>214</v>
      </c>
      <c r="N57" s="66" t="s">
        <v>211</v>
      </c>
      <c r="O57" s="67" t="s">
        <v>213</v>
      </c>
    </row>
    <row r="58" spans="2:15" x14ac:dyDescent="0.2">
      <c r="B58" s="71">
        <v>3</v>
      </c>
      <c r="C58" s="915" t="s">
        <v>53</v>
      </c>
      <c r="D58" s="915"/>
      <c r="E58" s="915"/>
      <c r="F58" s="915"/>
      <c r="G58" s="915"/>
      <c r="H58" s="915"/>
      <c r="I58" s="915"/>
      <c r="J58" s="66" t="s">
        <v>211</v>
      </c>
      <c r="K58" s="67" t="s">
        <v>215</v>
      </c>
      <c r="L58" s="66" t="s">
        <v>211</v>
      </c>
      <c r="M58" s="67" t="s">
        <v>214</v>
      </c>
      <c r="N58" s="66" t="s">
        <v>211</v>
      </c>
      <c r="O58" s="67" t="s">
        <v>213</v>
      </c>
    </row>
    <row r="59" spans="2:15" x14ac:dyDescent="0.2">
      <c r="B59" s="58">
        <v>4</v>
      </c>
      <c r="C59" s="914" t="s">
        <v>171</v>
      </c>
      <c r="D59" s="914"/>
      <c r="E59" s="914"/>
      <c r="F59" s="914"/>
      <c r="G59" s="914"/>
      <c r="H59" s="914"/>
      <c r="I59" s="914"/>
      <c r="J59" s="66" t="s">
        <v>211</v>
      </c>
      <c r="K59" s="67" t="s">
        <v>215</v>
      </c>
      <c r="L59" s="66" t="s">
        <v>211</v>
      </c>
      <c r="M59" s="67" t="s">
        <v>214</v>
      </c>
      <c r="N59" s="66" t="s">
        <v>211</v>
      </c>
      <c r="O59" s="67" t="s">
        <v>213</v>
      </c>
    </row>
    <row r="60" spans="2:15" x14ac:dyDescent="0.2">
      <c r="B60" s="71"/>
      <c r="C60" s="915" t="s">
        <v>172</v>
      </c>
      <c r="D60" s="915"/>
      <c r="E60" s="915"/>
      <c r="F60" s="915"/>
      <c r="G60" s="915"/>
      <c r="H60" s="915"/>
      <c r="I60" s="915"/>
    </row>
    <row r="61" spans="2:15" x14ac:dyDescent="0.2">
      <c r="B61" s="58">
        <v>5</v>
      </c>
      <c r="C61" s="914" t="s">
        <v>173</v>
      </c>
      <c r="D61" s="914"/>
      <c r="E61" s="914"/>
      <c r="F61" s="914"/>
      <c r="G61" s="914"/>
      <c r="H61" s="914"/>
      <c r="I61" s="914"/>
      <c r="J61" s="66" t="s">
        <v>211</v>
      </c>
      <c r="K61" s="67" t="s">
        <v>215</v>
      </c>
      <c r="L61" s="66" t="s">
        <v>211</v>
      </c>
      <c r="M61" s="67" t="s">
        <v>214</v>
      </c>
      <c r="N61" s="66" t="s">
        <v>211</v>
      </c>
      <c r="O61" s="67" t="s">
        <v>213</v>
      </c>
    </row>
    <row r="62" spans="2:15" x14ac:dyDescent="0.2">
      <c r="B62" s="71">
        <v>6</v>
      </c>
      <c r="C62" s="915" t="s">
        <v>194</v>
      </c>
      <c r="D62" s="915"/>
      <c r="E62" s="915"/>
      <c r="F62" s="915"/>
      <c r="G62" s="915"/>
      <c r="H62" s="915"/>
      <c r="I62" s="915"/>
      <c r="J62" s="66" t="s">
        <v>211</v>
      </c>
      <c r="K62" s="67" t="s">
        <v>215</v>
      </c>
      <c r="L62" s="66" t="s">
        <v>211</v>
      </c>
      <c r="M62" s="67" t="s">
        <v>214</v>
      </c>
      <c r="N62" s="66" t="s">
        <v>211</v>
      </c>
      <c r="O62" s="67" t="s">
        <v>213</v>
      </c>
    </row>
    <row r="63" spans="2:15" ht="16" thickBot="1" x14ac:dyDescent="0.25">
      <c r="I63" s="11"/>
      <c r="J63" s="11">
        <f>COUNTIF(J56:J62,Data!A1)</f>
        <v>0</v>
      </c>
      <c r="K63" s="11"/>
      <c r="L63" s="11">
        <f>COUNTIF(L56:L62,Data!A1)</f>
        <v>0</v>
      </c>
      <c r="M63" s="11"/>
      <c r="N63" s="11">
        <f>COUNTIF(N56:N62,Data!A1)</f>
        <v>0</v>
      </c>
    </row>
    <row r="64" spans="2:15" ht="20" thickBot="1" x14ac:dyDescent="0.3">
      <c r="F64" s="926" t="s">
        <v>247</v>
      </c>
      <c r="G64" s="926"/>
      <c r="H64" s="926"/>
      <c r="I64" s="926"/>
      <c r="J64" s="926"/>
      <c r="K64" s="927"/>
      <c r="L64" s="936">
        <f>SUM(J63,L63)</f>
        <v>0</v>
      </c>
      <c r="M64" s="937"/>
    </row>
    <row r="65" spans="2:19" x14ac:dyDescent="0.2">
      <c r="B65" s="58" t="s">
        <v>15</v>
      </c>
    </row>
    <row r="66" spans="2:19" x14ac:dyDescent="0.2">
      <c r="B66" s="642"/>
      <c r="C66" s="643"/>
      <c r="D66" s="643"/>
      <c r="E66" s="643"/>
      <c r="F66" s="643"/>
      <c r="G66" s="643"/>
      <c r="H66" s="643"/>
      <c r="I66" s="643"/>
      <c r="J66" s="643"/>
      <c r="K66" s="643"/>
      <c r="L66" s="643"/>
      <c r="M66" s="643"/>
      <c r="N66" s="643"/>
      <c r="O66" s="644"/>
    </row>
    <row r="67" spans="2:19" x14ac:dyDescent="0.2">
      <c r="B67" s="645"/>
      <c r="C67" s="916"/>
      <c r="D67" s="916"/>
      <c r="E67" s="916"/>
      <c r="F67" s="916"/>
      <c r="G67" s="916"/>
      <c r="H67" s="916"/>
      <c r="I67" s="916"/>
      <c r="J67" s="916"/>
      <c r="K67" s="916"/>
      <c r="L67" s="916"/>
      <c r="M67" s="916"/>
      <c r="N67" s="916"/>
      <c r="O67" s="647"/>
    </row>
    <row r="68" spans="2:19" x14ac:dyDescent="0.2">
      <c r="B68" s="645"/>
      <c r="C68" s="916"/>
      <c r="D68" s="916"/>
      <c r="E68" s="916"/>
      <c r="F68" s="916"/>
      <c r="G68" s="916"/>
      <c r="H68" s="916"/>
      <c r="I68" s="916"/>
      <c r="J68" s="916"/>
      <c r="K68" s="916"/>
      <c r="L68" s="916"/>
      <c r="M68" s="916"/>
      <c r="N68" s="916"/>
      <c r="O68" s="647"/>
    </row>
    <row r="69" spans="2:19" ht="8.25" customHeight="1" x14ac:dyDescent="0.2">
      <c r="B69" s="648"/>
      <c r="C69" s="649"/>
      <c r="D69" s="649"/>
      <c r="E69" s="649"/>
      <c r="F69" s="649"/>
      <c r="G69" s="649"/>
      <c r="H69" s="649"/>
      <c r="I69" s="649"/>
      <c r="J69" s="649"/>
      <c r="K69" s="649"/>
      <c r="L69" s="649"/>
      <c r="M69" s="649"/>
      <c r="N69" s="649"/>
      <c r="O69" s="650"/>
      <c r="Q69"/>
    </row>
    <row r="70" spans="2:19" ht="16" thickBot="1" x14ac:dyDescent="0.25">
      <c r="Q70"/>
    </row>
    <row r="71" spans="2:19" x14ac:dyDescent="0.2">
      <c r="B71" s="917" t="s">
        <v>253</v>
      </c>
      <c r="C71" s="918"/>
      <c r="D71" s="918"/>
      <c r="E71" s="918"/>
      <c r="F71" s="918"/>
      <c r="G71" s="918"/>
      <c r="H71" s="918"/>
      <c r="I71" s="918"/>
      <c r="J71" s="918"/>
      <c r="K71" s="918"/>
      <c r="L71" s="918"/>
      <c r="M71" s="918"/>
      <c r="N71" s="918"/>
      <c r="O71" s="919"/>
      <c r="Q71"/>
    </row>
    <row r="72" spans="2:19" ht="16" thickBot="1" x14ac:dyDescent="0.25">
      <c r="B72" s="920"/>
      <c r="C72" s="921"/>
      <c r="D72" s="921"/>
      <c r="E72" s="921"/>
      <c r="F72" s="921"/>
      <c r="G72" s="921"/>
      <c r="H72" s="921"/>
      <c r="I72" s="921"/>
      <c r="J72" s="921"/>
      <c r="K72" s="921"/>
      <c r="L72" s="921"/>
      <c r="M72" s="921"/>
      <c r="N72" s="921"/>
      <c r="O72" s="922"/>
      <c r="Q72"/>
    </row>
    <row r="73" spans="2:19" ht="7.25" customHeight="1" x14ac:dyDescent="0.2">
      <c r="Q73"/>
      <c r="R73"/>
      <c r="S73"/>
    </row>
    <row r="74" spans="2:19" x14ac:dyDescent="0.2">
      <c r="B74" s="58">
        <v>1</v>
      </c>
      <c r="C74" s="914" t="s">
        <v>240</v>
      </c>
      <c r="D74" s="914"/>
      <c r="E74" s="914"/>
      <c r="F74" s="914"/>
      <c r="G74" s="914"/>
      <c r="H74" s="914"/>
      <c r="I74" s="914"/>
      <c r="J74" s="66" t="s">
        <v>211</v>
      </c>
      <c r="K74" s="67" t="s">
        <v>215</v>
      </c>
      <c r="L74" s="66" t="s">
        <v>211</v>
      </c>
      <c r="M74" s="67" t="s">
        <v>214</v>
      </c>
      <c r="N74" s="66" t="s">
        <v>211</v>
      </c>
      <c r="O74" s="67" t="s">
        <v>213</v>
      </c>
      <c r="Q74"/>
      <c r="S74"/>
    </row>
    <row r="75" spans="2:19" x14ac:dyDescent="0.2">
      <c r="B75" s="58">
        <v>2</v>
      </c>
      <c r="C75" s="914" t="s">
        <v>57</v>
      </c>
      <c r="D75" s="914"/>
      <c r="E75" s="914"/>
      <c r="F75" s="914"/>
      <c r="G75" s="914"/>
      <c r="H75" s="914"/>
      <c r="I75" s="914"/>
      <c r="J75" s="66" t="s">
        <v>211</v>
      </c>
      <c r="K75" s="67" t="s">
        <v>215</v>
      </c>
      <c r="L75" s="66" t="s">
        <v>211</v>
      </c>
      <c r="M75" s="67" t="s">
        <v>214</v>
      </c>
      <c r="N75" s="66" t="s">
        <v>211</v>
      </c>
      <c r="O75" s="67" t="s">
        <v>213</v>
      </c>
      <c r="Q75"/>
      <c r="S75"/>
    </row>
    <row r="76" spans="2:19" x14ac:dyDescent="0.2">
      <c r="B76" s="58">
        <v>3</v>
      </c>
      <c r="C76" s="914" t="s">
        <v>58</v>
      </c>
      <c r="D76" s="914"/>
      <c r="E76" s="914"/>
      <c r="F76" s="914"/>
      <c r="G76" s="914"/>
      <c r="H76" s="914"/>
      <c r="I76" s="914"/>
      <c r="J76" s="66" t="s">
        <v>211</v>
      </c>
      <c r="K76" s="67" t="s">
        <v>215</v>
      </c>
      <c r="L76" s="66" t="s">
        <v>211</v>
      </c>
      <c r="M76" s="67" t="s">
        <v>214</v>
      </c>
      <c r="N76" s="66" t="s">
        <v>211</v>
      </c>
      <c r="O76" s="67" t="s">
        <v>213</v>
      </c>
      <c r="Q76"/>
      <c r="S76"/>
    </row>
    <row r="77" spans="2:19" x14ac:dyDescent="0.2">
      <c r="B77" s="58">
        <v>4</v>
      </c>
      <c r="C77" s="914" t="s">
        <v>59</v>
      </c>
      <c r="D77" s="914"/>
      <c r="E77" s="914"/>
      <c r="F77" s="914"/>
      <c r="G77" s="914"/>
      <c r="H77" s="914"/>
      <c r="I77" s="914"/>
      <c r="J77" s="66" t="s">
        <v>211</v>
      </c>
      <c r="K77" s="67" t="s">
        <v>215</v>
      </c>
      <c r="L77" s="66" t="s">
        <v>211</v>
      </c>
      <c r="M77" s="67" t="s">
        <v>214</v>
      </c>
      <c r="N77" s="66" t="s">
        <v>211</v>
      </c>
      <c r="O77" s="67" t="s">
        <v>213</v>
      </c>
      <c r="S77"/>
    </row>
    <row r="78" spans="2:19" x14ac:dyDescent="0.2">
      <c r="B78" s="58">
        <v>5</v>
      </c>
      <c r="C78" s="914" t="s">
        <v>241</v>
      </c>
      <c r="D78" s="914"/>
      <c r="E78" s="914"/>
      <c r="F78" s="914"/>
      <c r="G78" s="914"/>
      <c r="H78" s="914"/>
      <c r="I78" s="914"/>
      <c r="L78" s="660"/>
      <c r="M78" s="662"/>
      <c r="N78" s="75" t="b">
        <f>IF(L78="C",10,IF(L78="O",7,IF(L78="A",4,IF(L78="R",0))))</f>
        <v>0</v>
      </c>
      <c r="S78"/>
    </row>
    <row r="79" spans="2:19" x14ac:dyDescent="0.2">
      <c r="C79" s="58" t="s">
        <v>1812</v>
      </c>
      <c r="R79"/>
      <c r="S79"/>
    </row>
    <row r="80" spans="2:19" ht="16" thickBot="1" x14ac:dyDescent="0.25">
      <c r="H80" s="11"/>
      <c r="I80" s="11"/>
      <c r="J80" s="11">
        <f>COUNTIF(J74:J77,Data!A1)</f>
        <v>0</v>
      </c>
      <c r="K80" s="11"/>
      <c r="L80" s="11">
        <f>COUNTIF(L74:L77,Data!A1)</f>
        <v>0</v>
      </c>
      <c r="M80" s="11"/>
      <c r="N80" s="11">
        <f>COUNTIF(N74:N77,Data!A1)</f>
        <v>0</v>
      </c>
      <c r="O80" s="11"/>
      <c r="R80"/>
      <c r="S80"/>
    </row>
    <row r="81" spans="2:15" ht="17" thickBot="1" x14ac:dyDescent="0.25">
      <c r="G81" s="923" t="s">
        <v>242</v>
      </c>
      <c r="H81" s="923"/>
      <c r="I81" s="923"/>
      <c r="J81" s="923"/>
      <c r="K81" s="923"/>
      <c r="L81" s="924">
        <f>SUM(J80,L80,N78)</f>
        <v>0</v>
      </c>
      <c r="M81" s="925"/>
    </row>
    <row r="82" spans="2:15" x14ac:dyDescent="0.2">
      <c r="B82" t="s">
        <v>15</v>
      </c>
      <c r="C82"/>
      <c r="D82"/>
      <c r="E82"/>
      <c r="F82"/>
      <c r="G82"/>
      <c r="H82"/>
      <c r="I82"/>
      <c r="J82"/>
      <c r="K82"/>
      <c r="L82"/>
      <c r="M82"/>
      <c r="N82"/>
      <c r="O82"/>
    </row>
    <row r="83" spans="2:15" x14ac:dyDescent="0.2">
      <c r="B83" s="500"/>
      <c r="C83" s="928"/>
      <c r="D83" s="928"/>
      <c r="E83" s="928"/>
      <c r="F83" s="928"/>
      <c r="G83" s="928"/>
      <c r="H83" s="928"/>
      <c r="I83" s="928"/>
      <c r="J83" s="928"/>
      <c r="K83" s="928"/>
      <c r="L83" s="928"/>
      <c r="M83" s="928"/>
      <c r="N83" s="928"/>
      <c r="O83" s="929"/>
    </row>
    <row r="84" spans="2:15" x14ac:dyDescent="0.2">
      <c r="B84" s="930"/>
      <c r="C84" s="931"/>
      <c r="D84" s="931"/>
      <c r="E84" s="931"/>
      <c r="F84" s="931"/>
      <c r="G84" s="931"/>
      <c r="H84" s="931"/>
      <c r="I84" s="931"/>
      <c r="J84" s="931"/>
      <c r="K84" s="931"/>
      <c r="L84" s="931"/>
      <c r="M84" s="931"/>
      <c r="N84" s="931"/>
      <c r="O84" s="932"/>
    </row>
    <row r="85" spans="2:15" x14ac:dyDescent="0.2">
      <c r="B85" s="930"/>
      <c r="C85" s="931"/>
      <c r="D85" s="931"/>
      <c r="E85" s="931"/>
      <c r="F85" s="931"/>
      <c r="G85" s="931"/>
      <c r="H85" s="931"/>
      <c r="I85" s="931"/>
      <c r="J85" s="931"/>
      <c r="K85" s="931"/>
      <c r="L85" s="931"/>
      <c r="M85" s="931"/>
      <c r="N85" s="931"/>
      <c r="O85" s="932"/>
    </row>
    <row r="86" spans="2:15" x14ac:dyDescent="0.2">
      <c r="B86" s="933"/>
      <c r="C86" s="934"/>
      <c r="D86" s="934"/>
      <c r="E86" s="934"/>
      <c r="F86" s="934"/>
      <c r="G86" s="934"/>
      <c r="H86" s="934"/>
      <c r="I86" s="934"/>
      <c r="J86" s="934"/>
      <c r="K86" s="934"/>
      <c r="L86" s="934"/>
      <c r="M86" s="934"/>
      <c r="N86" s="934"/>
      <c r="O86" s="935"/>
    </row>
  </sheetData>
  <sheetProtection password="CED8" sheet="1" objects="1" scenarios="1" formatCells="0" formatRows="0"/>
  <mergeCells count="61">
    <mergeCell ref="C11:I11"/>
    <mergeCell ref="I2:J2"/>
    <mergeCell ref="N2:O2"/>
    <mergeCell ref="C4:D4"/>
    <mergeCell ref="G4:H4"/>
    <mergeCell ref="J4:K4"/>
    <mergeCell ref="L4:O4"/>
    <mergeCell ref="B6:C6"/>
    <mergeCell ref="J6:K6"/>
    <mergeCell ref="L6:O6"/>
    <mergeCell ref="B8:O9"/>
    <mergeCell ref="C10:I10"/>
    <mergeCell ref="C12:I12"/>
    <mergeCell ref="C13:I13"/>
    <mergeCell ref="C14:I14"/>
    <mergeCell ref="C18:E18"/>
    <mergeCell ref="C16:I16"/>
    <mergeCell ref="C15:I15"/>
    <mergeCell ref="C17:I17"/>
    <mergeCell ref="M19:N19"/>
    <mergeCell ref="B21:O24"/>
    <mergeCell ref="B26:O27"/>
    <mergeCell ref="B42:C42"/>
    <mergeCell ref="I42:K42"/>
    <mergeCell ref="L42:M42"/>
    <mergeCell ref="C39:K39"/>
    <mergeCell ref="C37:I37"/>
    <mergeCell ref="C32:I32"/>
    <mergeCell ref="C31:I31"/>
    <mergeCell ref="F19:G19"/>
    <mergeCell ref="I19:L19"/>
    <mergeCell ref="C33:I33"/>
    <mergeCell ref="C30:I30"/>
    <mergeCell ref="C29:I29"/>
    <mergeCell ref="C28:I28"/>
    <mergeCell ref="C60:I60"/>
    <mergeCell ref="C59:I59"/>
    <mergeCell ref="C58:I58"/>
    <mergeCell ref="C61:I61"/>
    <mergeCell ref="C57:I57"/>
    <mergeCell ref="G81:K81"/>
    <mergeCell ref="L81:M81"/>
    <mergeCell ref="F64:K64"/>
    <mergeCell ref="B83:O86"/>
    <mergeCell ref="C62:I62"/>
    <mergeCell ref="B71:O72"/>
    <mergeCell ref="C74:I74"/>
    <mergeCell ref="C75:I75"/>
    <mergeCell ref="C76:I76"/>
    <mergeCell ref="C77:I77"/>
    <mergeCell ref="C78:I78"/>
    <mergeCell ref="L78:M78"/>
    <mergeCell ref="L64:M64"/>
    <mergeCell ref="B66:O69"/>
    <mergeCell ref="C56:I56"/>
    <mergeCell ref="B40:K40"/>
    <mergeCell ref="C36:I36"/>
    <mergeCell ref="C35:I35"/>
    <mergeCell ref="C34:I34"/>
    <mergeCell ref="B49:O52"/>
    <mergeCell ref="B54:O55"/>
  </mergeCells>
  <conditionalFormatting sqref="B74:O78 B56:O62 B28:O37 B10:O16 B17 J17:O17">
    <cfRule type="expression" dxfId="1" priority="2">
      <formula>MOD(ROW(),2)=0</formula>
    </cfRule>
  </conditionalFormatting>
  <conditionalFormatting sqref="C17:I17">
    <cfRule type="expression" dxfId="0" priority="1">
      <formula>MOD(ROW(),2)=0</formula>
    </cfRule>
  </conditionalFormatting>
  <dataValidations count="5">
    <dataValidation type="list" showInputMessage="1" showErrorMessage="1" sqref="L4:O4" xr:uid="{00000000-0002-0000-0200-000000000000}">
      <formula1>DataPhoneType</formula1>
    </dataValidation>
    <dataValidation type="list" showInputMessage="1" showErrorMessage="1" sqref="H6" xr:uid="{00000000-0002-0000-0200-000001000000}">
      <formula1>DataTimeType</formula1>
    </dataValidation>
    <dataValidation type="list" showInputMessage="1" showErrorMessage="1" sqref="L6:O6" xr:uid="{00000000-0002-0000-0200-000002000000}">
      <formula1>DataFireCaller</formula1>
    </dataValidation>
    <dataValidation type="list" showInputMessage="1" showErrorMessage="1" sqref="D6" xr:uid="{00000000-0002-0000-0200-000003000000}">
      <formula1>DataEmployeeList</formula1>
    </dataValidation>
    <dataValidation type="list" showInputMessage="1" showErrorMessage="1" sqref="C18:E18" xr:uid="{00000000-0002-0000-0200-000004000000}">
      <formula1>DataFireNature</formula1>
    </dataValidation>
  </dataValidations>
  <pageMargins left="0.25" right="0.25" top="0.75" bottom="0.75" header="0.3" footer="0.3"/>
  <pageSetup orientation="portrait" r:id="rId1"/>
  <headerFooter>
    <oddHeader>&amp;C&amp;"-,Bold"&amp;16Fire Call-Taking Quality Assurance Form</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FIRERESET.FIRERESET" altText="Reset">
                <anchor moveWithCells="1" sizeWithCells="1">
                  <from>
                    <xdr:col>0</xdr:col>
                    <xdr:colOff>25400</xdr:colOff>
                    <xdr:row>1</xdr:row>
                    <xdr:rowOff>25400</xdr:rowOff>
                  </from>
                  <to>
                    <xdr:col>1</xdr:col>
                    <xdr:colOff>152400</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xr:uid="{00000000-0002-0000-0200-000005000000}">
          <x14:formula1>
            <xm:f>Data!$F$2:$F$12</xm:f>
          </x14:formula1>
          <xm:sqref>M39</xm:sqref>
        </x14:dataValidation>
        <x14:dataValidation type="list" showInputMessage="1" showErrorMessage="1" xr:uid="{00000000-0002-0000-0200-000006000000}">
          <x14:formula1>
            <xm:f>Data!$G$2:$G$6</xm:f>
          </x14:formula1>
          <xm:sqref>L78:M78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J93"/>
  <sheetViews>
    <sheetView view="pageLayout" zoomScale="110" zoomScaleNormal="200" zoomScalePageLayoutView="110" workbookViewId="0">
      <selection activeCell="G5" sqref="G5:H5"/>
    </sheetView>
  </sheetViews>
  <sheetFormatPr baseColWidth="10" defaultColWidth="8.83203125" defaultRowHeight="15" x14ac:dyDescent="0.2"/>
  <cols>
    <col min="1" max="1" width="6.5" customWidth="1"/>
    <col min="2" max="2" width="11.6640625" customWidth="1"/>
    <col min="3" max="3" width="18.6640625" customWidth="1"/>
    <col min="4" max="4" width="12.5" bestFit="1" customWidth="1"/>
    <col min="5" max="5" width="13.1640625" customWidth="1"/>
    <col min="6" max="6" width="11.5" bestFit="1" customWidth="1"/>
    <col min="7" max="7" width="8.6640625" customWidth="1"/>
    <col min="9" max="9" width="4.5" customWidth="1"/>
    <col min="10" max="10" width="53.6640625" bestFit="1" customWidth="1"/>
  </cols>
  <sheetData>
    <row r="1" spans="2:10" ht="20" thickBot="1" x14ac:dyDescent="0.3">
      <c r="D1" s="2" t="s">
        <v>0</v>
      </c>
      <c r="E1" s="9">
        <f>SUM(G26,G65,G83)</f>
        <v>0</v>
      </c>
      <c r="F1" s="1" t="s">
        <v>1</v>
      </c>
      <c r="G1" s="4">
        <v>35</v>
      </c>
      <c r="H1" s="47">
        <f>SUM(E1/G1)</f>
        <v>0</v>
      </c>
      <c r="I1" s="48"/>
      <c r="J1" s="43" t="s">
        <v>92</v>
      </c>
    </row>
    <row r="2" spans="2:10" x14ac:dyDescent="0.2">
      <c r="J2" s="44">
        <v>911</v>
      </c>
    </row>
    <row r="3" spans="2:10" x14ac:dyDescent="0.2">
      <c r="B3" s="9" t="s">
        <v>2</v>
      </c>
      <c r="C3" s="6" t="s">
        <v>231</v>
      </c>
      <c r="D3" t="s">
        <v>3</v>
      </c>
      <c r="E3" s="7">
        <v>14584</v>
      </c>
      <c r="F3" t="s">
        <v>4</v>
      </c>
      <c r="G3" s="957" t="s">
        <v>92</v>
      </c>
      <c r="H3" s="958"/>
      <c r="I3" s="1" t="s">
        <v>92</v>
      </c>
      <c r="J3" s="44" t="s">
        <v>63</v>
      </c>
    </row>
    <row r="4" spans="2:10" ht="6.75" customHeight="1" x14ac:dyDescent="0.2">
      <c r="J4" s="45" t="s">
        <v>175</v>
      </c>
    </row>
    <row r="5" spans="2:10" x14ac:dyDescent="0.2">
      <c r="B5" s="9" t="s">
        <v>5</v>
      </c>
      <c r="C5" s="46" t="s">
        <v>91</v>
      </c>
      <c r="D5" s="2" t="s">
        <v>6</v>
      </c>
      <c r="E5" s="8"/>
      <c r="F5" s="9" t="s">
        <v>7</v>
      </c>
      <c r="G5" s="957" t="s">
        <v>92</v>
      </c>
      <c r="H5" s="959"/>
      <c r="I5" s="1"/>
    </row>
    <row r="6" spans="2:10" ht="8.25" customHeight="1" x14ac:dyDescent="0.2">
      <c r="J6" s="43" t="s">
        <v>92</v>
      </c>
    </row>
    <row r="7" spans="2:10" x14ac:dyDescent="0.2">
      <c r="B7" s="974" t="s">
        <v>96</v>
      </c>
      <c r="C7" s="975"/>
      <c r="D7" s="975"/>
      <c r="E7" s="975"/>
      <c r="F7" s="975"/>
      <c r="G7" s="975"/>
      <c r="H7" s="975"/>
      <c r="I7" s="49"/>
      <c r="J7" s="44" t="s">
        <v>93</v>
      </c>
    </row>
    <row r="8" spans="2:10" x14ac:dyDescent="0.2">
      <c r="B8" s="976"/>
      <c r="C8" s="977"/>
      <c r="D8" s="977"/>
      <c r="E8" s="977"/>
      <c r="F8" s="977"/>
      <c r="G8" s="977"/>
      <c r="H8" s="977"/>
      <c r="I8" s="49"/>
      <c r="J8" s="44" t="s">
        <v>94</v>
      </c>
    </row>
    <row r="9" spans="2:10" x14ac:dyDescent="0.2">
      <c r="B9" s="2">
        <v>1</v>
      </c>
      <c r="C9" t="s">
        <v>97</v>
      </c>
      <c r="F9" s="11"/>
      <c r="G9" s="11" t="b">
        <v>0</v>
      </c>
      <c r="H9" s="11" t="b">
        <v>0</v>
      </c>
      <c r="I9" s="11"/>
      <c r="J9" s="44" t="s">
        <v>95</v>
      </c>
    </row>
    <row r="10" spans="2:10" x14ac:dyDescent="0.2">
      <c r="B10" s="30" t="s">
        <v>9</v>
      </c>
      <c r="C10" s="31" t="s">
        <v>98</v>
      </c>
      <c r="D10" s="31"/>
      <c r="E10" s="31"/>
      <c r="F10" s="32"/>
      <c r="G10" s="32" t="b">
        <v>0</v>
      </c>
      <c r="H10" s="32" t="b">
        <v>0</v>
      </c>
      <c r="I10" s="32"/>
      <c r="J10" s="45" t="s">
        <v>88</v>
      </c>
    </row>
    <row r="11" spans="2:10" x14ac:dyDescent="0.2">
      <c r="B11" s="2" t="s">
        <v>180</v>
      </c>
      <c r="C11" t="s">
        <v>178</v>
      </c>
      <c r="F11" s="11" t="b">
        <v>0</v>
      </c>
      <c r="G11" s="11" t="b">
        <v>0</v>
      </c>
      <c r="H11" s="11" t="b">
        <v>0</v>
      </c>
      <c r="I11" s="11"/>
    </row>
    <row r="12" spans="2:10" ht="16" x14ac:dyDescent="0.2">
      <c r="B12" s="30">
        <v>2</v>
      </c>
      <c r="C12" s="33" t="s">
        <v>99</v>
      </c>
      <c r="D12" s="31"/>
      <c r="E12" s="31"/>
      <c r="F12" s="32"/>
      <c r="G12" s="32" t="b">
        <v>0</v>
      </c>
      <c r="H12" s="32" t="b">
        <v>0</v>
      </c>
      <c r="I12" s="32"/>
      <c r="J12" s="43" t="s">
        <v>91</v>
      </c>
    </row>
    <row r="13" spans="2:10" ht="16" x14ac:dyDescent="0.2">
      <c r="B13" s="2" t="s">
        <v>100</v>
      </c>
      <c r="C13" s="14" t="s">
        <v>101</v>
      </c>
      <c r="F13" s="11"/>
      <c r="G13" s="11" t="b">
        <v>0</v>
      </c>
      <c r="H13" s="11" t="b">
        <v>0</v>
      </c>
      <c r="I13" s="11"/>
      <c r="J13" s="44"/>
    </row>
    <row r="14" spans="2:10" ht="16" x14ac:dyDescent="0.2">
      <c r="B14" s="30">
        <v>3</v>
      </c>
      <c r="C14" s="33" t="s">
        <v>102</v>
      </c>
      <c r="D14" s="31"/>
      <c r="E14" s="31"/>
      <c r="F14" s="32"/>
      <c r="G14" s="32" t="b">
        <v>0</v>
      </c>
      <c r="H14" s="32" t="b">
        <v>0</v>
      </c>
      <c r="I14" s="32"/>
      <c r="J14" s="44" t="s">
        <v>64</v>
      </c>
    </row>
    <row r="15" spans="2:10" ht="16" x14ac:dyDescent="0.2">
      <c r="B15" s="2" t="s">
        <v>17</v>
      </c>
      <c r="C15" s="14" t="s">
        <v>103</v>
      </c>
      <c r="F15" s="11"/>
      <c r="G15" s="11" t="b">
        <v>0</v>
      </c>
      <c r="H15" s="11" t="b">
        <v>0</v>
      </c>
      <c r="I15" s="11"/>
      <c r="J15" s="44" t="s">
        <v>65</v>
      </c>
    </row>
    <row r="16" spans="2:10" ht="16" x14ac:dyDescent="0.2">
      <c r="B16" s="30" t="s">
        <v>18</v>
      </c>
      <c r="C16" s="33" t="s">
        <v>104</v>
      </c>
      <c r="D16" s="31"/>
      <c r="E16" s="31"/>
      <c r="F16" s="32"/>
      <c r="G16" s="32" t="b">
        <v>0</v>
      </c>
      <c r="H16" s="32" t="b">
        <v>0</v>
      </c>
      <c r="I16" s="32"/>
      <c r="J16" s="44" t="s">
        <v>66</v>
      </c>
    </row>
    <row r="17" spans="2:10" ht="16" x14ac:dyDescent="0.2">
      <c r="B17" s="2" t="s">
        <v>105</v>
      </c>
      <c r="C17" s="14" t="s">
        <v>106</v>
      </c>
      <c r="F17" s="11"/>
      <c r="G17" s="21" t="b">
        <v>0</v>
      </c>
      <c r="H17" s="11" t="b">
        <v>0</v>
      </c>
      <c r="I17" s="11"/>
      <c r="J17" s="44" t="s">
        <v>67</v>
      </c>
    </row>
    <row r="18" spans="2:10" ht="16" x14ac:dyDescent="0.2">
      <c r="B18" s="30">
        <v>4</v>
      </c>
      <c r="C18" s="33" t="s">
        <v>107</v>
      </c>
      <c r="D18" s="31"/>
      <c r="E18" s="31"/>
      <c r="F18" s="32"/>
      <c r="G18" s="34" t="b">
        <v>0</v>
      </c>
      <c r="H18" s="32" t="b">
        <v>0</v>
      </c>
      <c r="I18" s="32"/>
      <c r="J18" s="44" t="s">
        <v>68</v>
      </c>
    </row>
    <row r="19" spans="2:10" ht="16" x14ac:dyDescent="0.2">
      <c r="B19" s="2" t="s">
        <v>108</v>
      </c>
      <c r="C19" s="14" t="s">
        <v>109</v>
      </c>
      <c r="F19" s="11"/>
      <c r="G19" s="21" t="b">
        <v>0</v>
      </c>
      <c r="H19" s="11" t="b">
        <v>0</v>
      </c>
      <c r="I19" s="11"/>
      <c r="J19" s="44" t="s">
        <v>69</v>
      </c>
    </row>
    <row r="20" spans="2:10" ht="16" x14ac:dyDescent="0.2">
      <c r="B20" s="30">
        <v>5</v>
      </c>
      <c r="C20" s="33" t="s">
        <v>110</v>
      </c>
      <c r="D20" s="31"/>
      <c r="E20" s="31"/>
      <c r="F20" s="32"/>
      <c r="G20" s="32" t="b">
        <v>0</v>
      </c>
      <c r="H20" s="32" t="b">
        <v>0</v>
      </c>
      <c r="I20" s="32"/>
      <c r="J20" s="44" t="s">
        <v>70</v>
      </c>
    </row>
    <row r="21" spans="2:10" ht="16" x14ac:dyDescent="0.2">
      <c r="B21" s="2">
        <v>6</v>
      </c>
      <c r="C21" s="14" t="s">
        <v>111</v>
      </c>
      <c r="F21" s="11"/>
      <c r="G21" s="11" t="b">
        <v>0</v>
      </c>
      <c r="H21" s="11" t="b">
        <v>0</v>
      </c>
      <c r="I21" s="11"/>
      <c r="J21" s="44" t="s">
        <v>71</v>
      </c>
    </row>
    <row r="22" spans="2:10" ht="16" x14ac:dyDescent="0.2">
      <c r="B22" s="30">
        <v>7</v>
      </c>
      <c r="C22" s="33" t="s">
        <v>112</v>
      </c>
      <c r="D22" s="31"/>
      <c r="E22" s="31"/>
      <c r="F22" s="32"/>
      <c r="G22" s="32" t="b">
        <v>0</v>
      </c>
      <c r="H22" s="32" t="b">
        <v>0</v>
      </c>
      <c r="I22" s="32"/>
      <c r="J22" s="44" t="s">
        <v>72</v>
      </c>
    </row>
    <row r="23" spans="2:10" ht="16" x14ac:dyDescent="0.2">
      <c r="B23" s="2">
        <v>8</v>
      </c>
      <c r="C23" s="14" t="s">
        <v>113</v>
      </c>
      <c r="F23" s="11"/>
      <c r="G23" s="11" t="b">
        <v>0</v>
      </c>
      <c r="H23" s="11" t="b">
        <v>0</v>
      </c>
      <c r="I23" s="11"/>
      <c r="J23" s="44" t="s">
        <v>73</v>
      </c>
    </row>
    <row r="24" spans="2:10" x14ac:dyDescent="0.2">
      <c r="F24" s="25">
        <f>COUNTIF(F9:F23,TRUE)</f>
        <v>0</v>
      </c>
      <c r="G24" s="25">
        <f>COUNTIF(G9:G23,TRUE)</f>
        <v>0</v>
      </c>
      <c r="H24" s="11"/>
      <c r="I24" s="11"/>
      <c r="J24" s="44" t="s">
        <v>74</v>
      </c>
    </row>
    <row r="25" spans="2:10" ht="16" x14ac:dyDescent="0.2">
      <c r="C25" s="14" t="s">
        <v>174</v>
      </c>
      <c r="J25" s="44" t="s">
        <v>75</v>
      </c>
    </row>
    <row r="26" spans="2:10" ht="19" x14ac:dyDescent="0.25">
      <c r="D26" s="496" t="s">
        <v>182</v>
      </c>
      <c r="E26" s="496"/>
      <c r="F26" s="973"/>
      <c r="G26" s="26">
        <f>SUM(F24,G24)</f>
        <v>0</v>
      </c>
      <c r="J26" s="44" t="s">
        <v>76</v>
      </c>
    </row>
    <row r="27" spans="2:10" ht="19" x14ac:dyDescent="0.25">
      <c r="D27" s="18"/>
      <c r="E27" s="18"/>
      <c r="F27" s="18"/>
      <c r="G27" s="19"/>
      <c r="J27" s="44" t="s">
        <v>77</v>
      </c>
    </row>
    <row r="28" spans="2:10" x14ac:dyDescent="0.2">
      <c r="B28" s="494" t="s">
        <v>114</v>
      </c>
      <c r="C28" s="494"/>
      <c r="D28" s="494"/>
      <c r="E28" s="494"/>
      <c r="F28" s="22" t="b">
        <v>0</v>
      </c>
      <c r="J28" s="44" t="s">
        <v>78</v>
      </c>
    </row>
    <row r="29" spans="2:10" ht="7.5" customHeight="1" x14ac:dyDescent="0.2">
      <c r="J29" s="44" t="s">
        <v>90</v>
      </c>
    </row>
    <row r="30" spans="2:10" x14ac:dyDescent="0.2">
      <c r="B30" t="s">
        <v>115</v>
      </c>
      <c r="C30" s="967"/>
      <c r="D30" s="968"/>
      <c r="E30" s="968"/>
      <c r="F30" s="968"/>
      <c r="G30" s="968"/>
      <c r="H30" s="968"/>
      <c r="I30" s="13"/>
      <c r="J30" s="44" t="s">
        <v>79</v>
      </c>
    </row>
    <row r="31" spans="2:10" x14ac:dyDescent="0.2">
      <c r="C31" s="969"/>
      <c r="D31" s="970"/>
      <c r="E31" s="970"/>
      <c r="F31" s="970"/>
      <c r="G31" s="970"/>
      <c r="H31" s="970"/>
      <c r="I31" s="13"/>
      <c r="J31" s="44" t="s">
        <v>80</v>
      </c>
    </row>
    <row r="32" spans="2:10" x14ac:dyDescent="0.2">
      <c r="C32" s="969"/>
      <c r="D32" s="970"/>
      <c r="E32" s="970"/>
      <c r="F32" s="970"/>
      <c r="G32" s="970"/>
      <c r="H32" s="970"/>
      <c r="I32" s="13"/>
      <c r="J32" s="44" t="s">
        <v>81</v>
      </c>
    </row>
    <row r="33" spans="2:10" x14ac:dyDescent="0.2">
      <c r="C33" s="969"/>
      <c r="D33" s="970"/>
      <c r="E33" s="970"/>
      <c r="F33" s="970"/>
      <c r="G33" s="970"/>
      <c r="H33" s="970"/>
      <c r="I33" s="13"/>
      <c r="J33" s="44" t="s">
        <v>82</v>
      </c>
    </row>
    <row r="34" spans="2:10" x14ac:dyDescent="0.2">
      <c r="C34" s="969"/>
      <c r="D34" s="970"/>
      <c r="E34" s="970"/>
      <c r="F34" s="970"/>
      <c r="G34" s="970"/>
      <c r="H34" s="970"/>
      <c r="I34" s="13"/>
      <c r="J34" s="44" t="s">
        <v>83</v>
      </c>
    </row>
    <row r="35" spans="2:10" x14ac:dyDescent="0.2">
      <c r="C35" s="971"/>
      <c r="D35" s="972"/>
      <c r="E35" s="972"/>
      <c r="F35" s="972"/>
      <c r="G35" s="972"/>
      <c r="H35" s="972"/>
      <c r="I35" s="13"/>
      <c r="J35" s="44" t="s">
        <v>84</v>
      </c>
    </row>
    <row r="36" spans="2:10" x14ac:dyDescent="0.2">
      <c r="J36" s="44"/>
    </row>
    <row r="37" spans="2:10" x14ac:dyDescent="0.2">
      <c r="J37" s="44"/>
    </row>
    <row r="38" spans="2:10" x14ac:dyDescent="0.2">
      <c r="J38" s="44"/>
    </row>
    <row r="39" spans="2:10" x14ac:dyDescent="0.2">
      <c r="J39" s="45"/>
    </row>
    <row r="48" spans="2:10" x14ac:dyDescent="0.2">
      <c r="B48" s="978" t="s">
        <v>116</v>
      </c>
      <c r="C48" s="979"/>
      <c r="D48" s="979"/>
      <c r="E48" s="979"/>
      <c r="F48" s="979"/>
      <c r="G48" s="979"/>
      <c r="H48" s="980"/>
      <c r="I48" s="4"/>
    </row>
    <row r="49" spans="2:10" x14ac:dyDescent="0.2">
      <c r="B49" s="981"/>
      <c r="C49" s="982"/>
      <c r="D49" s="982"/>
      <c r="E49" s="982"/>
      <c r="F49" s="982"/>
      <c r="G49" s="982"/>
      <c r="H49" s="983"/>
      <c r="I49" s="4"/>
    </row>
    <row r="50" spans="2:10" ht="16" x14ac:dyDescent="0.2">
      <c r="B50" s="2">
        <v>7</v>
      </c>
      <c r="C50" s="14" t="s">
        <v>117</v>
      </c>
      <c r="J50" s="43" t="s">
        <v>120</v>
      </c>
    </row>
    <row r="51" spans="2:10" ht="16" x14ac:dyDescent="0.2">
      <c r="B51" s="2"/>
      <c r="C51" s="960" t="s">
        <v>120</v>
      </c>
      <c r="D51" s="961"/>
      <c r="E51" s="961"/>
      <c r="F51" s="961"/>
      <c r="G51" s="962"/>
      <c r="J51" s="44" t="s">
        <v>123</v>
      </c>
    </row>
    <row r="52" spans="2:10" x14ac:dyDescent="0.2">
      <c r="B52" s="2" t="s">
        <v>118</v>
      </c>
      <c r="C52" t="s">
        <v>119</v>
      </c>
      <c r="G52" s="11" t="b">
        <v>0</v>
      </c>
      <c r="H52" s="11" t="b">
        <v>0</v>
      </c>
      <c r="I52" s="11"/>
      <c r="J52" s="44" t="s">
        <v>124</v>
      </c>
    </row>
    <row r="53" spans="2:10" x14ac:dyDescent="0.2">
      <c r="B53" s="2" t="s">
        <v>121</v>
      </c>
      <c r="C53" t="s">
        <v>122</v>
      </c>
      <c r="G53" s="11"/>
      <c r="H53" s="11"/>
      <c r="I53" s="11"/>
      <c r="J53" s="44" t="s">
        <v>125</v>
      </c>
    </row>
    <row r="54" spans="2:10" x14ac:dyDescent="0.2">
      <c r="B54" s="2"/>
      <c r="C54" s="963" t="s">
        <v>176</v>
      </c>
      <c r="D54" s="964"/>
      <c r="E54" s="964"/>
      <c r="F54" s="964"/>
      <c r="G54" s="965"/>
      <c r="J54" s="44" t="s">
        <v>126</v>
      </c>
    </row>
    <row r="55" spans="2:10" x14ac:dyDescent="0.2">
      <c r="B55" s="984" t="s">
        <v>183</v>
      </c>
      <c r="C55" s="984"/>
      <c r="D55" s="984"/>
      <c r="E55" s="984"/>
      <c r="J55" s="44" t="s">
        <v>127</v>
      </c>
    </row>
    <row r="56" spans="2:10" x14ac:dyDescent="0.2">
      <c r="B56" s="967"/>
      <c r="C56" s="968"/>
      <c r="D56" s="968"/>
      <c r="E56" s="968"/>
      <c r="F56" s="968"/>
      <c r="G56" s="968"/>
      <c r="H56" s="968"/>
      <c r="I56" s="13"/>
      <c r="J56" s="44" t="s">
        <v>128</v>
      </c>
    </row>
    <row r="57" spans="2:10" x14ac:dyDescent="0.2">
      <c r="B57" s="969"/>
      <c r="C57" s="970"/>
      <c r="D57" s="970"/>
      <c r="E57" s="970"/>
      <c r="F57" s="970"/>
      <c r="G57" s="970"/>
      <c r="H57" s="970"/>
      <c r="I57" s="13"/>
      <c r="J57" s="44" t="s">
        <v>129</v>
      </c>
    </row>
    <row r="58" spans="2:10" x14ac:dyDescent="0.2">
      <c r="B58" s="969"/>
      <c r="C58" s="970"/>
      <c r="D58" s="970"/>
      <c r="E58" s="970"/>
      <c r="F58" s="970"/>
      <c r="G58" s="970"/>
      <c r="H58" s="970"/>
      <c r="I58" s="13"/>
      <c r="J58" s="44" t="s">
        <v>131</v>
      </c>
    </row>
    <row r="59" spans="2:10" x14ac:dyDescent="0.2">
      <c r="B59" s="971"/>
      <c r="C59" s="972"/>
      <c r="D59" s="972"/>
      <c r="E59" s="972"/>
      <c r="F59" s="972"/>
      <c r="G59" s="972"/>
      <c r="H59" s="972"/>
      <c r="I59" s="13"/>
      <c r="J59" s="44" t="s">
        <v>133</v>
      </c>
    </row>
    <row r="60" spans="2:10" x14ac:dyDescent="0.2">
      <c r="B60">
        <v>8</v>
      </c>
      <c r="C60" t="s">
        <v>130</v>
      </c>
      <c r="F60" s="11"/>
      <c r="G60" s="11" t="b">
        <v>0</v>
      </c>
      <c r="H60" s="11" t="b">
        <v>0</v>
      </c>
      <c r="I60" s="11"/>
      <c r="J60" s="44" t="s">
        <v>134</v>
      </c>
    </row>
    <row r="61" spans="2:10" x14ac:dyDescent="0.2">
      <c r="B61">
        <v>9</v>
      </c>
      <c r="C61" t="s">
        <v>132</v>
      </c>
      <c r="F61" s="11"/>
      <c r="G61" s="11" t="b">
        <v>0</v>
      </c>
      <c r="H61" s="11" t="b">
        <v>0</v>
      </c>
      <c r="I61" s="11"/>
      <c r="J61" s="44" t="s">
        <v>135</v>
      </c>
    </row>
    <row r="62" spans="2:10" x14ac:dyDescent="0.2">
      <c r="F62" s="11"/>
      <c r="G62" s="11"/>
      <c r="H62" s="11"/>
      <c r="I62" s="11"/>
      <c r="J62" s="44" t="s">
        <v>136</v>
      </c>
    </row>
    <row r="63" spans="2:10" x14ac:dyDescent="0.2">
      <c r="B63" t="s">
        <v>177</v>
      </c>
      <c r="J63" s="44" t="s">
        <v>140</v>
      </c>
    </row>
    <row r="64" spans="2:10" x14ac:dyDescent="0.2">
      <c r="B64" t="s">
        <v>42</v>
      </c>
      <c r="C64" s="1" t="s">
        <v>43</v>
      </c>
      <c r="D64" s="1" t="s">
        <v>44</v>
      </c>
      <c r="E64" s="1" t="s">
        <v>45</v>
      </c>
      <c r="J64" s="44" t="s">
        <v>141</v>
      </c>
    </row>
    <row r="65" spans="2:10" ht="19" x14ac:dyDescent="0.2">
      <c r="B65" s="15" t="s">
        <v>137</v>
      </c>
      <c r="C65" s="15" t="s">
        <v>138</v>
      </c>
      <c r="D65" s="15" t="s">
        <v>139</v>
      </c>
      <c r="E65" s="1">
        <v>10</v>
      </c>
      <c r="F65" s="12" t="s">
        <v>0</v>
      </c>
      <c r="G65" s="17"/>
      <c r="J65" s="44" t="s">
        <v>143</v>
      </c>
    </row>
    <row r="66" spans="2:10" x14ac:dyDescent="0.2">
      <c r="J66" s="44" t="s">
        <v>144</v>
      </c>
    </row>
    <row r="67" spans="2:10" x14ac:dyDescent="0.2">
      <c r="B67" t="s">
        <v>142</v>
      </c>
      <c r="E67" s="3"/>
      <c r="F67" s="22" t="b">
        <v>0</v>
      </c>
      <c r="J67" s="44" t="s">
        <v>145</v>
      </c>
    </row>
    <row r="68" spans="2:10" x14ac:dyDescent="0.2">
      <c r="E68" s="3"/>
      <c r="J68" s="44" t="s">
        <v>146</v>
      </c>
    </row>
    <row r="69" spans="2:10" x14ac:dyDescent="0.2">
      <c r="B69" t="s">
        <v>115</v>
      </c>
      <c r="C69" s="967"/>
      <c r="D69" s="968"/>
      <c r="E69" s="968"/>
      <c r="F69" s="968"/>
      <c r="G69" s="968"/>
      <c r="H69" s="968"/>
      <c r="I69" s="13"/>
      <c r="J69" s="44" t="s">
        <v>147</v>
      </c>
    </row>
    <row r="70" spans="2:10" x14ac:dyDescent="0.2">
      <c r="C70" s="969"/>
      <c r="D70" s="970"/>
      <c r="E70" s="970"/>
      <c r="F70" s="970"/>
      <c r="G70" s="970"/>
      <c r="H70" s="970"/>
      <c r="I70" s="13"/>
      <c r="J70" s="44" t="s">
        <v>148</v>
      </c>
    </row>
    <row r="71" spans="2:10" x14ac:dyDescent="0.2">
      <c r="C71" s="969"/>
      <c r="D71" s="970"/>
      <c r="E71" s="970"/>
      <c r="F71" s="970"/>
      <c r="G71" s="970"/>
      <c r="H71" s="970"/>
      <c r="I71" s="13"/>
      <c r="J71" s="44" t="s">
        <v>149</v>
      </c>
    </row>
    <row r="72" spans="2:10" x14ac:dyDescent="0.2">
      <c r="C72" s="969"/>
      <c r="D72" s="970"/>
      <c r="E72" s="970"/>
      <c r="F72" s="970"/>
      <c r="G72" s="970"/>
      <c r="H72" s="970"/>
      <c r="I72" s="13"/>
      <c r="J72" s="44" t="s">
        <v>150</v>
      </c>
    </row>
    <row r="73" spans="2:10" x14ac:dyDescent="0.2">
      <c r="C73" s="969"/>
      <c r="D73" s="970"/>
      <c r="E73" s="970"/>
      <c r="F73" s="970"/>
      <c r="G73" s="970"/>
      <c r="H73" s="970"/>
      <c r="I73" s="13"/>
      <c r="J73" s="44" t="s">
        <v>152</v>
      </c>
    </row>
    <row r="74" spans="2:10" x14ac:dyDescent="0.2">
      <c r="C74" s="969"/>
      <c r="D74" s="970"/>
      <c r="E74" s="970"/>
      <c r="F74" s="970"/>
      <c r="G74" s="970"/>
      <c r="H74" s="970"/>
      <c r="I74" s="13"/>
      <c r="J74" s="44" t="s">
        <v>154</v>
      </c>
    </row>
    <row r="75" spans="2:10" x14ac:dyDescent="0.2">
      <c r="C75" s="969"/>
      <c r="D75" s="970"/>
      <c r="E75" s="970"/>
      <c r="F75" s="970"/>
      <c r="G75" s="970"/>
      <c r="H75" s="970"/>
      <c r="I75" s="13"/>
      <c r="J75" s="44" t="s">
        <v>156</v>
      </c>
    </row>
    <row r="76" spans="2:10" x14ac:dyDescent="0.2">
      <c r="C76" s="971"/>
      <c r="D76" s="972"/>
      <c r="E76" s="972"/>
      <c r="F76" s="972"/>
      <c r="G76" s="972"/>
      <c r="H76" s="972"/>
      <c r="I76" s="13"/>
      <c r="J76" s="44" t="s">
        <v>158</v>
      </c>
    </row>
    <row r="77" spans="2:10" x14ac:dyDescent="0.2">
      <c r="C77" s="13"/>
      <c r="D77" s="13"/>
      <c r="E77" s="13"/>
      <c r="F77" s="13"/>
      <c r="G77" s="13"/>
      <c r="J77" s="44" t="s">
        <v>159</v>
      </c>
    </row>
    <row r="78" spans="2:10" x14ac:dyDescent="0.2">
      <c r="B78" s="978" t="s">
        <v>151</v>
      </c>
      <c r="C78" s="979"/>
      <c r="D78" s="979"/>
      <c r="E78" s="979"/>
      <c r="F78" s="979"/>
      <c r="G78" s="979"/>
      <c r="H78" s="979"/>
      <c r="I78" s="4"/>
      <c r="J78" s="44" t="s">
        <v>161</v>
      </c>
    </row>
    <row r="79" spans="2:10" x14ac:dyDescent="0.2">
      <c r="B79" s="981"/>
      <c r="C79" s="982"/>
      <c r="D79" s="982"/>
      <c r="E79" s="982"/>
      <c r="F79" s="982"/>
      <c r="G79" s="982"/>
      <c r="H79" s="982"/>
      <c r="I79" s="4"/>
      <c r="J79" s="44" t="s">
        <v>162</v>
      </c>
    </row>
    <row r="80" spans="2:10" x14ac:dyDescent="0.2">
      <c r="B80">
        <v>9</v>
      </c>
      <c r="C80" t="s">
        <v>153</v>
      </c>
      <c r="F80" s="11"/>
      <c r="G80" s="11" t="b">
        <v>0</v>
      </c>
      <c r="H80" s="11" t="b">
        <v>0</v>
      </c>
      <c r="I80" s="11"/>
      <c r="J80" s="44" t="s">
        <v>164</v>
      </c>
    </row>
    <row r="81" spans="2:10" ht="16" x14ac:dyDescent="0.2">
      <c r="B81">
        <v>10</v>
      </c>
      <c r="C81" t="s">
        <v>155</v>
      </c>
      <c r="G81" s="23"/>
      <c r="J81" s="44" t="s">
        <v>165</v>
      </c>
    </row>
    <row r="82" spans="2:10" x14ac:dyDescent="0.2">
      <c r="B82" t="s">
        <v>157</v>
      </c>
      <c r="J82" s="44" t="s">
        <v>166</v>
      </c>
    </row>
    <row r="83" spans="2:10" ht="19" x14ac:dyDescent="0.2">
      <c r="F83" s="16" t="s">
        <v>0</v>
      </c>
      <c r="G83" s="24" t="b">
        <f>IF(G81="C",10,IF(G81="M",8,IF(G81="D",5,IF(G81="J",2,IF(G81="A",0)))))</f>
        <v>0</v>
      </c>
      <c r="J83" s="44" t="s">
        <v>167</v>
      </c>
    </row>
    <row r="84" spans="2:10" x14ac:dyDescent="0.2">
      <c r="B84" t="s">
        <v>160</v>
      </c>
      <c r="F84" s="22" t="b">
        <v>0</v>
      </c>
      <c r="J84" s="45" t="s">
        <v>176</v>
      </c>
    </row>
    <row r="86" spans="2:10" x14ac:dyDescent="0.2">
      <c r="B86" t="s">
        <v>163</v>
      </c>
      <c r="C86" s="966"/>
      <c r="D86" s="928"/>
      <c r="E86" s="928"/>
      <c r="F86" s="928"/>
      <c r="G86" s="928"/>
      <c r="H86" s="929"/>
      <c r="I86" s="41"/>
      <c r="J86" t="s">
        <v>212</v>
      </c>
    </row>
    <row r="87" spans="2:10" x14ac:dyDescent="0.2">
      <c r="C87" s="930"/>
      <c r="D87" s="931"/>
      <c r="E87" s="931"/>
      <c r="F87" s="931"/>
      <c r="G87" s="931"/>
      <c r="H87" s="932"/>
      <c r="I87" s="41"/>
      <c r="J87" t="s">
        <v>211</v>
      </c>
    </row>
    <row r="88" spans="2:10" x14ac:dyDescent="0.2">
      <c r="C88" s="930"/>
      <c r="D88" s="931"/>
      <c r="E88" s="931"/>
      <c r="F88" s="931"/>
      <c r="G88" s="931"/>
      <c r="H88" s="932"/>
      <c r="I88" s="41"/>
      <c r="J88" t="s">
        <v>211</v>
      </c>
    </row>
    <row r="89" spans="2:10" x14ac:dyDescent="0.2">
      <c r="C89" s="930"/>
      <c r="D89" s="931"/>
      <c r="E89" s="931"/>
      <c r="F89" s="931"/>
      <c r="G89" s="931"/>
      <c r="H89" s="932"/>
      <c r="I89" s="41"/>
      <c r="J89" t="s">
        <v>211</v>
      </c>
    </row>
    <row r="90" spans="2:10" x14ac:dyDescent="0.2">
      <c r="C90" s="930"/>
      <c r="D90" s="931"/>
      <c r="E90" s="931"/>
      <c r="F90" s="931"/>
      <c r="G90" s="931"/>
      <c r="H90" s="932"/>
      <c r="I90" s="41"/>
      <c r="J90" t="s">
        <v>211</v>
      </c>
    </row>
    <row r="91" spans="2:10" x14ac:dyDescent="0.2">
      <c r="B91" t="s">
        <v>89</v>
      </c>
      <c r="C91" s="930"/>
      <c r="D91" s="931"/>
      <c r="E91" s="931"/>
      <c r="F91" s="931"/>
      <c r="G91" s="931"/>
      <c r="H91" s="932"/>
      <c r="I91" s="41"/>
      <c r="J91" t="s">
        <v>211</v>
      </c>
    </row>
    <row r="92" spans="2:10" x14ac:dyDescent="0.2">
      <c r="B92" t="s">
        <v>89</v>
      </c>
      <c r="C92" s="933"/>
      <c r="D92" s="934"/>
      <c r="E92" s="934"/>
      <c r="F92" s="934"/>
      <c r="G92" s="934"/>
      <c r="H92" s="935"/>
      <c r="I92" s="41"/>
      <c r="J92" t="s">
        <v>212</v>
      </c>
    </row>
    <row r="93" spans="2:10" x14ac:dyDescent="0.2">
      <c r="J93" t="s">
        <v>211</v>
      </c>
    </row>
  </sheetData>
  <mergeCells count="14">
    <mergeCell ref="G3:H3"/>
    <mergeCell ref="G5:H5"/>
    <mergeCell ref="C51:G51"/>
    <mergeCell ref="C54:G54"/>
    <mergeCell ref="C86:H92"/>
    <mergeCell ref="C30:H35"/>
    <mergeCell ref="D26:F26"/>
    <mergeCell ref="B28:E28"/>
    <mergeCell ref="B7:H8"/>
    <mergeCell ref="B48:H49"/>
    <mergeCell ref="B78:H79"/>
    <mergeCell ref="B56:H59"/>
    <mergeCell ref="C69:H76"/>
    <mergeCell ref="B55:E55"/>
  </mergeCells>
  <dataValidations count="5">
    <dataValidation type="list" showInputMessage="1" showErrorMessage="1" sqref="G3:I3" xr:uid="{00000000-0002-0000-0300-000000000000}">
      <formula1>$J$1:$J$4</formula1>
    </dataValidation>
    <dataValidation type="list" showInputMessage="1" showErrorMessage="1" sqref="G5:I5" xr:uid="{00000000-0002-0000-0300-000001000000}">
      <formula1>$J$6:$J$10</formula1>
    </dataValidation>
    <dataValidation type="list" showInputMessage="1" showErrorMessage="1" sqref="C5" xr:uid="{00000000-0002-0000-0300-000002000000}">
      <formula1>$J$12:$J$39</formula1>
    </dataValidation>
    <dataValidation type="list" showInputMessage="1" showErrorMessage="1" sqref="C51:G51" xr:uid="{00000000-0002-0000-0300-000003000000}">
      <formula1>$J$50:$J$83</formula1>
    </dataValidation>
    <dataValidation type="list" showInputMessage="1" showErrorMessage="1" sqref="C54:G54" xr:uid="{00000000-0002-0000-0300-000004000000}">
      <formula1>$J$51:$J$84</formula1>
    </dataValidation>
  </dataValidations>
  <pageMargins left="0.25" right="0.25" top="0.75" bottom="0.75" header="0.3" footer="0.3"/>
  <pageSetup orientation="portrait" r:id="rId1"/>
  <headerFooter>
    <oddHeader>&amp;C&amp;"-,Bold"&amp;18EMD Quality Assurance Form</oddHeader>
    <oddFooter>&amp;C&amp;P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Check Box 7">
              <controlPr defaultSize="0" autoFill="0" autoLine="0" autoPict="0">
                <anchor moveWithCells="1">
                  <from>
                    <xdr:col>6</xdr:col>
                    <xdr:colOff>0</xdr:colOff>
                    <xdr:row>8</xdr:row>
                    <xdr:rowOff>25400</xdr:rowOff>
                  </from>
                  <to>
                    <xdr:col>6</xdr:col>
                    <xdr:colOff>482600</xdr:colOff>
                    <xdr:row>9</xdr:row>
                    <xdr:rowOff>12700</xdr:rowOff>
                  </to>
                </anchor>
              </controlPr>
            </control>
          </mc:Choice>
        </mc:AlternateContent>
        <mc:AlternateContent xmlns:mc="http://schemas.openxmlformats.org/markup-compatibility/2006">
          <mc:Choice Requires="x14">
            <control shapeId="2056" r:id="rId5" name="Check Box 8">
              <controlPr defaultSize="0" autoFill="0" autoLine="0" autoPict="0">
                <anchor moveWithCells="1">
                  <from>
                    <xdr:col>6</xdr:col>
                    <xdr:colOff>0</xdr:colOff>
                    <xdr:row>9</xdr:row>
                    <xdr:rowOff>12700</xdr:rowOff>
                  </from>
                  <to>
                    <xdr:col>6</xdr:col>
                    <xdr:colOff>508000</xdr:colOff>
                    <xdr:row>10</xdr:row>
                    <xdr:rowOff>25400</xdr:rowOff>
                  </to>
                </anchor>
              </controlPr>
            </control>
          </mc:Choice>
        </mc:AlternateContent>
        <mc:AlternateContent xmlns:mc="http://schemas.openxmlformats.org/markup-compatibility/2006">
          <mc:Choice Requires="x14">
            <control shapeId="2057" r:id="rId6" name="Check Box 9">
              <controlPr defaultSize="0" autoFill="0" autoLine="0" autoPict="0">
                <anchor moveWithCells="1">
                  <from>
                    <xdr:col>6</xdr:col>
                    <xdr:colOff>12700</xdr:colOff>
                    <xdr:row>11</xdr:row>
                    <xdr:rowOff>25400</xdr:rowOff>
                  </from>
                  <to>
                    <xdr:col>6</xdr:col>
                    <xdr:colOff>482600</xdr:colOff>
                    <xdr:row>12</xdr:row>
                    <xdr:rowOff>0</xdr:rowOff>
                  </to>
                </anchor>
              </controlPr>
            </control>
          </mc:Choice>
        </mc:AlternateContent>
        <mc:AlternateContent xmlns:mc="http://schemas.openxmlformats.org/markup-compatibility/2006">
          <mc:Choice Requires="x14">
            <control shapeId="2058" r:id="rId7" name="Check Box 10">
              <controlPr defaultSize="0" autoFill="0" autoLine="0" autoPict="0">
                <anchor moveWithCells="1">
                  <from>
                    <xdr:col>6</xdr:col>
                    <xdr:colOff>0</xdr:colOff>
                    <xdr:row>12</xdr:row>
                    <xdr:rowOff>25400</xdr:rowOff>
                  </from>
                  <to>
                    <xdr:col>6</xdr:col>
                    <xdr:colOff>482600</xdr:colOff>
                    <xdr:row>12</xdr:row>
                    <xdr:rowOff>190500</xdr:rowOff>
                  </to>
                </anchor>
              </controlPr>
            </control>
          </mc:Choice>
        </mc:AlternateContent>
        <mc:AlternateContent xmlns:mc="http://schemas.openxmlformats.org/markup-compatibility/2006">
          <mc:Choice Requires="x14">
            <control shapeId="2059" r:id="rId8" name="Check Box 11">
              <controlPr defaultSize="0" autoFill="0" autoLine="0" autoPict="0">
                <anchor moveWithCells="1">
                  <from>
                    <xdr:col>6</xdr:col>
                    <xdr:colOff>0</xdr:colOff>
                    <xdr:row>13</xdr:row>
                    <xdr:rowOff>12700</xdr:rowOff>
                  </from>
                  <to>
                    <xdr:col>6</xdr:col>
                    <xdr:colOff>482600</xdr:colOff>
                    <xdr:row>13</xdr:row>
                    <xdr:rowOff>190500</xdr:rowOff>
                  </to>
                </anchor>
              </controlPr>
            </control>
          </mc:Choice>
        </mc:AlternateContent>
        <mc:AlternateContent xmlns:mc="http://schemas.openxmlformats.org/markup-compatibility/2006">
          <mc:Choice Requires="x14">
            <control shapeId="2060" r:id="rId9" name="Check Box 12">
              <controlPr defaultSize="0" autoFill="0" autoLine="0" autoPict="0">
                <anchor moveWithCells="1">
                  <from>
                    <xdr:col>6</xdr:col>
                    <xdr:colOff>0</xdr:colOff>
                    <xdr:row>14</xdr:row>
                    <xdr:rowOff>25400</xdr:rowOff>
                  </from>
                  <to>
                    <xdr:col>6</xdr:col>
                    <xdr:colOff>533400</xdr:colOff>
                    <xdr:row>15</xdr:row>
                    <xdr:rowOff>0</xdr:rowOff>
                  </to>
                </anchor>
              </controlPr>
            </control>
          </mc:Choice>
        </mc:AlternateContent>
        <mc:AlternateContent xmlns:mc="http://schemas.openxmlformats.org/markup-compatibility/2006">
          <mc:Choice Requires="x14">
            <control shapeId="2061" r:id="rId10" name="Check Box 13">
              <controlPr defaultSize="0" autoFill="0" autoLine="0" autoPict="0">
                <anchor moveWithCells="1">
                  <from>
                    <xdr:col>6</xdr:col>
                    <xdr:colOff>12700</xdr:colOff>
                    <xdr:row>15</xdr:row>
                    <xdr:rowOff>0</xdr:rowOff>
                  </from>
                  <to>
                    <xdr:col>6</xdr:col>
                    <xdr:colOff>520700</xdr:colOff>
                    <xdr:row>16</xdr:row>
                    <xdr:rowOff>0</xdr:rowOff>
                  </to>
                </anchor>
              </controlPr>
            </control>
          </mc:Choice>
        </mc:AlternateContent>
        <mc:AlternateContent xmlns:mc="http://schemas.openxmlformats.org/markup-compatibility/2006">
          <mc:Choice Requires="x14">
            <control shapeId="2062" r:id="rId11" name="Check Box 14">
              <controlPr defaultSize="0" autoFill="0" autoLine="0" autoPict="0">
                <anchor moveWithCells="1">
                  <from>
                    <xdr:col>6</xdr:col>
                    <xdr:colOff>0</xdr:colOff>
                    <xdr:row>16</xdr:row>
                    <xdr:rowOff>25400</xdr:rowOff>
                  </from>
                  <to>
                    <xdr:col>6</xdr:col>
                    <xdr:colOff>495300</xdr:colOff>
                    <xdr:row>17</xdr:row>
                    <xdr:rowOff>0</xdr:rowOff>
                  </to>
                </anchor>
              </controlPr>
            </control>
          </mc:Choice>
        </mc:AlternateContent>
        <mc:AlternateContent xmlns:mc="http://schemas.openxmlformats.org/markup-compatibility/2006">
          <mc:Choice Requires="x14">
            <control shapeId="2063" r:id="rId12" name="Check Box 15">
              <controlPr defaultSize="0" autoFill="0" autoLine="0" autoPict="0">
                <anchor moveWithCells="1">
                  <from>
                    <xdr:col>6</xdr:col>
                    <xdr:colOff>0</xdr:colOff>
                    <xdr:row>17</xdr:row>
                    <xdr:rowOff>12700</xdr:rowOff>
                  </from>
                  <to>
                    <xdr:col>6</xdr:col>
                    <xdr:colOff>520700</xdr:colOff>
                    <xdr:row>18</xdr:row>
                    <xdr:rowOff>0</xdr:rowOff>
                  </to>
                </anchor>
              </controlPr>
            </control>
          </mc:Choice>
        </mc:AlternateContent>
        <mc:AlternateContent xmlns:mc="http://schemas.openxmlformats.org/markup-compatibility/2006">
          <mc:Choice Requires="x14">
            <control shapeId="2064" r:id="rId13" name="Check Box 16">
              <controlPr defaultSize="0" autoFill="0" autoLine="0" autoPict="0">
                <anchor moveWithCells="1">
                  <from>
                    <xdr:col>6</xdr:col>
                    <xdr:colOff>0</xdr:colOff>
                    <xdr:row>18</xdr:row>
                    <xdr:rowOff>12700</xdr:rowOff>
                  </from>
                  <to>
                    <xdr:col>6</xdr:col>
                    <xdr:colOff>482600</xdr:colOff>
                    <xdr:row>19</xdr:row>
                    <xdr:rowOff>0</xdr:rowOff>
                  </to>
                </anchor>
              </controlPr>
            </control>
          </mc:Choice>
        </mc:AlternateContent>
        <mc:AlternateContent xmlns:mc="http://schemas.openxmlformats.org/markup-compatibility/2006">
          <mc:Choice Requires="x14">
            <control shapeId="2065" r:id="rId14" name="Check Box 17">
              <controlPr defaultSize="0" autoFill="0" autoLine="0" autoPict="0">
                <anchor moveWithCells="1">
                  <from>
                    <xdr:col>6</xdr:col>
                    <xdr:colOff>0</xdr:colOff>
                    <xdr:row>19</xdr:row>
                    <xdr:rowOff>25400</xdr:rowOff>
                  </from>
                  <to>
                    <xdr:col>6</xdr:col>
                    <xdr:colOff>546100</xdr:colOff>
                    <xdr:row>19</xdr:row>
                    <xdr:rowOff>177800</xdr:rowOff>
                  </to>
                </anchor>
              </controlPr>
            </control>
          </mc:Choice>
        </mc:AlternateContent>
        <mc:AlternateContent xmlns:mc="http://schemas.openxmlformats.org/markup-compatibility/2006">
          <mc:Choice Requires="x14">
            <control shapeId="2066" r:id="rId15" name="Check Box 18">
              <controlPr defaultSize="0" autoFill="0" autoLine="0" autoPict="0">
                <anchor moveWithCells="1">
                  <from>
                    <xdr:col>6</xdr:col>
                    <xdr:colOff>12700</xdr:colOff>
                    <xdr:row>20</xdr:row>
                    <xdr:rowOff>12700</xdr:rowOff>
                  </from>
                  <to>
                    <xdr:col>6</xdr:col>
                    <xdr:colOff>533400</xdr:colOff>
                    <xdr:row>21</xdr:row>
                    <xdr:rowOff>0</xdr:rowOff>
                  </to>
                </anchor>
              </controlPr>
            </control>
          </mc:Choice>
        </mc:AlternateContent>
        <mc:AlternateContent xmlns:mc="http://schemas.openxmlformats.org/markup-compatibility/2006">
          <mc:Choice Requires="x14">
            <control shapeId="2067" r:id="rId16" name="Check Box 19">
              <controlPr defaultSize="0" autoFill="0" autoLine="0" autoPict="0">
                <anchor moveWithCells="1">
                  <from>
                    <xdr:col>6</xdr:col>
                    <xdr:colOff>0</xdr:colOff>
                    <xdr:row>21</xdr:row>
                    <xdr:rowOff>12700</xdr:rowOff>
                  </from>
                  <to>
                    <xdr:col>6</xdr:col>
                    <xdr:colOff>444500</xdr:colOff>
                    <xdr:row>21</xdr:row>
                    <xdr:rowOff>177800</xdr:rowOff>
                  </to>
                </anchor>
              </controlPr>
            </control>
          </mc:Choice>
        </mc:AlternateContent>
        <mc:AlternateContent xmlns:mc="http://schemas.openxmlformats.org/markup-compatibility/2006">
          <mc:Choice Requires="x14">
            <control shapeId="2068" r:id="rId17" name="Check Box 20">
              <controlPr defaultSize="0" autoFill="0" autoLine="0" autoPict="0">
                <anchor moveWithCells="1">
                  <from>
                    <xdr:col>6</xdr:col>
                    <xdr:colOff>12700</xdr:colOff>
                    <xdr:row>22</xdr:row>
                    <xdr:rowOff>25400</xdr:rowOff>
                  </from>
                  <to>
                    <xdr:col>6</xdr:col>
                    <xdr:colOff>520700</xdr:colOff>
                    <xdr:row>23</xdr:row>
                    <xdr:rowOff>0</xdr:rowOff>
                  </to>
                </anchor>
              </controlPr>
            </control>
          </mc:Choice>
        </mc:AlternateContent>
        <mc:AlternateContent xmlns:mc="http://schemas.openxmlformats.org/markup-compatibility/2006">
          <mc:Choice Requires="x14">
            <control shapeId="2069" r:id="rId18" name="Check Box 21">
              <controlPr defaultSize="0" autoFill="0" autoLine="0" autoPict="0">
                <anchor moveWithCells="1">
                  <from>
                    <xdr:col>7</xdr:col>
                    <xdr:colOff>12700</xdr:colOff>
                    <xdr:row>8</xdr:row>
                    <xdr:rowOff>12700</xdr:rowOff>
                  </from>
                  <to>
                    <xdr:col>7</xdr:col>
                    <xdr:colOff>457200</xdr:colOff>
                    <xdr:row>9</xdr:row>
                    <xdr:rowOff>12700</xdr:rowOff>
                  </to>
                </anchor>
              </controlPr>
            </control>
          </mc:Choice>
        </mc:AlternateContent>
        <mc:AlternateContent xmlns:mc="http://schemas.openxmlformats.org/markup-compatibility/2006">
          <mc:Choice Requires="x14">
            <control shapeId="2070" r:id="rId19" name="Check Box 22">
              <controlPr defaultSize="0" autoFill="0" autoLine="0" autoPict="0">
                <anchor moveWithCells="1">
                  <from>
                    <xdr:col>7</xdr:col>
                    <xdr:colOff>12700</xdr:colOff>
                    <xdr:row>9</xdr:row>
                    <xdr:rowOff>12700</xdr:rowOff>
                  </from>
                  <to>
                    <xdr:col>7</xdr:col>
                    <xdr:colOff>444500</xdr:colOff>
                    <xdr:row>10</xdr:row>
                    <xdr:rowOff>12700</xdr:rowOff>
                  </to>
                </anchor>
              </controlPr>
            </control>
          </mc:Choice>
        </mc:AlternateContent>
        <mc:AlternateContent xmlns:mc="http://schemas.openxmlformats.org/markup-compatibility/2006">
          <mc:Choice Requires="x14">
            <control shapeId="2071" r:id="rId20" name="Check Box 23">
              <controlPr defaultSize="0" autoFill="0" autoLine="0" autoPict="0">
                <anchor moveWithCells="1">
                  <from>
                    <xdr:col>7</xdr:col>
                    <xdr:colOff>12700</xdr:colOff>
                    <xdr:row>11</xdr:row>
                    <xdr:rowOff>25400</xdr:rowOff>
                  </from>
                  <to>
                    <xdr:col>7</xdr:col>
                    <xdr:colOff>469900</xdr:colOff>
                    <xdr:row>12</xdr:row>
                    <xdr:rowOff>0</xdr:rowOff>
                  </to>
                </anchor>
              </controlPr>
            </control>
          </mc:Choice>
        </mc:AlternateContent>
        <mc:AlternateContent xmlns:mc="http://schemas.openxmlformats.org/markup-compatibility/2006">
          <mc:Choice Requires="x14">
            <control shapeId="2072" r:id="rId21" name="Check Box 24">
              <controlPr defaultSize="0" autoFill="0" autoLine="0" autoPict="0">
                <anchor moveWithCells="1">
                  <from>
                    <xdr:col>7</xdr:col>
                    <xdr:colOff>12700</xdr:colOff>
                    <xdr:row>12</xdr:row>
                    <xdr:rowOff>12700</xdr:rowOff>
                  </from>
                  <to>
                    <xdr:col>7</xdr:col>
                    <xdr:colOff>444500</xdr:colOff>
                    <xdr:row>12</xdr:row>
                    <xdr:rowOff>190500</xdr:rowOff>
                  </to>
                </anchor>
              </controlPr>
            </control>
          </mc:Choice>
        </mc:AlternateContent>
        <mc:AlternateContent xmlns:mc="http://schemas.openxmlformats.org/markup-compatibility/2006">
          <mc:Choice Requires="x14">
            <control shapeId="2073" r:id="rId22" name="Check Box 25">
              <controlPr defaultSize="0" autoFill="0" autoLine="0" autoPict="0">
                <anchor moveWithCells="1">
                  <from>
                    <xdr:col>7</xdr:col>
                    <xdr:colOff>0</xdr:colOff>
                    <xdr:row>13</xdr:row>
                    <xdr:rowOff>12700</xdr:rowOff>
                  </from>
                  <to>
                    <xdr:col>7</xdr:col>
                    <xdr:colOff>508000</xdr:colOff>
                    <xdr:row>13</xdr:row>
                    <xdr:rowOff>190500</xdr:rowOff>
                  </to>
                </anchor>
              </controlPr>
            </control>
          </mc:Choice>
        </mc:AlternateContent>
        <mc:AlternateContent xmlns:mc="http://schemas.openxmlformats.org/markup-compatibility/2006">
          <mc:Choice Requires="x14">
            <control shapeId="2074" r:id="rId23" name="Check Box 26">
              <controlPr defaultSize="0" autoFill="0" autoLine="0" autoPict="0">
                <anchor moveWithCells="1">
                  <from>
                    <xdr:col>7</xdr:col>
                    <xdr:colOff>12700</xdr:colOff>
                    <xdr:row>14</xdr:row>
                    <xdr:rowOff>12700</xdr:rowOff>
                  </from>
                  <to>
                    <xdr:col>7</xdr:col>
                    <xdr:colOff>482600</xdr:colOff>
                    <xdr:row>14</xdr:row>
                    <xdr:rowOff>190500</xdr:rowOff>
                  </to>
                </anchor>
              </controlPr>
            </control>
          </mc:Choice>
        </mc:AlternateContent>
        <mc:AlternateContent xmlns:mc="http://schemas.openxmlformats.org/markup-compatibility/2006">
          <mc:Choice Requires="x14">
            <control shapeId="2075" r:id="rId24" name="Check Box 27">
              <controlPr defaultSize="0" autoFill="0" autoLine="0" autoPict="0">
                <anchor moveWithCells="1">
                  <from>
                    <xdr:col>7</xdr:col>
                    <xdr:colOff>12700</xdr:colOff>
                    <xdr:row>15</xdr:row>
                    <xdr:rowOff>25400</xdr:rowOff>
                  </from>
                  <to>
                    <xdr:col>7</xdr:col>
                    <xdr:colOff>482600</xdr:colOff>
                    <xdr:row>16</xdr:row>
                    <xdr:rowOff>12700</xdr:rowOff>
                  </to>
                </anchor>
              </controlPr>
            </control>
          </mc:Choice>
        </mc:AlternateContent>
        <mc:AlternateContent xmlns:mc="http://schemas.openxmlformats.org/markup-compatibility/2006">
          <mc:Choice Requires="x14">
            <control shapeId="2076" r:id="rId25" name="Check Box 28">
              <controlPr defaultSize="0" autoFill="0" autoLine="0" autoPict="0">
                <anchor moveWithCells="1">
                  <from>
                    <xdr:col>7</xdr:col>
                    <xdr:colOff>12700</xdr:colOff>
                    <xdr:row>16</xdr:row>
                    <xdr:rowOff>12700</xdr:rowOff>
                  </from>
                  <to>
                    <xdr:col>7</xdr:col>
                    <xdr:colOff>482600</xdr:colOff>
                    <xdr:row>17</xdr:row>
                    <xdr:rowOff>0</xdr:rowOff>
                  </to>
                </anchor>
              </controlPr>
            </control>
          </mc:Choice>
        </mc:AlternateContent>
        <mc:AlternateContent xmlns:mc="http://schemas.openxmlformats.org/markup-compatibility/2006">
          <mc:Choice Requires="x14">
            <control shapeId="2077" r:id="rId26" name="Check Box 29">
              <controlPr defaultSize="0" autoFill="0" autoLine="0" autoPict="0">
                <anchor moveWithCells="1">
                  <from>
                    <xdr:col>7</xdr:col>
                    <xdr:colOff>12700</xdr:colOff>
                    <xdr:row>17</xdr:row>
                    <xdr:rowOff>0</xdr:rowOff>
                  </from>
                  <to>
                    <xdr:col>7</xdr:col>
                    <xdr:colOff>495300</xdr:colOff>
                    <xdr:row>17</xdr:row>
                    <xdr:rowOff>190500</xdr:rowOff>
                  </to>
                </anchor>
              </controlPr>
            </control>
          </mc:Choice>
        </mc:AlternateContent>
        <mc:AlternateContent xmlns:mc="http://schemas.openxmlformats.org/markup-compatibility/2006">
          <mc:Choice Requires="x14">
            <control shapeId="2078" r:id="rId27" name="Check Box 30">
              <controlPr defaultSize="0" autoFill="0" autoLine="0" autoPict="0">
                <anchor moveWithCells="1">
                  <from>
                    <xdr:col>7</xdr:col>
                    <xdr:colOff>25400</xdr:colOff>
                    <xdr:row>18</xdr:row>
                    <xdr:rowOff>12700</xdr:rowOff>
                  </from>
                  <to>
                    <xdr:col>7</xdr:col>
                    <xdr:colOff>495300</xdr:colOff>
                    <xdr:row>18</xdr:row>
                    <xdr:rowOff>177800</xdr:rowOff>
                  </to>
                </anchor>
              </controlPr>
            </control>
          </mc:Choice>
        </mc:AlternateContent>
        <mc:AlternateContent xmlns:mc="http://schemas.openxmlformats.org/markup-compatibility/2006">
          <mc:Choice Requires="x14">
            <control shapeId="2079" r:id="rId28" name="Check Box 31">
              <controlPr defaultSize="0" autoFill="0" autoLine="0" autoPict="0">
                <anchor moveWithCells="1">
                  <from>
                    <xdr:col>7</xdr:col>
                    <xdr:colOff>12700</xdr:colOff>
                    <xdr:row>19</xdr:row>
                    <xdr:rowOff>25400</xdr:rowOff>
                  </from>
                  <to>
                    <xdr:col>7</xdr:col>
                    <xdr:colOff>444500</xdr:colOff>
                    <xdr:row>20</xdr:row>
                    <xdr:rowOff>12700</xdr:rowOff>
                  </to>
                </anchor>
              </controlPr>
            </control>
          </mc:Choice>
        </mc:AlternateContent>
        <mc:AlternateContent xmlns:mc="http://schemas.openxmlformats.org/markup-compatibility/2006">
          <mc:Choice Requires="x14">
            <control shapeId="2080" r:id="rId29" name="Check Box 32">
              <controlPr defaultSize="0" autoFill="0" autoLine="0" autoPict="0">
                <anchor moveWithCells="1">
                  <from>
                    <xdr:col>7</xdr:col>
                    <xdr:colOff>25400</xdr:colOff>
                    <xdr:row>20</xdr:row>
                    <xdr:rowOff>25400</xdr:rowOff>
                  </from>
                  <to>
                    <xdr:col>7</xdr:col>
                    <xdr:colOff>508000</xdr:colOff>
                    <xdr:row>21</xdr:row>
                    <xdr:rowOff>0</xdr:rowOff>
                  </to>
                </anchor>
              </controlPr>
            </control>
          </mc:Choice>
        </mc:AlternateContent>
        <mc:AlternateContent xmlns:mc="http://schemas.openxmlformats.org/markup-compatibility/2006">
          <mc:Choice Requires="x14">
            <control shapeId="2081" r:id="rId30" name="Check Box 33">
              <controlPr defaultSize="0" autoFill="0" autoLine="0" autoPict="0">
                <anchor moveWithCells="1">
                  <from>
                    <xdr:col>7</xdr:col>
                    <xdr:colOff>12700</xdr:colOff>
                    <xdr:row>21</xdr:row>
                    <xdr:rowOff>12700</xdr:rowOff>
                  </from>
                  <to>
                    <xdr:col>7</xdr:col>
                    <xdr:colOff>508000</xdr:colOff>
                    <xdr:row>21</xdr:row>
                    <xdr:rowOff>190500</xdr:rowOff>
                  </to>
                </anchor>
              </controlPr>
            </control>
          </mc:Choice>
        </mc:AlternateContent>
        <mc:AlternateContent xmlns:mc="http://schemas.openxmlformats.org/markup-compatibility/2006">
          <mc:Choice Requires="x14">
            <control shapeId="2082" r:id="rId31" name="Check Box 34">
              <controlPr defaultSize="0" autoFill="0" autoLine="0" autoPict="0">
                <anchor moveWithCells="1">
                  <from>
                    <xdr:col>7</xdr:col>
                    <xdr:colOff>12700</xdr:colOff>
                    <xdr:row>22</xdr:row>
                    <xdr:rowOff>0</xdr:rowOff>
                  </from>
                  <to>
                    <xdr:col>7</xdr:col>
                    <xdr:colOff>482600</xdr:colOff>
                    <xdr:row>22</xdr:row>
                    <xdr:rowOff>190500</xdr:rowOff>
                  </to>
                </anchor>
              </controlPr>
            </control>
          </mc:Choice>
        </mc:AlternateContent>
        <mc:AlternateContent xmlns:mc="http://schemas.openxmlformats.org/markup-compatibility/2006">
          <mc:Choice Requires="x14">
            <control shapeId="2083" r:id="rId32" name="Check Box 35">
              <controlPr defaultSize="0" autoFill="0" autoLine="0" autoPict="0">
                <anchor moveWithCells="1">
                  <from>
                    <xdr:col>4</xdr:col>
                    <xdr:colOff>723900</xdr:colOff>
                    <xdr:row>27</xdr:row>
                    <xdr:rowOff>12700</xdr:rowOff>
                  </from>
                  <to>
                    <xdr:col>5</xdr:col>
                    <xdr:colOff>12700</xdr:colOff>
                    <xdr:row>28</xdr:row>
                    <xdr:rowOff>12700</xdr:rowOff>
                  </to>
                </anchor>
              </controlPr>
            </control>
          </mc:Choice>
        </mc:AlternateContent>
        <mc:AlternateContent xmlns:mc="http://schemas.openxmlformats.org/markup-compatibility/2006">
          <mc:Choice Requires="x14">
            <control shapeId="2084" r:id="rId33" name="Check Box 36">
              <controlPr defaultSize="0" autoFill="0" autoLine="0" autoPict="0">
                <anchor moveWithCells="1">
                  <from>
                    <xdr:col>6</xdr:col>
                    <xdr:colOff>0</xdr:colOff>
                    <xdr:row>51</xdr:row>
                    <xdr:rowOff>0</xdr:rowOff>
                  </from>
                  <to>
                    <xdr:col>6</xdr:col>
                    <xdr:colOff>508000</xdr:colOff>
                    <xdr:row>51</xdr:row>
                    <xdr:rowOff>177800</xdr:rowOff>
                  </to>
                </anchor>
              </controlPr>
            </control>
          </mc:Choice>
        </mc:AlternateContent>
        <mc:AlternateContent xmlns:mc="http://schemas.openxmlformats.org/markup-compatibility/2006">
          <mc:Choice Requires="x14">
            <control shapeId="2085" r:id="rId34" name="Check Box 37">
              <controlPr defaultSize="0" autoFill="0" autoLine="0" autoPict="0">
                <anchor moveWithCells="1">
                  <from>
                    <xdr:col>7</xdr:col>
                    <xdr:colOff>0</xdr:colOff>
                    <xdr:row>51</xdr:row>
                    <xdr:rowOff>12700</xdr:rowOff>
                  </from>
                  <to>
                    <xdr:col>7</xdr:col>
                    <xdr:colOff>482600</xdr:colOff>
                    <xdr:row>51</xdr:row>
                    <xdr:rowOff>165100</xdr:rowOff>
                  </to>
                </anchor>
              </controlPr>
            </control>
          </mc:Choice>
        </mc:AlternateContent>
        <mc:AlternateContent xmlns:mc="http://schemas.openxmlformats.org/markup-compatibility/2006">
          <mc:Choice Requires="x14">
            <control shapeId="2086" r:id="rId35" name="Check Box 38">
              <controlPr defaultSize="0" autoFill="0" autoLine="0" autoPict="0">
                <anchor moveWithCells="1">
                  <from>
                    <xdr:col>6</xdr:col>
                    <xdr:colOff>0</xdr:colOff>
                    <xdr:row>59</xdr:row>
                    <xdr:rowOff>25400</xdr:rowOff>
                  </from>
                  <to>
                    <xdr:col>6</xdr:col>
                    <xdr:colOff>495300</xdr:colOff>
                    <xdr:row>60</xdr:row>
                    <xdr:rowOff>12700</xdr:rowOff>
                  </to>
                </anchor>
              </controlPr>
            </control>
          </mc:Choice>
        </mc:AlternateContent>
        <mc:AlternateContent xmlns:mc="http://schemas.openxmlformats.org/markup-compatibility/2006">
          <mc:Choice Requires="x14">
            <control shapeId="2087" r:id="rId36" name="Check Box 39">
              <controlPr defaultSize="0" autoFill="0" autoLine="0" autoPict="0">
                <anchor moveWithCells="1">
                  <from>
                    <xdr:col>6</xdr:col>
                    <xdr:colOff>0</xdr:colOff>
                    <xdr:row>60</xdr:row>
                    <xdr:rowOff>25400</xdr:rowOff>
                  </from>
                  <to>
                    <xdr:col>6</xdr:col>
                    <xdr:colOff>457200</xdr:colOff>
                    <xdr:row>61</xdr:row>
                    <xdr:rowOff>0</xdr:rowOff>
                  </to>
                </anchor>
              </controlPr>
            </control>
          </mc:Choice>
        </mc:AlternateContent>
        <mc:AlternateContent xmlns:mc="http://schemas.openxmlformats.org/markup-compatibility/2006">
          <mc:Choice Requires="x14">
            <control shapeId="2088" r:id="rId37" name="Check Box 40">
              <controlPr defaultSize="0" autoFill="0" autoLine="0" autoPict="0">
                <anchor moveWithCells="1">
                  <from>
                    <xdr:col>7</xdr:col>
                    <xdr:colOff>12700</xdr:colOff>
                    <xdr:row>59</xdr:row>
                    <xdr:rowOff>12700</xdr:rowOff>
                  </from>
                  <to>
                    <xdr:col>7</xdr:col>
                    <xdr:colOff>520700</xdr:colOff>
                    <xdr:row>59</xdr:row>
                    <xdr:rowOff>177800</xdr:rowOff>
                  </to>
                </anchor>
              </controlPr>
            </control>
          </mc:Choice>
        </mc:AlternateContent>
        <mc:AlternateContent xmlns:mc="http://schemas.openxmlformats.org/markup-compatibility/2006">
          <mc:Choice Requires="x14">
            <control shapeId="2089" r:id="rId38" name="Check Box 41">
              <controlPr defaultSize="0" autoFill="0" autoLine="0" autoPict="0">
                <anchor moveWithCells="1">
                  <from>
                    <xdr:col>7</xdr:col>
                    <xdr:colOff>12700</xdr:colOff>
                    <xdr:row>60</xdr:row>
                    <xdr:rowOff>12700</xdr:rowOff>
                  </from>
                  <to>
                    <xdr:col>7</xdr:col>
                    <xdr:colOff>508000</xdr:colOff>
                    <xdr:row>60</xdr:row>
                    <xdr:rowOff>177800</xdr:rowOff>
                  </to>
                </anchor>
              </controlPr>
            </control>
          </mc:Choice>
        </mc:AlternateContent>
        <mc:AlternateContent xmlns:mc="http://schemas.openxmlformats.org/markup-compatibility/2006">
          <mc:Choice Requires="x14">
            <control shapeId="2090" r:id="rId39" name="Check Box 42">
              <controlPr defaultSize="0" autoFill="0" autoLine="0" autoPict="0">
                <anchor moveWithCells="1">
                  <from>
                    <xdr:col>6</xdr:col>
                    <xdr:colOff>12700</xdr:colOff>
                    <xdr:row>79</xdr:row>
                    <xdr:rowOff>25400</xdr:rowOff>
                  </from>
                  <to>
                    <xdr:col>6</xdr:col>
                    <xdr:colOff>457200</xdr:colOff>
                    <xdr:row>79</xdr:row>
                    <xdr:rowOff>177800</xdr:rowOff>
                  </to>
                </anchor>
              </controlPr>
            </control>
          </mc:Choice>
        </mc:AlternateContent>
        <mc:AlternateContent xmlns:mc="http://schemas.openxmlformats.org/markup-compatibility/2006">
          <mc:Choice Requires="x14">
            <control shapeId="2091" r:id="rId40" name="Check Box 43">
              <controlPr defaultSize="0" autoFill="0" autoLine="0" autoPict="0">
                <anchor moveWithCells="1">
                  <from>
                    <xdr:col>7</xdr:col>
                    <xdr:colOff>12700</xdr:colOff>
                    <xdr:row>79</xdr:row>
                    <xdr:rowOff>0</xdr:rowOff>
                  </from>
                  <to>
                    <xdr:col>7</xdr:col>
                    <xdr:colOff>457200</xdr:colOff>
                    <xdr:row>79</xdr:row>
                    <xdr:rowOff>177800</xdr:rowOff>
                  </to>
                </anchor>
              </controlPr>
            </control>
          </mc:Choice>
        </mc:AlternateContent>
        <mc:AlternateContent xmlns:mc="http://schemas.openxmlformats.org/markup-compatibility/2006">
          <mc:Choice Requires="x14">
            <control shapeId="2092" r:id="rId41" name="Check Box 44">
              <controlPr defaultSize="0" autoFill="0" autoLine="0" autoPict="0">
                <anchor moveWithCells="1">
                  <from>
                    <xdr:col>4</xdr:col>
                    <xdr:colOff>711200</xdr:colOff>
                    <xdr:row>82</xdr:row>
                    <xdr:rowOff>228600</xdr:rowOff>
                  </from>
                  <to>
                    <xdr:col>5</xdr:col>
                    <xdr:colOff>0</xdr:colOff>
                    <xdr:row>84</xdr:row>
                    <xdr:rowOff>12700</xdr:rowOff>
                  </to>
                </anchor>
              </controlPr>
            </control>
          </mc:Choice>
        </mc:AlternateContent>
        <mc:AlternateContent xmlns:mc="http://schemas.openxmlformats.org/markup-compatibility/2006">
          <mc:Choice Requires="x14">
            <control shapeId="2093" r:id="rId42" name="Check Box 45">
              <controlPr defaultSize="0" autoFill="0" autoLine="0" autoPict="0">
                <anchor moveWithCells="1">
                  <from>
                    <xdr:col>4</xdr:col>
                    <xdr:colOff>736600</xdr:colOff>
                    <xdr:row>65</xdr:row>
                    <xdr:rowOff>177800</xdr:rowOff>
                  </from>
                  <to>
                    <xdr:col>5</xdr:col>
                    <xdr:colOff>12700</xdr:colOff>
                    <xdr:row>67</xdr:row>
                    <xdr:rowOff>12700</xdr:rowOff>
                  </to>
                </anchor>
              </controlPr>
            </control>
          </mc:Choice>
        </mc:AlternateContent>
        <mc:AlternateContent xmlns:mc="http://schemas.openxmlformats.org/markup-compatibility/2006">
          <mc:Choice Requires="x14">
            <control shapeId="2094" r:id="rId43" name="Check Box 46">
              <controlPr defaultSize="0" autoFill="0" autoLine="0" autoPict="0">
                <anchor moveWithCells="1">
                  <from>
                    <xdr:col>5</xdr:col>
                    <xdr:colOff>355600</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2095" r:id="rId44" name="Check Box 47">
              <controlPr defaultSize="0" autoFill="0" autoLine="0" autoPict="0">
                <anchor moveWithCells="1">
                  <from>
                    <xdr:col>6</xdr:col>
                    <xdr:colOff>0</xdr:colOff>
                    <xdr:row>10</xdr:row>
                    <xdr:rowOff>25400</xdr:rowOff>
                  </from>
                  <to>
                    <xdr:col>6</xdr:col>
                    <xdr:colOff>444500</xdr:colOff>
                    <xdr:row>11</xdr:row>
                    <xdr:rowOff>12700</xdr:rowOff>
                  </to>
                </anchor>
              </controlPr>
            </control>
          </mc:Choice>
        </mc:AlternateContent>
        <mc:AlternateContent xmlns:mc="http://schemas.openxmlformats.org/markup-compatibility/2006">
          <mc:Choice Requires="x14">
            <control shapeId="2096" r:id="rId45" name="Check Box 48">
              <controlPr defaultSize="0" autoFill="0" autoLine="0" autoPict="0">
                <anchor moveWithCells="1">
                  <from>
                    <xdr:col>7</xdr:col>
                    <xdr:colOff>12700</xdr:colOff>
                    <xdr:row>10</xdr:row>
                    <xdr:rowOff>25400</xdr:rowOff>
                  </from>
                  <to>
                    <xdr:col>7</xdr:col>
                    <xdr:colOff>444500</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0"/>
  </sheetPr>
  <dimension ref="B1:L94"/>
  <sheetViews>
    <sheetView showRuler="0" view="pageLayout" zoomScale="110" zoomScaleNormal="100" zoomScalePageLayoutView="110" workbookViewId="0">
      <selection activeCell="J6" sqref="J6:J11"/>
    </sheetView>
  </sheetViews>
  <sheetFormatPr baseColWidth="10" defaultColWidth="8.83203125" defaultRowHeight="15" x14ac:dyDescent="0.2"/>
  <cols>
    <col min="1" max="1" width="6.33203125" customWidth="1"/>
    <col min="2" max="2" width="11.33203125" customWidth="1"/>
    <col min="3" max="3" width="18.5" customWidth="1"/>
    <col min="4" max="4" width="12.5" bestFit="1" customWidth="1"/>
    <col min="5" max="5" width="11.5" customWidth="1"/>
    <col min="6" max="6" width="14.83203125" customWidth="1"/>
    <col min="7" max="7" width="9.5" customWidth="1"/>
    <col min="8" max="8" width="7.5" customWidth="1"/>
    <col min="9" max="9" width="3.5" customWidth="1"/>
    <col min="10" max="10" width="18.5" customWidth="1"/>
    <col min="11" max="11" width="4.5" customWidth="1"/>
    <col min="12" max="12" width="15.83203125" bestFit="1" customWidth="1"/>
  </cols>
  <sheetData>
    <row r="1" spans="2:12" ht="20" thickBot="1" x14ac:dyDescent="0.3">
      <c r="D1" s="2" t="s">
        <v>0</v>
      </c>
      <c r="E1" s="27">
        <f>SUM(G17,G51,G69,G87)</f>
        <v>0.5</v>
      </c>
      <c r="F1" s="1" t="s">
        <v>1</v>
      </c>
      <c r="G1" s="4">
        <v>35</v>
      </c>
      <c r="H1" s="20">
        <f>SUM(E1/G1)</f>
        <v>1.4285714285714285E-2</v>
      </c>
      <c r="I1" s="42"/>
      <c r="J1" s="43" t="s">
        <v>92</v>
      </c>
    </row>
    <row r="2" spans="2:12" ht="7.5" customHeight="1" x14ac:dyDescent="0.2">
      <c r="J2" s="44">
        <v>911</v>
      </c>
    </row>
    <row r="3" spans="2:12" x14ac:dyDescent="0.2">
      <c r="B3" s="9" t="s">
        <v>2</v>
      </c>
      <c r="C3" s="6"/>
      <c r="D3" s="2" t="s">
        <v>3</v>
      </c>
      <c r="E3" s="7"/>
      <c r="F3" s="2" t="s">
        <v>4</v>
      </c>
      <c r="G3" s="957" t="s">
        <v>92</v>
      </c>
      <c r="H3" s="959"/>
      <c r="I3" s="1"/>
      <c r="J3" s="45" t="s">
        <v>63</v>
      </c>
    </row>
    <row r="4" spans="2:12" ht="7.5" customHeight="1" x14ac:dyDescent="0.2"/>
    <row r="5" spans="2:12" x14ac:dyDescent="0.2">
      <c r="B5" s="9" t="s">
        <v>5</v>
      </c>
      <c r="C5" s="5" t="s">
        <v>91</v>
      </c>
      <c r="D5" s="2" t="s">
        <v>6</v>
      </c>
      <c r="E5" s="8"/>
      <c r="F5" s="9" t="s">
        <v>7</v>
      </c>
      <c r="G5" s="957" t="s">
        <v>92</v>
      </c>
      <c r="H5" s="959"/>
      <c r="I5" s="1"/>
    </row>
    <row r="6" spans="2:12" ht="9" customHeight="1" x14ac:dyDescent="0.2">
      <c r="J6" s="43" t="s">
        <v>92</v>
      </c>
    </row>
    <row r="7" spans="2:12" ht="11.25" customHeight="1" x14ac:dyDescent="0.2">
      <c r="B7" s="978" t="s">
        <v>8</v>
      </c>
      <c r="C7" s="979"/>
      <c r="D7" s="979"/>
      <c r="E7" s="979"/>
      <c r="F7" s="979"/>
      <c r="G7" s="979"/>
      <c r="H7" s="980"/>
      <c r="I7" s="4"/>
      <c r="J7" s="44" t="s">
        <v>85</v>
      </c>
    </row>
    <row r="8" spans="2:12" ht="9.75" customHeight="1" x14ac:dyDescent="0.2">
      <c r="B8" s="981"/>
      <c r="C8" s="982"/>
      <c r="D8" s="982"/>
      <c r="E8" s="982"/>
      <c r="F8" s="982"/>
      <c r="G8" s="982"/>
      <c r="H8" s="983"/>
      <c r="I8" s="4"/>
      <c r="J8" s="44" t="s">
        <v>86</v>
      </c>
    </row>
    <row r="9" spans="2:12" ht="8.25" customHeight="1" x14ac:dyDescent="0.2">
      <c r="F9" s="11"/>
      <c r="G9" s="11"/>
      <c r="H9" s="11"/>
      <c r="I9" s="11"/>
      <c r="J9" s="44" t="s">
        <v>87</v>
      </c>
    </row>
    <row r="10" spans="2:12" x14ac:dyDescent="0.2">
      <c r="B10" s="30">
        <v>1</v>
      </c>
      <c r="C10" s="31" t="s">
        <v>12</v>
      </c>
      <c r="D10" s="31"/>
      <c r="E10" s="31"/>
      <c r="F10" s="36"/>
      <c r="G10" s="36" t="b">
        <v>0</v>
      </c>
      <c r="H10" s="36" t="b">
        <v>0</v>
      </c>
      <c r="I10" s="36"/>
      <c r="J10" s="44" t="s">
        <v>196</v>
      </c>
      <c r="L10" s="43" t="s">
        <v>207</v>
      </c>
    </row>
    <row r="11" spans="2:12" x14ac:dyDescent="0.2">
      <c r="B11" s="2" t="s">
        <v>10</v>
      </c>
      <c r="C11" t="s">
        <v>13</v>
      </c>
      <c r="F11" s="11"/>
      <c r="G11" s="11" t="b">
        <v>0</v>
      </c>
      <c r="H11" s="11"/>
      <c r="I11" s="11"/>
      <c r="J11" s="45" t="s">
        <v>88</v>
      </c>
      <c r="L11" s="44" t="s">
        <v>208</v>
      </c>
    </row>
    <row r="12" spans="2:12" x14ac:dyDescent="0.2">
      <c r="B12" s="30" t="s">
        <v>179</v>
      </c>
      <c r="C12" s="31" t="s">
        <v>181</v>
      </c>
      <c r="D12" s="31"/>
      <c r="E12" s="31"/>
      <c r="F12" s="36" t="b">
        <v>0</v>
      </c>
      <c r="G12" s="36" t="b">
        <v>0</v>
      </c>
      <c r="H12" s="36" t="b">
        <v>0</v>
      </c>
      <c r="I12" s="36"/>
      <c r="L12" s="44" t="s">
        <v>209</v>
      </c>
    </row>
    <row r="13" spans="2:12" x14ac:dyDescent="0.2">
      <c r="B13" s="2">
        <v>2</v>
      </c>
      <c r="C13" t="s">
        <v>14</v>
      </c>
      <c r="F13" s="11"/>
      <c r="G13" s="11" t="b">
        <v>0</v>
      </c>
      <c r="H13" s="11" t="b">
        <v>0</v>
      </c>
      <c r="I13" s="11"/>
      <c r="J13" s="43" t="s">
        <v>91</v>
      </c>
      <c r="L13" s="44" t="s">
        <v>210</v>
      </c>
    </row>
    <row r="14" spans="2:12" x14ac:dyDescent="0.2">
      <c r="B14" s="30" t="s">
        <v>11</v>
      </c>
      <c r="C14" s="31" t="s">
        <v>168</v>
      </c>
      <c r="D14" s="31"/>
      <c r="E14" s="31"/>
      <c r="F14" s="36" t="b">
        <v>0</v>
      </c>
      <c r="G14" s="36" t="b">
        <v>0</v>
      </c>
      <c r="H14" s="36"/>
      <c r="I14" s="36"/>
      <c r="J14" s="44"/>
      <c r="L14" s="44"/>
    </row>
    <row r="15" spans="2:12" x14ac:dyDescent="0.2">
      <c r="B15" s="2">
        <v>3</v>
      </c>
      <c r="C15" t="s">
        <v>198</v>
      </c>
      <c r="F15" s="40"/>
      <c r="G15" s="40" t="b">
        <v>0</v>
      </c>
      <c r="H15" s="40"/>
      <c r="I15" s="40"/>
      <c r="J15" s="44" t="s">
        <v>64</v>
      </c>
      <c r="L15" s="44"/>
    </row>
    <row r="16" spans="2:12" ht="9" customHeight="1" x14ac:dyDescent="0.2">
      <c r="F16" s="11">
        <f>COUNTIF(F10:F15,TRUE)</f>
        <v>0</v>
      </c>
      <c r="G16" s="11">
        <f>COUNTIF(G10:G15,TRUE)</f>
        <v>0</v>
      </c>
      <c r="H16" s="11"/>
      <c r="I16" s="11"/>
      <c r="J16" s="44" t="s">
        <v>65</v>
      </c>
      <c r="L16" s="44"/>
    </row>
    <row r="17" spans="2:12" x14ac:dyDescent="0.2">
      <c r="C17" s="5" t="s">
        <v>207</v>
      </c>
      <c r="E17" s="986" t="s">
        <v>195</v>
      </c>
      <c r="F17" s="987"/>
      <c r="G17" s="529">
        <f>SUM(F16,G16)</f>
        <v>0</v>
      </c>
      <c r="H17" s="530"/>
      <c r="I17" s="3"/>
      <c r="J17" s="44" t="s">
        <v>66</v>
      </c>
      <c r="L17" s="44"/>
    </row>
    <row r="18" spans="2:12" x14ac:dyDescent="0.2">
      <c r="B18" t="s">
        <v>15</v>
      </c>
      <c r="J18" s="44" t="s">
        <v>67</v>
      </c>
      <c r="L18" s="44"/>
    </row>
    <row r="19" spans="2:12" x14ac:dyDescent="0.2">
      <c r="B19" s="967"/>
      <c r="C19" s="968"/>
      <c r="D19" s="968"/>
      <c r="E19" s="968"/>
      <c r="F19" s="968"/>
      <c r="G19" s="968"/>
      <c r="H19" s="988"/>
      <c r="I19" s="13"/>
      <c r="J19" s="44" t="s">
        <v>68</v>
      </c>
      <c r="L19" s="44"/>
    </row>
    <row r="20" spans="2:12" x14ac:dyDescent="0.2">
      <c r="B20" s="969"/>
      <c r="C20" s="970"/>
      <c r="D20" s="970"/>
      <c r="E20" s="970"/>
      <c r="F20" s="970"/>
      <c r="G20" s="970"/>
      <c r="H20" s="989"/>
      <c r="I20" s="13"/>
      <c r="J20" s="44" t="s">
        <v>69</v>
      </c>
      <c r="L20" s="44"/>
    </row>
    <row r="21" spans="2:12" x14ac:dyDescent="0.2">
      <c r="B21" s="969"/>
      <c r="C21" s="970"/>
      <c r="D21" s="970"/>
      <c r="E21" s="970"/>
      <c r="F21" s="970"/>
      <c r="G21" s="970"/>
      <c r="H21" s="989"/>
      <c r="I21" s="13"/>
      <c r="J21" s="44" t="s">
        <v>70</v>
      </c>
      <c r="L21" s="44"/>
    </row>
    <row r="22" spans="2:12" x14ac:dyDescent="0.2">
      <c r="B22" s="971"/>
      <c r="C22" s="972"/>
      <c r="D22" s="972"/>
      <c r="E22" s="972"/>
      <c r="F22" s="972"/>
      <c r="G22" s="972"/>
      <c r="H22" s="990"/>
      <c r="I22" s="13"/>
      <c r="J22" s="44" t="s">
        <v>71</v>
      </c>
      <c r="L22" s="45"/>
    </row>
    <row r="23" spans="2:12" ht="7.5" customHeight="1" x14ac:dyDescent="0.2">
      <c r="B23" s="35"/>
      <c r="C23" s="35"/>
      <c r="D23" s="35"/>
      <c r="E23" s="35"/>
      <c r="F23" s="35"/>
      <c r="G23" s="35"/>
      <c r="H23" s="35"/>
      <c r="I23" s="35"/>
      <c r="J23" s="44" t="s">
        <v>72</v>
      </c>
    </row>
    <row r="24" spans="2:12" ht="11.25" customHeight="1" x14ac:dyDescent="0.2">
      <c r="B24" s="978" t="s">
        <v>16</v>
      </c>
      <c r="C24" s="979"/>
      <c r="D24" s="979"/>
      <c r="E24" s="979"/>
      <c r="F24" s="979"/>
      <c r="G24" s="979"/>
      <c r="H24" s="980"/>
      <c r="I24" s="4"/>
      <c r="J24" s="44" t="s">
        <v>73</v>
      </c>
    </row>
    <row r="25" spans="2:12" ht="9.75" customHeight="1" x14ac:dyDescent="0.2">
      <c r="B25" s="981"/>
      <c r="C25" s="982"/>
      <c r="D25" s="982"/>
      <c r="E25" s="982"/>
      <c r="F25" s="982"/>
      <c r="G25" s="982"/>
      <c r="H25" s="983"/>
      <c r="I25" s="4"/>
      <c r="J25" s="44" t="s">
        <v>74</v>
      </c>
    </row>
    <row r="26" spans="2:12" ht="8.25" customHeight="1" x14ac:dyDescent="0.2">
      <c r="G26" s="11"/>
      <c r="H26" s="11"/>
      <c r="I26" s="11"/>
      <c r="J26" s="44" t="s">
        <v>75</v>
      </c>
    </row>
    <row r="27" spans="2:12" x14ac:dyDescent="0.2">
      <c r="B27" s="30">
        <v>4</v>
      </c>
      <c r="C27" s="31" t="s">
        <v>31</v>
      </c>
      <c r="D27" s="31"/>
      <c r="E27" s="31"/>
      <c r="F27" s="32" t="b">
        <v>0</v>
      </c>
      <c r="G27" s="32" t="b">
        <v>0</v>
      </c>
      <c r="H27" s="32" t="b">
        <v>0</v>
      </c>
      <c r="I27" s="32"/>
      <c r="J27" s="44" t="s">
        <v>76</v>
      </c>
    </row>
    <row r="28" spans="2:12" x14ac:dyDescent="0.2">
      <c r="B28" s="2" t="s">
        <v>108</v>
      </c>
      <c r="C28" t="s">
        <v>32</v>
      </c>
      <c r="F28" s="11" t="b">
        <v>0</v>
      </c>
      <c r="G28" s="11" t="b">
        <v>0</v>
      </c>
      <c r="H28" s="11" t="b">
        <v>0</v>
      </c>
      <c r="I28" s="11"/>
      <c r="J28" s="44" t="s">
        <v>77</v>
      </c>
      <c r="L28" s="50" t="s">
        <v>211</v>
      </c>
    </row>
    <row r="29" spans="2:12" x14ac:dyDescent="0.2">
      <c r="B29" s="30" t="s">
        <v>200</v>
      </c>
      <c r="C29" s="31" t="s">
        <v>33</v>
      </c>
      <c r="D29" s="31"/>
      <c r="E29" s="31"/>
      <c r="F29" s="32" t="b">
        <v>0</v>
      </c>
      <c r="G29" s="32" t="b">
        <v>0</v>
      </c>
      <c r="H29" s="32" t="b">
        <v>0</v>
      </c>
      <c r="I29" s="32"/>
      <c r="J29" s="44" t="s">
        <v>78</v>
      </c>
      <c r="L29" s="50" t="s">
        <v>211</v>
      </c>
    </row>
    <row r="30" spans="2:12" x14ac:dyDescent="0.2">
      <c r="B30" s="2">
        <v>5</v>
      </c>
      <c r="C30" t="s">
        <v>169</v>
      </c>
      <c r="F30" s="11" t="b">
        <v>0</v>
      </c>
      <c r="G30" s="11" t="b">
        <v>0</v>
      </c>
      <c r="H30" s="11" t="b">
        <v>0</v>
      </c>
      <c r="I30" s="11"/>
      <c r="J30" s="44" t="s">
        <v>90</v>
      </c>
      <c r="L30" s="50" t="s">
        <v>211</v>
      </c>
    </row>
    <row r="31" spans="2:12" x14ac:dyDescent="0.2">
      <c r="B31" s="30">
        <v>6</v>
      </c>
      <c r="C31" s="31" t="s">
        <v>34</v>
      </c>
      <c r="D31" s="31"/>
      <c r="E31" s="31"/>
      <c r="F31" s="32" t="b">
        <v>0</v>
      </c>
      <c r="G31" s="32" t="b">
        <v>0</v>
      </c>
      <c r="H31" s="32" t="b">
        <v>0</v>
      </c>
      <c r="I31" s="32"/>
      <c r="J31" s="44" t="s">
        <v>79</v>
      </c>
      <c r="L31" s="50" t="s">
        <v>211</v>
      </c>
    </row>
    <row r="32" spans="2:12" x14ac:dyDescent="0.2">
      <c r="B32" s="2">
        <v>7</v>
      </c>
      <c r="C32" t="s">
        <v>35</v>
      </c>
      <c r="F32" s="11" t="b">
        <v>0</v>
      </c>
      <c r="G32" s="11" t="b">
        <v>0</v>
      </c>
      <c r="H32" s="11" t="b">
        <v>0</v>
      </c>
      <c r="I32" s="11"/>
      <c r="J32" s="44" t="s">
        <v>80</v>
      </c>
      <c r="L32" s="50" t="s">
        <v>211</v>
      </c>
    </row>
    <row r="33" spans="2:12" x14ac:dyDescent="0.2">
      <c r="B33" s="30" t="s">
        <v>118</v>
      </c>
      <c r="C33" s="31" t="s">
        <v>22</v>
      </c>
      <c r="D33" s="31"/>
      <c r="E33" s="31"/>
      <c r="F33" s="32" t="b">
        <v>0</v>
      </c>
      <c r="G33" s="32" t="b">
        <v>0</v>
      </c>
      <c r="H33" s="32" t="b">
        <v>0</v>
      </c>
      <c r="I33" s="32"/>
      <c r="J33" s="44" t="s">
        <v>81</v>
      </c>
      <c r="L33" s="50" t="s">
        <v>211</v>
      </c>
    </row>
    <row r="34" spans="2:12" x14ac:dyDescent="0.2">
      <c r="B34" s="2" t="s">
        <v>121</v>
      </c>
      <c r="C34" t="s">
        <v>23</v>
      </c>
      <c r="F34" s="11" t="b">
        <v>0</v>
      </c>
      <c r="G34" s="11" t="b">
        <v>0</v>
      </c>
      <c r="H34" s="11" t="b">
        <v>0</v>
      </c>
      <c r="I34" s="11"/>
      <c r="J34" s="44" t="s">
        <v>82</v>
      </c>
      <c r="L34" s="50" t="s">
        <v>211</v>
      </c>
    </row>
    <row r="35" spans="2:12" x14ac:dyDescent="0.2">
      <c r="B35" s="30" t="s">
        <v>201</v>
      </c>
      <c r="C35" s="31" t="s">
        <v>24</v>
      </c>
      <c r="D35" s="31"/>
      <c r="E35" s="31"/>
      <c r="F35" s="32" t="b">
        <v>0</v>
      </c>
      <c r="G35" s="32" t="b">
        <v>0</v>
      </c>
      <c r="H35" s="32" t="b">
        <v>0</v>
      </c>
      <c r="I35" s="32"/>
      <c r="J35" s="44" t="s">
        <v>83</v>
      </c>
      <c r="L35" s="50" t="s">
        <v>211</v>
      </c>
    </row>
    <row r="36" spans="2:12" x14ac:dyDescent="0.2">
      <c r="B36" s="2" t="s">
        <v>202</v>
      </c>
      <c r="C36" t="s">
        <v>25</v>
      </c>
      <c r="F36" s="11" t="b">
        <v>0</v>
      </c>
      <c r="G36" s="11" t="b">
        <v>0</v>
      </c>
      <c r="H36" s="11" t="b">
        <v>0</v>
      </c>
      <c r="I36" s="11"/>
      <c r="J36" s="44" t="s">
        <v>84</v>
      </c>
      <c r="L36" s="50" t="s">
        <v>211</v>
      </c>
    </row>
    <row r="37" spans="2:12" x14ac:dyDescent="0.2">
      <c r="B37" s="30" t="s">
        <v>203</v>
      </c>
      <c r="C37" s="31" t="s">
        <v>26</v>
      </c>
      <c r="D37" s="31"/>
      <c r="E37" s="31"/>
      <c r="F37" s="32" t="b">
        <v>0</v>
      </c>
      <c r="G37" s="32" t="b">
        <v>0</v>
      </c>
      <c r="H37" s="32" t="b">
        <v>0</v>
      </c>
      <c r="I37" s="32"/>
      <c r="J37" s="44"/>
      <c r="L37" s="50" t="s">
        <v>211</v>
      </c>
    </row>
    <row r="38" spans="2:12" x14ac:dyDescent="0.2">
      <c r="B38" s="2" t="s">
        <v>204</v>
      </c>
      <c r="C38" t="s">
        <v>27</v>
      </c>
      <c r="F38" s="11" t="b">
        <v>0</v>
      </c>
      <c r="G38" s="11" t="b">
        <v>0</v>
      </c>
      <c r="H38" s="11" t="b">
        <v>0</v>
      </c>
      <c r="I38" s="11"/>
      <c r="J38" s="44"/>
    </row>
    <row r="39" spans="2:12" x14ac:dyDescent="0.2">
      <c r="B39" s="30" t="s">
        <v>205</v>
      </c>
      <c r="C39" s="31" t="s">
        <v>28</v>
      </c>
      <c r="D39" s="31"/>
      <c r="E39" s="31"/>
      <c r="F39" s="32" t="b">
        <v>0</v>
      </c>
      <c r="G39" s="32" t="b">
        <v>0</v>
      </c>
      <c r="H39" s="32" t="b">
        <v>0</v>
      </c>
      <c r="I39" s="32"/>
      <c r="J39" s="44"/>
    </row>
    <row r="40" spans="2:12" x14ac:dyDescent="0.2">
      <c r="B40" s="2" t="s">
        <v>206</v>
      </c>
      <c r="C40" t="s">
        <v>29</v>
      </c>
      <c r="F40" s="11" t="b">
        <v>0</v>
      </c>
      <c r="G40" s="11" t="b">
        <v>0</v>
      </c>
      <c r="H40" s="11" t="b">
        <v>0</v>
      </c>
      <c r="I40" s="11"/>
      <c r="J40" s="45"/>
    </row>
    <row r="41" spans="2:12" x14ac:dyDescent="0.2">
      <c r="B41" s="30">
        <v>8</v>
      </c>
      <c r="C41" s="31" t="s">
        <v>30</v>
      </c>
      <c r="D41" s="31"/>
      <c r="E41" s="31"/>
      <c r="F41" s="32" t="b">
        <v>0</v>
      </c>
      <c r="G41" s="32" t="b">
        <v>0</v>
      </c>
      <c r="H41" s="32" t="b">
        <v>0</v>
      </c>
      <c r="I41" s="32"/>
    </row>
    <row r="42" spans="2:12" x14ac:dyDescent="0.2">
      <c r="B42" s="2">
        <v>9</v>
      </c>
      <c r="C42" t="s">
        <v>36</v>
      </c>
      <c r="F42" s="11" t="b">
        <v>0</v>
      </c>
      <c r="G42" s="11" t="b">
        <v>0</v>
      </c>
      <c r="H42" s="11" t="b">
        <v>0</v>
      </c>
      <c r="I42" s="11"/>
    </row>
    <row r="43" spans="2:12" x14ac:dyDescent="0.2">
      <c r="B43" s="30">
        <v>10</v>
      </c>
      <c r="C43" s="31" t="s">
        <v>37</v>
      </c>
      <c r="D43" s="31"/>
      <c r="E43" s="31"/>
      <c r="F43" s="32" t="b">
        <v>0</v>
      </c>
      <c r="G43" s="32" t="b">
        <v>0</v>
      </c>
      <c r="H43" s="32" t="b">
        <v>0</v>
      </c>
      <c r="I43" s="32"/>
    </row>
    <row r="44" spans="2:12" x14ac:dyDescent="0.2">
      <c r="B44" s="2">
        <v>11</v>
      </c>
      <c r="C44" t="s">
        <v>38</v>
      </c>
      <c r="F44" s="11" t="b">
        <v>0</v>
      </c>
      <c r="G44" s="11" t="b">
        <v>0</v>
      </c>
      <c r="H44" s="11" t="b">
        <v>0</v>
      </c>
      <c r="I44" s="11"/>
    </row>
    <row r="45" spans="2:12" x14ac:dyDescent="0.2">
      <c r="B45" s="30">
        <v>12</v>
      </c>
      <c r="C45" s="31" t="s">
        <v>39</v>
      </c>
      <c r="D45" s="31"/>
      <c r="E45" s="31"/>
      <c r="F45" s="32" t="b">
        <v>0</v>
      </c>
      <c r="G45" s="32" t="b">
        <v>0</v>
      </c>
      <c r="H45" s="32" t="b">
        <v>0</v>
      </c>
      <c r="I45" s="32"/>
    </row>
    <row r="46" spans="2:12" ht="16" thickBot="1" x14ac:dyDescent="0.25">
      <c r="B46" s="2">
        <v>13</v>
      </c>
      <c r="C46" t="s">
        <v>40</v>
      </c>
      <c r="F46" s="11">
        <f>COUNTIF(F27:F45,TRUE)</f>
        <v>0</v>
      </c>
      <c r="G46" s="11">
        <f>COUNTIF(G27:G45,TRUE)</f>
        <v>0</v>
      </c>
      <c r="H46" s="11">
        <f>COUNTIF(H27:H45, TRUE)</f>
        <v>0</v>
      </c>
      <c r="I46" s="11"/>
    </row>
    <row r="47" spans="2:12" ht="16" thickBot="1" x14ac:dyDescent="0.25">
      <c r="C47" t="s">
        <v>21</v>
      </c>
      <c r="G47" s="29"/>
      <c r="H47" s="11">
        <f>IF(G47="",0.5,0)</f>
        <v>0.5</v>
      </c>
      <c r="I47" s="11"/>
    </row>
    <row r="48" spans="2:12" x14ac:dyDescent="0.2">
      <c r="B48" t="s">
        <v>41</v>
      </c>
    </row>
    <row r="49" spans="2:9" x14ac:dyDescent="0.2">
      <c r="B49" t="s">
        <v>42</v>
      </c>
      <c r="C49" s="985" t="s">
        <v>43</v>
      </c>
      <c r="D49" s="985"/>
      <c r="E49" s="3" t="s">
        <v>44</v>
      </c>
      <c r="F49" s="3" t="s">
        <v>45</v>
      </c>
    </row>
    <row r="50" spans="2:9" x14ac:dyDescent="0.2">
      <c r="B50" s="10" t="s">
        <v>46</v>
      </c>
      <c r="C50" s="993" t="s">
        <v>47</v>
      </c>
      <c r="D50" s="993"/>
      <c r="E50" s="10" t="s">
        <v>48</v>
      </c>
      <c r="F50" s="10" t="s">
        <v>49</v>
      </c>
    </row>
    <row r="51" spans="2:9" x14ac:dyDescent="0.2">
      <c r="F51" s="16" t="s">
        <v>50</v>
      </c>
      <c r="G51" s="28">
        <f>SUM((F46+G46)/2-G47+H47)</f>
        <v>0.5</v>
      </c>
    </row>
    <row r="52" spans="2:9" x14ac:dyDescent="0.2">
      <c r="B52" t="s">
        <v>15</v>
      </c>
    </row>
    <row r="53" spans="2:9" ht="15" customHeight="1" x14ac:dyDescent="0.2">
      <c r="B53" s="967"/>
      <c r="C53" s="968"/>
      <c r="D53" s="968"/>
      <c r="E53" s="968"/>
      <c r="F53" s="968"/>
      <c r="G53" s="968"/>
      <c r="H53" s="988"/>
      <c r="I53" s="13"/>
    </row>
    <row r="54" spans="2:9" x14ac:dyDescent="0.2">
      <c r="B54" s="969"/>
      <c r="C54" s="970"/>
      <c r="D54" s="970"/>
      <c r="E54" s="970"/>
      <c r="F54" s="970"/>
      <c r="G54" s="970"/>
      <c r="H54" s="989"/>
      <c r="I54" s="13"/>
    </row>
    <row r="55" spans="2:9" x14ac:dyDescent="0.2">
      <c r="B55" s="969"/>
      <c r="C55" s="970"/>
      <c r="D55" s="970"/>
      <c r="E55" s="970"/>
      <c r="F55" s="970"/>
      <c r="G55" s="970"/>
      <c r="H55" s="989"/>
      <c r="I55" s="13"/>
    </row>
    <row r="56" spans="2:9" x14ac:dyDescent="0.2">
      <c r="B56" s="969"/>
      <c r="C56" s="970"/>
      <c r="D56" s="970"/>
      <c r="E56" s="970"/>
      <c r="F56" s="970"/>
      <c r="G56" s="970"/>
      <c r="H56" s="989"/>
      <c r="I56" s="13"/>
    </row>
    <row r="57" spans="2:9" x14ac:dyDescent="0.2">
      <c r="B57" s="971"/>
      <c r="C57" s="972"/>
      <c r="D57" s="972"/>
      <c r="E57" s="972"/>
      <c r="F57" s="972"/>
      <c r="G57" s="972"/>
      <c r="H57" s="990"/>
      <c r="I57" s="13"/>
    </row>
    <row r="58" spans="2:9" ht="8.25" customHeight="1" x14ac:dyDescent="0.2">
      <c r="B58" s="35"/>
      <c r="C58" s="35"/>
      <c r="D58" s="35"/>
      <c r="E58" s="35"/>
      <c r="F58" s="35"/>
      <c r="G58" s="35"/>
      <c r="H58" s="35"/>
      <c r="I58" s="35"/>
    </row>
    <row r="59" spans="2:9" x14ac:dyDescent="0.2">
      <c r="B59" s="978" t="s">
        <v>51</v>
      </c>
      <c r="C59" s="979"/>
      <c r="D59" s="979"/>
      <c r="E59" s="979"/>
      <c r="F59" s="979"/>
      <c r="G59" s="979"/>
      <c r="H59" s="980"/>
      <c r="I59" s="4"/>
    </row>
    <row r="60" spans="2:9" x14ac:dyDescent="0.2">
      <c r="B60" s="981"/>
      <c r="C60" s="982"/>
      <c r="D60" s="982"/>
      <c r="E60" s="982"/>
      <c r="F60" s="982"/>
      <c r="G60" s="982"/>
      <c r="H60" s="983"/>
      <c r="I60" s="4"/>
    </row>
    <row r="61" spans="2:9" ht="8.25" customHeight="1" x14ac:dyDescent="0.2"/>
    <row r="62" spans="2:9" x14ac:dyDescent="0.2">
      <c r="B62" s="31">
        <v>14</v>
      </c>
      <c r="C62" s="31" t="s">
        <v>52</v>
      </c>
      <c r="D62" s="31"/>
      <c r="E62" s="31"/>
      <c r="F62" s="36"/>
      <c r="G62" s="36" t="b">
        <v>0</v>
      </c>
      <c r="H62" s="36" t="b">
        <v>0</v>
      </c>
      <c r="I62" s="36"/>
    </row>
    <row r="63" spans="2:9" x14ac:dyDescent="0.2">
      <c r="B63">
        <v>15</v>
      </c>
      <c r="C63" t="s">
        <v>170</v>
      </c>
      <c r="F63" s="11"/>
      <c r="G63" s="11" t="b">
        <v>0</v>
      </c>
      <c r="H63" s="11" t="b">
        <v>0</v>
      </c>
      <c r="I63" s="11"/>
    </row>
    <row r="64" spans="2:9" x14ac:dyDescent="0.2">
      <c r="B64" s="31">
        <v>16</v>
      </c>
      <c r="C64" s="31" t="s">
        <v>53</v>
      </c>
      <c r="D64" s="31"/>
      <c r="E64" s="31"/>
      <c r="F64" s="36" t="b">
        <v>0</v>
      </c>
      <c r="G64" s="36" t="b">
        <v>0</v>
      </c>
      <c r="H64" s="36" t="b">
        <v>0</v>
      </c>
      <c r="I64" s="36"/>
    </row>
    <row r="65" spans="2:9" x14ac:dyDescent="0.2">
      <c r="B65">
        <v>17</v>
      </c>
      <c r="C65" t="s">
        <v>171</v>
      </c>
      <c r="F65" s="11" t="b">
        <v>0</v>
      </c>
      <c r="G65" s="11" t="b">
        <v>0</v>
      </c>
      <c r="H65" s="11" t="b">
        <v>0</v>
      </c>
      <c r="I65" s="11"/>
    </row>
    <row r="66" spans="2:9" x14ac:dyDescent="0.2">
      <c r="B66" s="31"/>
      <c r="C66" s="31" t="s">
        <v>172</v>
      </c>
      <c r="D66" s="31"/>
      <c r="E66" s="31"/>
      <c r="F66" s="36"/>
      <c r="G66" s="36"/>
      <c r="H66" s="36"/>
      <c r="I66" s="36"/>
    </row>
    <row r="67" spans="2:9" x14ac:dyDescent="0.2">
      <c r="B67">
        <v>18</v>
      </c>
      <c r="C67" t="s">
        <v>173</v>
      </c>
      <c r="F67" s="11" t="b">
        <v>0</v>
      </c>
      <c r="G67" s="11" t="b">
        <v>0</v>
      </c>
      <c r="H67" s="11" t="b">
        <v>0</v>
      </c>
      <c r="I67" s="11"/>
    </row>
    <row r="68" spans="2:9" x14ac:dyDescent="0.2">
      <c r="F68" s="11">
        <f>COUNTIF(F62:F67,TRUE)</f>
        <v>0</v>
      </c>
      <c r="G68" s="11">
        <f>COUNTIF(G61:G67,TRUE)</f>
        <v>0</v>
      </c>
      <c r="H68" s="11"/>
      <c r="I68" s="11"/>
    </row>
    <row r="69" spans="2:9" x14ac:dyDescent="0.2">
      <c r="E69" s="991" t="s">
        <v>54</v>
      </c>
      <c r="F69" s="992"/>
      <c r="G69" s="5">
        <f>SUM(F68,G68)</f>
        <v>0</v>
      </c>
    </row>
    <row r="70" spans="2:9" x14ac:dyDescent="0.2">
      <c r="B70" t="s">
        <v>15</v>
      </c>
    </row>
    <row r="71" spans="2:9" x14ac:dyDescent="0.2">
      <c r="B71" s="967"/>
      <c r="C71" s="968"/>
      <c r="D71" s="968"/>
      <c r="E71" s="968"/>
      <c r="F71" s="968"/>
      <c r="G71" s="968"/>
      <c r="H71" s="988"/>
      <c r="I71" s="13"/>
    </row>
    <row r="72" spans="2:9" ht="15" customHeight="1" x14ac:dyDescent="0.2">
      <c r="B72" s="969"/>
      <c r="C72" s="970"/>
      <c r="D72" s="970"/>
      <c r="E72" s="970"/>
      <c r="F72" s="970"/>
      <c r="G72" s="970"/>
      <c r="H72" s="989"/>
      <c r="I72" s="13"/>
    </row>
    <row r="73" spans="2:9" x14ac:dyDescent="0.2">
      <c r="B73" s="969"/>
      <c r="C73" s="970"/>
      <c r="D73" s="970"/>
      <c r="E73" s="970"/>
      <c r="F73" s="970"/>
      <c r="G73" s="970"/>
      <c r="H73" s="989"/>
      <c r="I73" s="13"/>
    </row>
    <row r="74" spans="2:9" x14ac:dyDescent="0.2">
      <c r="B74" s="969"/>
      <c r="C74" s="970"/>
      <c r="D74" s="970"/>
      <c r="E74" s="970"/>
      <c r="F74" s="970"/>
      <c r="G74" s="970"/>
      <c r="H74" s="989"/>
      <c r="I74" s="13"/>
    </row>
    <row r="75" spans="2:9" x14ac:dyDescent="0.2">
      <c r="B75" s="971"/>
      <c r="C75" s="972"/>
      <c r="D75" s="972"/>
      <c r="E75" s="972"/>
      <c r="F75" s="972"/>
      <c r="G75" s="972"/>
      <c r="H75" s="990"/>
      <c r="I75" s="13"/>
    </row>
    <row r="76" spans="2:9" ht="8.25" customHeight="1" x14ac:dyDescent="0.2">
      <c r="B76" s="35"/>
      <c r="C76" s="35"/>
      <c r="D76" s="35"/>
      <c r="E76" s="35"/>
      <c r="F76" s="35"/>
      <c r="G76" s="35"/>
      <c r="H76" s="35"/>
      <c r="I76" s="35"/>
    </row>
    <row r="77" spans="2:9" x14ac:dyDescent="0.2">
      <c r="B77" s="978" t="s">
        <v>55</v>
      </c>
      <c r="C77" s="979"/>
      <c r="D77" s="979"/>
      <c r="E77" s="979"/>
      <c r="F77" s="979"/>
      <c r="G77" s="979"/>
      <c r="H77" s="980"/>
      <c r="I77" s="4"/>
    </row>
    <row r="78" spans="2:9" x14ac:dyDescent="0.2">
      <c r="B78" s="981"/>
      <c r="C78" s="982"/>
      <c r="D78" s="982"/>
      <c r="E78" s="982"/>
      <c r="F78" s="982"/>
      <c r="G78" s="982"/>
      <c r="H78" s="983"/>
      <c r="I78" s="4"/>
    </row>
    <row r="79" spans="2:9" ht="8.25" customHeight="1" x14ac:dyDescent="0.2">
      <c r="G79" s="11"/>
      <c r="H79" s="11"/>
      <c r="I79" s="11"/>
    </row>
    <row r="80" spans="2:9" x14ac:dyDescent="0.2">
      <c r="B80">
        <v>19</v>
      </c>
      <c r="C80" t="s">
        <v>56</v>
      </c>
      <c r="G80" s="11" t="b">
        <v>0</v>
      </c>
      <c r="H80" s="11" t="b">
        <v>0</v>
      </c>
      <c r="I80" s="11"/>
    </row>
    <row r="81" spans="2:9" x14ac:dyDescent="0.2">
      <c r="B81">
        <v>20</v>
      </c>
      <c r="C81" t="s">
        <v>57</v>
      </c>
      <c r="G81" s="11" t="b">
        <v>0</v>
      </c>
      <c r="H81" s="11" t="b">
        <v>0</v>
      </c>
      <c r="I81" s="11"/>
    </row>
    <row r="82" spans="2:9" x14ac:dyDescent="0.2">
      <c r="B82">
        <v>21</v>
      </c>
      <c r="C82" t="s">
        <v>58</v>
      </c>
      <c r="G82" s="11" t="b">
        <v>0</v>
      </c>
      <c r="H82" s="11" t="b">
        <v>0</v>
      </c>
      <c r="I82" s="11"/>
    </row>
    <row r="83" spans="2:9" x14ac:dyDescent="0.2">
      <c r="B83">
        <v>22</v>
      </c>
      <c r="C83" t="s">
        <v>59</v>
      </c>
      <c r="G83" s="11" t="b">
        <v>0</v>
      </c>
      <c r="H83" s="11" t="b">
        <v>0</v>
      </c>
      <c r="I83" s="11"/>
    </row>
    <row r="84" spans="2:9" x14ac:dyDescent="0.2">
      <c r="B84">
        <v>23</v>
      </c>
      <c r="C84" t="s">
        <v>60</v>
      </c>
      <c r="G84" s="5"/>
      <c r="H84" s="11" t="b">
        <f>IF(G84="C",10,IF(G84="O",7,IF(G84="A",4,IF(G84="R",0))))</f>
        <v>0</v>
      </c>
      <c r="I84" s="11"/>
    </row>
    <row r="85" spans="2:9" ht="16" x14ac:dyDescent="0.2">
      <c r="C85" t="s">
        <v>61</v>
      </c>
    </row>
    <row r="86" spans="2:9" x14ac:dyDescent="0.2">
      <c r="G86" s="11">
        <f>COUNTIF(G80:G83,TRUE)</f>
        <v>0</v>
      </c>
    </row>
    <row r="87" spans="2:9" x14ac:dyDescent="0.2">
      <c r="B87" t="s">
        <v>15</v>
      </c>
      <c r="E87" s="991" t="s">
        <v>62</v>
      </c>
      <c r="F87" s="992"/>
      <c r="G87" s="5">
        <f>SUM(G86+H84)</f>
        <v>0</v>
      </c>
    </row>
    <row r="88" spans="2:9" ht="15" customHeight="1" x14ac:dyDescent="0.2">
      <c r="B88" s="967"/>
      <c r="C88" s="968"/>
      <c r="D88" s="968"/>
      <c r="E88" s="968"/>
      <c r="F88" s="968"/>
      <c r="G88" s="968"/>
      <c r="H88" s="988"/>
      <c r="I88" s="13"/>
    </row>
    <row r="89" spans="2:9" x14ac:dyDescent="0.2">
      <c r="B89" s="969"/>
      <c r="C89" s="970"/>
      <c r="D89" s="970"/>
      <c r="E89" s="970"/>
      <c r="F89" s="970"/>
      <c r="G89" s="970"/>
      <c r="H89" s="989"/>
      <c r="I89" s="13"/>
    </row>
    <row r="90" spans="2:9" x14ac:dyDescent="0.2">
      <c r="B90" s="969"/>
      <c r="C90" s="970"/>
      <c r="D90" s="970"/>
      <c r="E90" s="970"/>
      <c r="F90" s="970"/>
      <c r="G90" s="970"/>
      <c r="H90" s="989"/>
      <c r="I90" s="13"/>
    </row>
    <row r="91" spans="2:9" x14ac:dyDescent="0.2">
      <c r="B91" s="969"/>
      <c r="C91" s="970"/>
      <c r="D91" s="970"/>
      <c r="E91" s="970"/>
      <c r="F91" s="970"/>
      <c r="G91" s="970"/>
      <c r="H91" s="989"/>
      <c r="I91" s="13"/>
    </row>
    <row r="92" spans="2:9" x14ac:dyDescent="0.2">
      <c r="B92" s="971"/>
      <c r="C92" s="972"/>
      <c r="D92" s="972"/>
      <c r="E92" s="972"/>
      <c r="F92" s="972"/>
      <c r="G92" s="972"/>
      <c r="H92" s="990"/>
      <c r="I92" s="13"/>
    </row>
    <row r="93" spans="2:9" x14ac:dyDescent="0.2">
      <c r="B93" s="35"/>
      <c r="C93" s="35"/>
      <c r="D93" s="35"/>
      <c r="E93" s="35"/>
      <c r="F93" s="35"/>
      <c r="G93" s="35"/>
      <c r="H93" s="35"/>
      <c r="I93" s="35"/>
    </row>
    <row r="94" spans="2:9" x14ac:dyDescent="0.2">
      <c r="B94" s="35"/>
      <c r="C94" s="35"/>
      <c r="D94" s="35"/>
      <c r="E94" s="35"/>
      <c r="F94" s="35"/>
      <c r="G94" s="35"/>
      <c r="H94" s="35"/>
      <c r="I94" s="35"/>
    </row>
  </sheetData>
  <mergeCells count="16">
    <mergeCell ref="B71:H75"/>
    <mergeCell ref="B88:H92"/>
    <mergeCell ref="B77:H78"/>
    <mergeCell ref="E87:F87"/>
    <mergeCell ref="G5:H5"/>
    <mergeCell ref="C50:D50"/>
    <mergeCell ref="B59:H60"/>
    <mergeCell ref="E69:F69"/>
    <mergeCell ref="B19:H22"/>
    <mergeCell ref="B53:H57"/>
    <mergeCell ref="G3:H3"/>
    <mergeCell ref="B7:H8"/>
    <mergeCell ref="B24:H25"/>
    <mergeCell ref="C49:D49"/>
    <mergeCell ref="G17:H17"/>
    <mergeCell ref="E17:F17"/>
  </mergeCells>
  <conditionalFormatting sqref="F10">
    <cfRule type="iconSet" priority="2">
      <iconSet iconSet="3Symbols">
        <cfvo type="percent" val="0"/>
        <cfvo type="percent" val="33"/>
        <cfvo type="percent" val="67"/>
      </iconSet>
    </cfRule>
  </conditionalFormatting>
  <dataValidations disablePrompts="1" count="4">
    <dataValidation type="list" allowBlank="1" showInputMessage="1" showErrorMessage="1" sqref="G5:I5" xr:uid="{00000000-0002-0000-0400-000000000000}">
      <formula1>$J$6:$J$11</formula1>
    </dataValidation>
    <dataValidation type="list" showInputMessage="1" showErrorMessage="1" sqref="G3:I3" xr:uid="{00000000-0002-0000-0400-000001000000}">
      <formula1>$J$1:$J$3</formula1>
    </dataValidation>
    <dataValidation type="list" showInputMessage="1" showErrorMessage="1" sqref="C5" xr:uid="{00000000-0002-0000-0400-000002000000}">
      <formula1>$J$13:$J$40</formula1>
    </dataValidation>
    <dataValidation type="list" showInputMessage="1" showErrorMessage="1" sqref="C17" xr:uid="{00000000-0002-0000-0400-000003000000}">
      <formula1>$L$10:$L$22</formula1>
    </dataValidation>
  </dataValidations>
  <pageMargins left="0.25" right="0.25" top="0.75" bottom="0.75" header="0.3" footer="0.3"/>
  <pageSetup orientation="portrait" r:id="rId1"/>
  <headerFooter>
    <oddHeader>&amp;C&amp;"-,Bold"&amp;18Police Call-Taking Quality Assurance Form</oddHeader>
    <oddFooter>&amp;L
&amp;C&amp;P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9" r:id="rId4" name="Check Box 15">
              <controlPr defaultSize="0" autoFill="0" autoLine="0" autoPict="0">
                <anchor moveWithCells="1">
                  <from>
                    <xdr:col>6</xdr:col>
                    <xdr:colOff>0</xdr:colOff>
                    <xdr:row>9</xdr:row>
                    <xdr:rowOff>12700</xdr:rowOff>
                  </from>
                  <to>
                    <xdr:col>6</xdr:col>
                    <xdr:colOff>533400</xdr:colOff>
                    <xdr:row>9</xdr:row>
                    <xdr:rowOff>177800</xdr:rowOff>
                  </to>
                </anchor>
              </controlPr>
            </control>
          </mc:Choice>
        </mc:AlternateContent>
        <mc:AlternateContent xmlns:mc="http://schemas.openxmlformats.org/markup-compatibility/2006">
          <mc:Choice Requires="x14">
            <control shapeId="1040" r:id="rId5" name="Check Box 16">
              <controlPr defaultSize="0" autoFill="0" autoLine="0" autoPict="0">
                <anchor moveWithCells="1">
                  <from>
                    <xdr:col>7</xdr:col>
                    <xdr:colOff>0</xdr:colOff>
                    <xdr:row>9</xdr:row>
                    <xdr:rowOff>12700</xdr:rowOff>
                  </from>
                  <to>
                    <xdr:col>7</xdr:col>
                    <xdr:colOff>444500</xdr:colOff>
                    <xdr:row>9</xdr:row>
                    <xdr:rowOff>177800</xdr:rowOff>
                  </to>
                </anchor>
              </controlPr>
            </control>
          </mc:Choice>
        </mc:AlternateContent>
        <mc:AlternateContent xmlns:mc="http://schemas.openxmlformats.org/markup-compatibility/2006">
          <mc:Choice Requires="x14">
            <control shapeId="1041" r:id="rId6" name="Check Box 17">
              <controlPr defaultSize="0" autoFill="0" autoLine="0" autoPict="0">
                <anchor moveWithCells="1">
                  <from>
                    <xdr:col>6</xdr:col>
                    <xdr:colOff>0</xdr:colOff>
                    <xdr:row>10</xdr:row>
                    <xdr:rowOff>12700</xdr:rowOff>
                  </from>
                  <to>
                    <xdr:col>6</xdr:col>
                    <xdr:colOff>508000</xdr:colOff>
                    <xdr:row>11</xdr:row>
                    <xdr:rowOff>12700</xdr:rowOff>
                  </to>
                </anchor>
              </controlPr>
            </control>
          </mc:Choice>
        </mc:AlternateContent>
        <mc:AlternateContent xmlns:mc="http://schemas.openxmlformats.org/markup-compatibility/2006">
          <mc:Choice Requires="x14">
            <control shapeId="1042" r:id="rId7" name="Check Box 18">
              <controlPr defaultSize="0" autoFill="0" autoLine="0" autoPict="0">
                <anchor moveWithCells="1">
                  <from>
                    <xdr:col>7</xdr:col>
                    <xdr:colOff>0</xdr:colOff>
                    <xdr:row>10</xdr:row>
                    <xdr:rowOff>0</xdr:rowOff>
                  </from>
                  <to>
                    <xdr:col>8</xdr:col>
                    <xdr:colOff>25400</xdr:colOff>
                    <xdr:row>11</xdr:row>
                    <xdr:rowOff>12700</xdr:rowOff>
                  </to>
                </anchor>
              </controlPr>
            </control>
          </mc:Choice>
        </mc:AlternateContent>
        <mc:AlternateContent xmlns:mc="http://schemas.openxmlformats.org/markup-compatibility/2006">
          <mc:Choice Requires="x14">
            <control shapeId="1043" r:id="rId8" name="Check Box 19">
              <controlPr defaultSize="0" autoFill="0" autoLine="0" autoPict="0">
                <anchor moveWithCells="1">
                  <from>
                    <xdr:col>6</xdr:col>
                    <xdr:colOff>0</xdr:colOff>
                    <xdr:row>12</xdr:row>
                    <xdr:rowOff>0</xdr:rowOff>
                  </from>
                  <to>
                    <xdr:col>6</xdr:col>
                    <xdr:colOff>495300</xdr:colOff>
                    <xdr:row>13</xdr:row>
                    <xdr:rowOff>25400</xdr:rowOff>
                  </to>
                </anchor>
              </controlPr>
            </control>
          </mc:Choice>
        </mc:AlternateContent>
        <mc:AlternateContent xmlns:mc="http://schemas.openxmlformats.org/markup-compatibility/2006">
          <mc:Choice Requires="x14">
            <control shapeId="1044" r:id="rId9" name="Check Box 20">
              <controlPr defaultSize="0" autoFill="0" autoLine="0" autoPict="0">
                <anchor moveWithCells="1">
                  <from>
                    <xdr:col>7</xdr:col>
                    <xdr:colOff>12700</xdr:colOff>
                    <xdr:row>12</xdr:row>
                    <xdr:rowOff>0</xdr:rowOff>
                  </from>
                  <to>
                    <xdr:col>7</xdr:col>
                    <xdr:colOff>469900</xdr:colOff>
                    <xdr:row>13</xdr:row>
                    <xdr:rowOff>12700</xdr:rowOff>
                  </to>
                </anchor>
              </controlPr>
            </control>
          </mc:Choice>
        </mc:AlternateContent>
        <mc:AlternateContent xmlns:mc="http://schemas.openxmlformats.org/markup-compatibility/2006">
          <mc:Choice Requires="x14">
            <control shapeId="1045" r:id="rId10" name="Check Box 21">
              <controlPr defaultSize="0" autoFill="0" autoLine="0" autoPict="0">
                <anchor moveWithCells="1">
                  <from>
                    <xdr:col>5</xdr:col>
                    <xdr:colOff>622300</xdr:colOff>
                    <xdr:row>12</xdr:row>
                    <xdr:rowOff>177800</xdr:rowOff>
                  </from>
                  <to>
                    <xdr:col>6</xdr:col>
                    <xdr:colOff>76200</xdr:colOff>
                    <xdr:row>14</xdr:row>
                    <xdr:rowOff>12700</xdr:rowOff>
                  </to>
                </anchor>
              </controlPr>
            </control>
          </mc:Choice>
        </mc:AlternateContent>
        <mc:AlternateContent xmlns:mc="http://schemas.openxmlformats.org/markup-compatibility/2006">
          <mc:Choice Requires="x14">
            <control shapeId="1046" r:id="rId11" name="Check Box 22">
              <controlPr defaultSize="0" autoFill="0" autoLine="0" autoPict="0">
                <anchor moveWithCells="1">
                  <from>
                    <xdr:col>6</xdr:col>
                    <xdr:colOff>0</xdr:colOff>
                    <xdr:row>12</xdr:row>
                    <xdr:rowOff>177800</xdr:rowOff>
                  </from>
                  <to>
                    <xdr:col>6</xdr:col>
                    <xdr:colOff>508000</xdr:colOff>
                    <xdr:row>13</xdr:row>
                    <xdr:rowOff>177800</xdr:rowOff>
                  </to>
                </anchor>
              </controlPr>
            </control>
          </mc:Choice>
        </mc:AlternateContent>
        <mc:AlternateContent xmlns:mc="http://schemas.openxmlformats.org/markup-compatibility/2006">
          <mc:Choice Requires="x14">
            <control shapeId="1047" r:id="rId12" name="Check Box 23">
              <controlPr defaultSize="0" autoFill="0" autoLine="0" autoPict="0">
                <anchor moveWithCells="1">
                  <from>
                    <xdr:col>7</xdr:col>
                    <xdr:colOff>25400</xdr:colOff>
                    <xdr:row>13</xdr:row>
                    <xdr:rowOff>25400</xdr:rowOff>
                  </from>
                  <to>
                    <xdr:col>7</xdr:col>
                    <xdr:colOff>444500</xdr:colOff>
                    <xdr:row>14</xdr:row>
                    <xdr:rowOff>25400</xdr:rowOff>
                  </to>
                </anchor>
              </controlPr>
            </control>
          </mc:Choice>
        </mc:AlternateContent>
        <mc:AlternateContent xmlns:mc="http://schemas.openxmlformats.org/markup-compatibility/2006">
          <mc:Choice Requires="x14">
            <control shapeId="1048" r:id="rId13" name="Check Box 24">
              <controlPr defaultSize="0" autoFill="0" autoLine="0" autoPict="0">
                <anchor moveWithCells="1">
                  <from>
                    <xdr:col>5</xdr:col>
                    <xdr:colOff>647700</xdr:colOff>
                    <xdr:row>26</xdr:row>
                    <xdr:rowOff>0</xdr:rowOff>
                  </from>
                  <to>
                    <xdr:col>6</xdr:col>
                    <xdr:colOff>88900</xdr:colOff>
                    <xdr:row>27</xdr:row>
                    <xdr:rowOff>25400</xdr:rowOff>
                  </to>
                </anchor>
              </controlPr>
            </control>
          </mc:Choice>
        </mc:AlternateContent>
        <mc:AlternateContent xmlns:mc="http://schemas.openxmlformats.org/markup-compatibility/2006">
          <mc:Choice Requires="x14">
            <control shapeId="1049" r:id="rId14" name="Check Box 25">
              <controlPr defaultSize="0" autoFill="0" autoLine="0" autoPict="0">
                <anchor moveWithCells="1">
                  <from>
                    <xdr:col>6</xdr:col>
                    <xdr:colOff>12700</xdr:colOff>
                    <xdr:row>26</xdr:row>
                    <xdr:rowOff>12700</xdr:rowOff>
                  </from>
                  <to>
                    <xdr:col>6</xdr:col>
                    <xdr:colOff>520700</xdr:colOff>
                    <xdr:row>27</xdr:row>
                    <xdr:rowOff>12700</xdr:rowOff>
                  </to>
                </anchor>
              </controlPr>
            </control>
          </mc:Choice>
        </mc:AlternateContent>
        <mc:AlternateContent xmlns:mc="http://schemas.openxmlformats.org/markup-compatibility/2006">
          <mc:Choice Requires="x14">
            <control shapeId="1052" r:id="rId15" name="Check Box 28">
              <controlPr defaultSize="0" autoFill="0" autoLine="0" autoPict="0">
                <anchor moveWithCells="1">
                  <from>
                    <xdr:col>7</xdr:col>
                    <xdr:colOff>12700</xdr:colOff>
                    <xdr:row>26</xdr:row>
                    <xdr:rowOff>25400</xdr:rowOff>
                  </from>
                  <to>
                    <xdr:col>7</xdr:col>
                    <xdr:colOff>431800</xdr:colOff>
                    <xdr:row>27</xdr:row>
                    <xdr:rowOff>0</xdr:rowOff>
                  </to>
                </anchor>
              </controlPr>
            </control>
          </mc:Choice>
        </mc:AlternateContent>
        <mc:AlternateContent xmlns:mc="http://schemas.openxmlformats.org/markup-compatibility/2006">
          <mc:Choice Requires="x14">
            <control shapeId="1053" r:id="rId16" name="Check Box 29">
              <controlPr defaultSize="0" autoFill="0" autoLine="0" autoPict="0">
                <anchor moveWithCells="1">
                  <from>
                    <xdr:col>5</xdr:col>
                    <xdr:colOff>635000</xdr:colOff>
                    <xdr:row>26</xdr:row>
                    <xdr:rowOff>177800</xdr:rowOff>
                  </from>
                  <to>
                    <xdr:col>6</xdr:col>
                    <xdr:colOff>76200</xdr:colOff>
                    <xdr:row>28</xdr:row>
                    <xdr:rowOff>25400</xdr:rowOff>
                  </to>
                </anchor>
              </controlPr>
            </control>
          </mc:Choice>
        </mc:AlternateContent>
        <mc:AlternateContent xmlns:mc="http://schemas.openxmlformats.org/markup-compatibility/2006">
          <mc:Choice Requires="x14">
            <control shapeId="1054" r:id="rId17" name="Check Box 30">
              <controlPr defaultSize="0" autoFill="0" autoLine="0" autoPict="0">
                <anchor moveWithCells="1">
                  <from>
                    <xdr:col>6</xdr:col>
                    <xdr:colOff>25400</xdr:colOff>
                    <xdr:row>27</xdr:row>
                    <xdr:rowOff>12700</xdr:rowOff>
                  </from>
                  <to>
                    <xdr:col>6</xdr:col>
                    <xdr:colOff>482600</xdr:colOff>
                    <xdr:row>28</xdr:row>
                    <xdr:rowOff>12700</xdr:rowOff>
                  </to>
                </anchor>
              </controlPr>
            </control>
          </mc:Choice>
        </mc:AlternateContent>
        <mc:AlternateContent xmlns:mc="http://schemas.openxmlformats.org/markup-compatibility/2006">
          <mc:Choice Requires="x14">
            <control shapeId="1055" r:id="rId18" name="Check Box 31">
              <controlPr defaultSize="0" autoFill="0" autoLine="0" autoPict="0">
                <anchor moveWithCells="1">
                  <from>
                    <xdr:col>7</xdr:col>
                    <xdr:colOff>12700</xdr:colOff>
                    <xdr:row>27</xdr:row>
                    <xdr:rowOff>0</xdr:rowOff>
                  </from>
                  <to>
                    <xdr:col>7</xdr:col>
                    <xdr:colOff>444500</xdr:colOff>
                    <xdr:row>28</xdr:row>
                    <xdr:rowOff>12700</xdr:rowOff>
                  </to>
                </anchor>
              </controlPr>
            </control>
          </mc:Choice>
        </mc:AlternateContent>
        <mc:AlternateContent xmlns:mc="http://schemas.openxmlformats.org/markup-compatibility/2006">
          <mc:Choice Requires="x14">
            <control shapeId="1056" r:id="rId19" name="Check Box 32">
              <controlPr defaultSize="0" autoFill="0" autoLine="0" autoPict="0">
                <anchor moveWithCells="1">
                  <from>
                    <xdr:col>5</xdr:col>
                    <xdr:colOff>635000</xdr:colOff>
                    <xdr:row>27</xdr:row>
                    <xdr:rowOff>177800</xdr:rowOff>
                  </from>
                  <to>
                    <xdr:col>6</xdr:col>
                    <xdr:colOff>76200</xdr:colOff>
                    <xdr:row>29</xdr:row>
                    <xdr:rowOff>12700</xdr:rowOff>
                  </to>
                </anchor>
              </controlPr>
            </control>
          </mc:Choice>
        </mc:AlternateContent>
        <mc:AlternateContent xmlns:mc="http://schemas.openxmlformats.org/markup-compatibility/2006">
          <mc:Choice Requires="x14">
            <control shapeId="1057" r:id="rId20" name="Check Box 33">
              <controlPr defaultSize="0" autoFill="0" autoLine="0" autoPict="0">
                <anchor moveWithCells="1">
                  <from>
                    <xdr:col>6</xdr:col>
                    <xdr:colOff>25400</xdr:colOff>
                    <xdr:row>27</xdr:row>
                    <xdr:rowOff>177800</xdr:rowOff>
                  </from>
                  <to>
                    <xdr:col>6</xdr:col>
                    <xdr:colOff>533400</xdr:colOff>
                    <xdr:row>29</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anchor moveWithCells="1">
                  <from>
                    <xdr:col>7</xdr:col>
                    <xdr:colOff>25400</xdr:colOff>
                    <xdr:row>28</xdr:row>
                    <xdr:rowOff>25400</xdr:rowOff>
                  </from>
                  <to>
                    <xdr:col>8</xdr:col>
                    <xdr:colOff>50800</xdr:colOff>
                    <xdr:row>29</xdr:row>
                    <xdr:rowOff>12700</xdr:rowOff>
                  </to>
                </anchor>
              </controlPr>
            </control>
          </mc:Choice>
        </mc:AlternateContent>
        <mc:AlternateContent xmlns:mc="http://schemas.openxmlformats.org/markup-compatibility/2006">
          <mc:Choice Requires="x14">
            <control shapeId="1059" r:id="rId22" name="Check Box 35">
              <controlPr defaultSize="0" autoFill="0" autoLine="0" autoPict="0">
                <anchor moveWithCells="1">
                  <from>
                    <xdr:col>5</xdr:col>
                    <xdr:colOff>647700</xdr:colOff>
                    <xdr:row>28</xdr:row>
                    <xdr:rowOff>165100</xdr:rowOff>
                  </from>
                  <to>
                    <xdr:col>6</xdr:col>
                    <xdr:colOff>88900</xdr:colOff>
                    <xdr:row>30</xdr:row>
                    <xdr:rowOff>0</xdr:rowOff>
                  </to>
                </anchor>
              </controlPr>
            </control>
          </mc:Choice>
        </mc:AlternateContent>
        <mc:AlternateContent xmlns:mc="http://schemas.openxmlformats.org/markup-compatibility/2006">
          <mc:Choice Requires="x14">
            <control shapeId="1061" r:id="rId23" name="Check Box 37">
              <controlPr defaultSize="0" autoFill="0" autoLine="0" autoPict="0">
                <anchor moveWithCells="1">
                  <from>
                    <xdr:col>6</xdr:col>
                    <xdr:colOff>38100</xdr:colOff>
                    <xdr:row>29</xdr:row>
                    <xdr:rowOff>12700</xdr:rowOff>
                  </from>
                  <to>
                    <xdr:col>6</xdr:col>
                    <xdr:colOff>482600</xdr:colOff>
                    <xdr:row>30</xdr:row>
                    <xdr:rowOff>25400</xdr:rowOff>
                  </to>
                </anchor>
              </controlPr>
            </control>
          </mc:Choice>
        </mc:AlternateContent>
        <mc:AlternateContent xmlns:mc="http://schemas.openxmlformats.org/markup-compatibility/2006">
          <mc:Choice Requires="x14">
            <control shapeId="1062" r:id="rId24" name="Check Box 38">
              <controlPr defaultSize="0" autoFill="0" autoLine="0" autoPict="0">
                <anchor moveWithCells="1">
                  <from>
                    <xdr:col>7</xdr:col>
                    <xdr:colOff>25400</xdr:colOff>
                    <xdr:row>29</xdr:row>
                    <xdr:rowOff>25400</xdr:rowOff>
                  </from>
                  <to>
                    <xdr:col>7</xdr:col>
                    <xdr:colOff>482600</xdr:colOff>
                    <xdr:row>30</xdr:row>
                    <xdr:rowOff>0</xdr:rowOff>
                  </to>
                </anchor>
              </controlPr>
            </control>
          </mc:Choice>
        </mc:AlternateContent>
        <mc:AlternateContent xmlns:mc="http://schemas.openxmlformats.org/markup-compatibility/2006">
          <mc:Choice Requires="x14">
            <control shapeId="1063" r:id="rId25" name="Check Box 39">
              <controlPr defaultSize="0" autoFill="0" autoLine="0" autoPict="0">
                <anchor moveWithCells="1">
                  <from>
                    <xdr:col>5</xdr:col>
                    <xdr:colOff>647700</xdr:colOff>
                    <xdr:row>29</xdr:row>
                    <xdr:rowOff>177800</xdr:rowOff>
                  </from>
                  <to>
                    <xdr:col>6</xdr:col>
                    <xdr:colOff>88900</xdr:colOff>
                    <xdr:row>31</xdr:row>
                    <xdr:rowOff>12700</xdr:rowOff>
                  </to>
                </anchor>
              </controlPr>
            </control>
          </mc:Choice>
        </mc:AlternateContent>
        <mc:AlternateContent xmlns:mc="http://schemas.openxmlformats.org/markup-compatibility/2006">
          <mc:Choice Requires="x14">
            <control shapeId="1064" r:id="rId26" name="Check Box 40">
              <controlPr defaultSize="0" autoFill="0" autoLine="0" autoPict="0">
                <anchor moveWithCells="1">
                  <from>
                    <xdr:col>5</xdr:col>
                    <xdr:colOff>635000</xdr:colOff>
                    <xdr:row>30</xdr:row>
                    <xdr:rowOff>177800</xdr:rowOff>
                  </from>
                  <to>
                    <xdr:col>6</xdr:col>
                    <xdr:colOff>76200</xdr:colOff>
                    <xdr:row>32</xdr:row>
                    <xdr:rowOff>12700</xdr:rowOff>
                  </to>
                </anchor>
              </controlPr>
            </control>
          </mc:Choice>
        </mc:AlternateContent>
        <mc:AlternateContent xmlns:mc="http://schemas.openxmlformats.org/markup-compatibility/2006">
          <mc:Choice Requires="x14">
            <control shapeId="1065" r:id="rId27" name="Check Box 41">
              <controlPr defaultSize="0" autoFill="0" autoLine="0" autoPict="0">
                <anchor moveWithCells="1">
                  <from>
                    <xdr:col>5</xdr:col>
                    <xdr:colOff>647700</xdr:colOff>
                    <xdr:row>32</xdr:row>
                    <xdr:rowOff>0</xdr:rowOff>
                  </from>
                  <to>
                    <xdr:col>6</xdr:col>
                    <xdr:colOff>88900</xdr:colOff>
                    <xdr:row>33</xdr:row>
                    <xdr:rowOff>25400</xdr:rowOff>
                  </to>
                </anchor>
              </controlPr>
            </control>
          </mc:Choice>
        </mc:AlternateContent>
        <mc:AlternateContent xmlns:mc="http://schemas.openxmlformats.org/markup-compatibility/2006">
          <mc:Choice Requires="x14">
            <control shapeId="1066" r:id="rId28" name="Check Box 42">
              <controlPr defaultSize="0" autoFill="0" autoLine="0" autoPict="0">
                <anchor moveWithCells="1">
                  <from>
                    <xdr:col>5</xdr:col>
                    <xdr:colOff>647700</xdr:colOff>
                    <xdr:row>33</xdr:row>
                    <xdr:rowOff>0</xdr:rowOff>
                  </from>
                  <to>
                    <xdr:col>6</xdr:col>
                    <xdr:colOff>88900</xdr:colOff>
                    <xdr:row>34</xdr:row>
                    <xdr:rowOff>25400</xdr:rowOff>
                  </to>
                </anchor>
              </controlPr>
            </control>
          </mc:Choice>
        </mc:AlternateContent>
        <mc:AlternateContent xmlns:mc="http://schemas.openxmlformats.org/markup-compatibility/2006">
          <mc:Choice Requires="x14">
            <control shapeId="1067" r:id="rId29" name="Check Box 43">
              <controlPr defaultSize="0" autoFill="0" autoLine="0" autoPict="0">
                <anchor moveWithCells="1">
                  <from>
                    <xdr:col>5</xdr:col>
                    <xdr:colOff>635000</xdr:colOff>
                    <xdr:row>34</xdr:row>
                    <xdr:rowOff>0</xdr:rowOff>
                  </from>
                  <to>
                    <xdr:col>6</xdr:col>
                    <xdr:colOff>76200</xdr:colOff>
                    <xdr:row>35</xdr:row>
                    <xdr:rowOff>25400</xdr:rowOff>
                  </to>
                </anchor>
              </controlPr>
            </control>
          </mc:Choice>
        </mc:AlternateContent>
        <mc:AlternateContent xmlns:mc="http://schemas.openxmlformats.org/markup-compatibility/2006">
          <mc:Choice Requires="x14">
            <control shapeId="1068" r:id="rId30" name="Check Box 44">
              <controlPr defaultSize="0" autoFill="0" autoLine="0" autoPict="0">
                <anchor moveWithCells="1">
                  <from>
                    <xdr:col>5</xdr:col>
                    <xdr:colOff>635000</xdr:colOff>
                    <xdr:row>34</xdr:row>
                    <xdr:rowOff>177800</xdr:rowOff>
                  </from>
                  <to>
                    <xdr:col>6</xdr:col>
                    <xdr:colOff>76200</xdr:colOff>
                    <xdr:row>36</xdr:row>
                    <xdr:rowOff>25400</xdr:rowOff>
                  </to>
                </anchor>
              </controlPr>
            </control>
          </mc:Choice>
        </mc:AlternateContent>
        <mc:AlternateContent xmlns:mc="http://schemas.openxmlformats.org/markup-compatibility/2006">
          <mc:Choice Requires="x14">
            <control shapeId="1069" r:id="rId31" name="Check Box 45">
              <controlPr defaultSize="0" autoFill="0" autoLine="0" autoPict="0">
                <anchor moveWithCells="1">
                  <from>
                    <xdr:col>5</xdr:col>
                    <xdr:colOff>635000</xdr:colOff>
                    <xdr:row>36</xdr:row>
                    <xdr:rowOff>0</xdr:rowOff>
                  </from>
                  <to>
                    <xdr:col>6</xdr:col>
                    <xdr:colOff>76200</xdr:colOff>
                    <xdr:row>37</xdr:row>
                    <xdr:rowOff>25400</xdr:rowOff>
                  </to>
                </anchor>
              </controlPr>
            </control>
          </mc:Choice>
        </mc:AlternateContent>
        <mc:AlternateContent xmlns:mc="http://schemas.openxmlformats.org/markup-compatibility/2006">
          <mc:Choice Requires="x14">
            <control shapeId="1070" r:id="rId32" name="Check Box 46">
              <controlPr defaultSize="0" autoFill="0" autoLine="0" autoPict="0">
                <anchor moveWithCells="1">
                  <from>
                    <xdr:col>5</xdr:col>
                    <xdr:colOff>635000</xdr:colOff>
                    <xdr:row>37</xdr:row>
                    <xdr:rowOff>12700</xdr:rowOff>
                  </from>
                  <to>
                    <xdr:col>6</xdr:col>
                    <xdr:colOff>76200</xdr:colOff>
                    <xdr:row>38</xdr:row>
                    <xdr:rowOff>38100</xdr:rowOff>
                  </to>
                </anchor>
              </controlPr>
            </control>
          </mc:Choice>
        </mc:AlternateContent>
        <mc:AlternateContent xmlns:mc="http://schemas.openxmlformats.org/markup-compatibility/2006">
          <mc:Choice Requires="x14">
            <control shapeId="1071" r:id="rId33" name="Check Box 47">
              <controlPr defaultSize="0" autoFill="0" autoLine="0" autoPict="0">
                <anchor moveWithCells="1">
                  <from>
                    <xdr:col>5</xdr:col>
                    <xdr:colOff>647700</xdr:colOff>
                    <xdr:row>37</xdr:row>
                    <xdr:rowOff>177800</xdr:rowOff>
                  </from>
                  <to>
                    <xdr:col>6</xdr:col>
                    <xdr:colOff>88900</xdr:colOff>
                    <xdr:row>39</xdr:row>
                    <xdr:rowOff>25400</xdr:rowOff>
                  </to>
                </anchor>
              </controlPr>
            </control>
          </mc:Choice>
        </mc:AlternateContent>
        <mc:AlternateContent xmlns:mc="http://schemas.openxmlformats.org/markup-compatibility/2006">
          <mc:Choice Requires="x14">
            <control shapeId="1072" r:id="rId34" name="Check Box 48">
              <controlPr defaultSize="0" autoFill="0" autoLine="0" autoPict="0">
                <anchor moveWithCells="1">
                  <from>
                    <xdr:col>5</xdr:col>
                    <xdr:colOff>647700</xdr:colOff>
                    <xdr:row>38</xdr:row>
                    <xdr:rowOff>177800</xdr:rowOff>
                  </from>
                  <to>
                    <xdr:col>6</xdr:col>
                    <xdr:colOff>88900</xdr:colOff>
                    <xdr:row>40</xdr:row>
                    <xdr:rowOff>25400</xdr:rowOff>
                  </to>
                </anchor>
              </controlPr>
            </control>
          </mc:Choice>
        </mc:AlternateContent>
        <mc:AlternateContent xmlns:mc="http://schemas.openxmlformats.org/markup-compatibility/2006">
          <mc:Choice Requires="x14">
            <control shapeId="1073" r:id="rId35" name="Check Box 49">
              <controlPr defaultSize="0" autoFill="0" autoLine="0" autoPict="0">
                <anchor moveWithCells="1">
                  <from>
                    <xdr:col>5</xdr:col>
                    <xdr:colOff>647700</xdr:colOff>
                    <xdr:row>39</xdr:row>
                    <xdr:rowOff>177800</xdr:rowOff>
                  </from>
                  <to>
                    <xdr:col>6</xdr:col>
                    <xdr:colOff>88900</xdr:colOff>
                    <xdr:row>41</xdr:row>
                    <xdr:rowOff>25400</xdr:rowOff>
                  </to>
                </anchor>
              </controlPr>
            </control>
          </mc:Choice>
        </mc:AlternateContent>
        <mc:AlternateContent xmlns:mc="http://schemas.openxmlformats.org/markup-compatibility/2006">
          <mc:Choice Requires="x14">
            <control shapeId="1074" r:id="rId36" name="Check Box 50">
              <controlPr defaultSize="0" autoFill="0" autoLine="0" autoPict="0">
                <anchor moveWithCells="1">
                  <from>
                    <xdr:col>5</xdr:col>
                    <xdr:colOff>647700</xdr:colOff>
                    <xdr:row>41</xdr:row>
                    <xdr:rowOff>12700</xdr:rowOff>
                  </from>
                  <to>
                    <xdr:col>6</xdr:col>
                    <xdr:colOff>88900</xdr:colOff>
                    <xdr:row>42</xdr:row>
                    <xdr:rowOff>38100</xdr:rowOff>
                  </to>
                </anchor>
              </controlPr>
            </control>
          </mc:Choice>
        </mc:AlternateContent>
        <mc:AlternateContent xmlns:mc="http://schemas.openxmlformats.org/markup-compatibility/2006">
          <mc:Choice Requires="x14">
            <control shapeId="1075" r:id="rId37" name="Check Box 51">
              <controlPr defaultSize="0" autoFill="0" autoLine="0" autoPict="0">
                <anchor moveWithCells="1">
                  <from>
                    <xdr:col>5</xdr:col>
                    <xdr:colOff>647700</xdr:colOff>
                    <xdr:row>42</xdr:row>
                    <xdr:rowOff>0</xdr:rowOff>
                  </from>
                  <to>
                    <xdr:col>6</xdr:col>
                    <xdr:colOff>88900</xdr:colOff>
                    <xdr:row>43</xdr:row>
                    <xdr:rowOff>25400</xdr:rowOff>
                  </to>
                </anchor>
              </controlPr>
            </control>
          </mc:Choice>
        </mc:AlternateContent>
        <mc:AlternateContent xmlns:mc="http://schemas.openxmlformats.org/markup-compatibility/2006">
          <mc:Choice Requires="x14">
            <control shapeId="1076" r:id="rId38" name="Check Box 52">
              <controlPr defaultSize="0" autoFill="0" autoLine="0" autoPict="0">
                <anchor moveWithCells="1">
                  <from>
                    <xdr:col>5</xdr:col>
                    <xdr:colOff>647700</xdr:colOff>
                    <xdr:row>42</xdr:row>
                    <xdr:rowOff>177800</xdr:rowOff>
                  </from>
                  <to>
                    <xdr:col>6</xdr:col>
                    <xdr:colOff>88900</xdr:colOff>
                    <xdr:row>44</xdr:row>
                    <xdr:rowOff>25400</xdr:rowOff>
                  </to>
                </anchor>
              </controlPr>
            </control>
          </mc:Choice>
        </mc:AlternateContent>
        <mc:AlternateContent xmlns:mc="http://schemas.openxmlformats.org/markup-compatibility/2006">
          <mc:Choice Requires="x14">
            <control shapeId="1077" r:id="rId39" name="Check Box 53">
              <controlPr defaultSize="0" autoFill="0" autoLine="0" autoPict="0">
                <anchor moveWithCells="1">
                  <from>
                    <xdr:col>5</xdr:col>
                    <xdr:colOff>635000</xdr:colOff>
                    <xdr:row>44</xdr:row>
                    <xdr:rowOff>0</xdr:rowOff>
                  </from>
                  <to>
                    <xdr:col>6</xdr:col>
                    <xdr:colOff>76200</xdr:colOff>
                    <xdr:row>45</xdr:row>
                    <xdr:rowOff>25400</xdr:rowOff>
                  </to>
                </anchor>
              </controlPr>
            </control>
          </mc:Choice>
        </mc:AlternateContent>
        <mc:AlternateContent xmlns:mc="http://schemas.openxmlformats.org/markup-compatibility/2006">
          <mc:Choice Requires="x14">
            <control shapeId="1078" r:id="rId40" name="Check Box 54">
              <controlPr defaultSize="0" autoFill="0" autoLine="0" autoPict="0">
                <anchor moveWithCells="1">
                  <from>
                    <xdr:col>6</xdr:col>
                    <xdr:colOff>38100</xdr:colOff>
                    <xdr:row>30</xdr:row>
                    <xdr:rowOff>0</xdr:rowOff>
                  </from>
                  <to>
                    <xdr:col>6</xdr:col>
                    <xdr:colOff>520700</xdr:colOff>
                    <xdr:row>30</xdr:row>
                    <xdr:rowOff>177800</xdr:rowOff>
                  </to>
                </anchor>
              </controlPr>
            </control>
          </mc:Choice>
        </mc:AlternateContent>
        <mc:AlternateContent xmlns:mc="http://schemas.openxmlformats.org/markup-compatibility/2006">
          <mc:Choice Requires="x14">
            <control shapeId="1079" r:id="rId41" name="Check Box 55">
              <controlPr defaultSize="0" autoFill="0" autoLine="0" autoPict="0">
                <anchor moveWithCells="1">
                  <from>
                    <xdr:col>6</xdr:col>
                    <xdr:colOff>50800</xdr:colOff>
                    <xdr:row>31</xdr:row>
                    <xdr:rowOff>0</xdr:rowOff>
                  </from>
                  <to>
                    <xdr:col>6</xdr:col>
                    <xdr:colOff>520700</xdr:colOff>
                    <xdr:row>31</xdr:row>
                    <xdr:rowOff>177800</xdr:rowOff>
                  </to>
                </anchor>
              </controlPr>
            </control>
          </mc:Choice>
        </mc:AlternateContent>
        <mc:AlternateContent xmlns:mc="http://schemas.openxmlformats.org/markup-compatibility/2006">
          <mc:Choice Requires="x14">
            <control shapeId="1080" r:id="rId42" name="Check Box 56">
              <controlPr defaultSize="0" autoFill="0" autoLine="0" autoPict="0">
                <anchor moveWithCells="1">
                  <from>
                    <xdr:col>6</xdr:col>
                    <xdr:colOff>63500</xdr:colOff>
                    <xdr:row>32</xdr:row>
                    <xdr:rowOff>25400</xdr:rowOff>
                  </from>
                  <to>
                    <xdr:col>6</xdr:col>
                    <xdr:colOff>546100</xdr:colOff>
                    <xdr:row>33</xdr:row>
                    <xdr:rowOff>12700</xdr:rowOff>
                  </to>
                </anchor>
              </controlPr>
            </control>
          </mc:Choice>
        </mc:AlternateContent>
        <mc:AlternateContent xmlns:mc="http://schemas.openxmlformats.org/markup-compatibility/2006">
          <mc:Choice Requires="x14">
            <control shapeId="1081" r:id="rId43" name="Check Box 57">
              <controlPr defaultSize="0" autoFill="0" autoLine="0" autoPict="0">
                <anchor moveWithCells="1">
                  <from>
                    <xdr:col>6</xdr:col>
                    <xdr:colOff>50800</xdr:colOff>
                    <xdr:row>33</xdr:row>
                    <xdr:rowOff>12700</xdr:rowOff>
                  </from>
                  <to>
                    <xdr:col>6</xdr:col>
                    <xdr:colOff>546100</xdr:colOff>
                    <xdr:row>34</xdr:row>
                    <xdr:rowOff>12700</xdr:rowOff>
                  </to>
                </anchor>
              </controlPr>
            </control>
          </mc:Choice>
        </mc:AlternateContent>
        <mc:AlternateContent xmlns:mc="http://schemas.openxmlformats.org/markup-compatibility/2006">
          <mc:Choice Requires="x14">
            <control shapeId="1082" r:id="rId44" name="Check Box 58">
              <controlPr defaultSize="0" autoFill="0" autoLine="0" autoPict="0">
                <anchor moveWithCells="1">
                  <from>
                    <xdr:col>6</xdr:col>
                    <xdr:colOff>38100</xdr:colOff>
                    <xdr:row>34</xdr:row>
                    <xdr:rowOff>12700</xdr:rowOff>
                  </from>
                  <to>
                    <xdr:col>6</xdr:col>
                    <xdr:colOff>508000</xdr:colOff>
                    <xdr:row>34</xdr:row>
                    <xdr:rowOff>177800</xdr:rowOff>
                  </to>
                </anchor>
              </controlPr>
            </control>
          </mc:Choice>
        </mc:AlternateContent>
        <mc:AlternateContent xmlns:mc="http://schemas.openxmlformats.org/markup-compatibility/2006">
          <mc:Choice Requires="x14">
            <control shapeId="1083" r:id="rId45" name="Check Box 59">
              <controlPr defaultSize="0" autoFill="0" autoLine="0" autoPict="0">
                <anchor moveWithCells="1">
                  <from>
                    <xdr:col>6</xdr:col>
                    <xdr:colOff>50800</xdr:colOff>
                    <xdr:row>35</xdr:row>
                    <xdr:rowOff>12700</xdr:rowOff>
                  </from>
                  <to>
                    <xdr:col>6</xdr:col>
                    <xdr:colOff>558800</xdr:colOff>
                    <xdr:row>35</xdr:row>
                    <xdr:rowOff>165100</xdr:rowOff>
                  </to>
                </anchor>
              </controlPr>
            </control>
          </mc:Choice>
        </mc:AlternateContent>
        <mc:AlternateContent xmlns:mc="http://schemas.openxmlformats.org/markup-compatibility/2006">
          <mc:Choice Requires="x14">
            <control shapeId="1084" r:id="rId46" name="Check Box 60">
              <controlPr defaultSize="0" autoFill="0" autoLine="0" autoPict="0">
                <anchor moveWithCells="1">
                  <from>
                    <xdr:col>6</xdr:col>
                    <xdr:colOff>38100</xdr:colOff>
                    <xdr:row>36</xdr:row>
                    <xdr:rowOff>25400</xdr:rowOff>
                  </from>
                  <to>
                    <xdr:col>6</xdr:col>
                    <xdr:colOff>495300</xdr:colOff>
                    <xdr:row>36</xdr:row>
                    <xdr:rowOff>177800</xdr:rowOff>
                  </to>
                </anchor>
              </controlPr>
            </control>
          </mc:Choice>
        </mc:AlternateContent>
        <mc:AlternateContent xmlns:mc="http://schemas.openxmlformats.org/markup-compatibility/2006">
          <mc:Choice Requires="x14">
            <control shapeId="1085" r:id="rId47" name="Check Box 61">
              <controlPr defaultSize="0" autoFill="0" autoLine="0" autoPict="0">
                <anchor moveWithCells="1">
                  <from>
                    <xdr:col>6</xdr:col>
                    <xdr:colOff>38100</xdr:colOff>
                    <xdr:row>37</xdr:row>
                    <xdr:rowOff>0</xdr:rowOff>
                  </from>
                  <to>
                    <xdr:col>6</xdr:col>
                    <xdr:colOff>520700</xdr:colOff>
                    <xdr:row>38</xdr:row>
                    <xdr:rowOff>12700</xdr:rowOff>
                  </to>
                </anchor>
              </controlPr>
            </control>
          </mc:Choice>
        </mc:AlternateContent>
        <mc:AlternateContent xmlns:mc="http://schemas.openxmlformats.org/markup-compatibility/2006">
          <mc:Choice Requires="x14">
            <control shapeId="1086" r:id="rId48" name="Check Box 62">
              <controlPr defaultSize="0" autoFill="0" autoLine="0" autoPict="0">
                <anchor moveWithCells="1">
                  <from>
                    <xdr:col>6</xdr:col>
                    <xdr:colOff>50800</xdr:colOff>
                    <xdr:row>38</xdr:row>
                    <xdr:rowOff>25400</xdr:rowOff>
                  </from>
                  <to>
                    <xdr:col>6</xdr:col>
                    <xdr:colOff>533400</xdr:colOff>
                    <xdr:row>38</xdr:row>
                    <xdr:rowOff>177800</xdr:rowOff>
                  </to>
                </anchor>
              </controlPr>
            </control>
          </mc:Choice>
        </mc:AlternateContent>
        <mc:AlternateContent xmlns:mc="http://schemas.openxmlformats.org/markup-compatibility/2006">
          <mc:Choice Requires="x14">
            <control shapeId="1087" r:id="rId49" name="Check Box 63">
              <controlPr defaultSize="0" autoFill="0" autoLine="0" autoPict="0">
                <anchor moveWithCells="1">
                  <from>
                    <xdr:col>6</xdr:col>
                    <xdr:colOff>50800</xdr:colOff>
                    <xdr:row>39</xdr:row>
                    <xdr:rowOff>12700</xdr:rowOff>
                  </from>
                  <to>
                    <xdr:col>6</xdr:col>
                    <xdr:colOff>533400</xdr:colOff>
                    <xdr:row>39</xdr:row>
                    <xdr:rowOff>177800</xdr:rowOff>
                  </to>
                </anchor>
              </controlPr>
            </control>
          </mc:Choice>
        </mc:AlternateContent>
        <mc:AlternateContent xmlns:mc="http://schemas.openxmlformats.org/markup-compatibility/2006">
          <mc:Choice Requires="x14">
            <control shapeId="1088" r:id="rId50" name="Check Box 64">
              <controlPr defaultSize="0" autoFill="0" autoLine="0" autoPict="0">
                <anchor moveWithCells="1">
                  <from>
                    <xdr:col>6</xdr:col>
                    <xdr:colOff>38100</xdr:colOff>
                    <xdr:row>40</xdr:row>
                    <xdr:rowOff>25400</xdr:rowOff>
                  </from>
                  <to>
                    <xdr:col>6</xdr:col>
                    <xdr:colOff>520700</xdr:colOff>
                    <xdr:row>41</xdr:row>
                    <xdr:rowOff>0</xdr:rowOff>
                  </to>
                </anchor>
              </controlPr>
            </control>
          </mc:Choice>
        </mc:AlternateContent>
        <mc:AlternateContent xmlns:mc="http://schemas.openxmlformats.org/markup-compatibility/2006">
          <mc:Choice Requires="x14">
            <control shapeId="1089" r:id="rId51" name="Check Box 65">
              <controlPr defaultSize="0" autoFill="0" autoLine="0" autoPict="0">
                <anchor moveWithCells="1">
                  <from>
                    <xdr:col>6</xdr:col>
                    <xdr:colOff>25400</xdr:colOff>
                    <xdr:row>41</xdr:row>
                    <xdr:rowOff>25400</xdr:rowOff>
                  </from>
                  <to>
                    <xdr:col>6</xdr:col>
                    <xdr:colOff>533400</xdr:colOff>
                    <xdr:row>41</xdr:row>
                    <xdr:rowOff>177800</xdr:rowOff>
                  </to>
                </anchor>
              </controlPr>
            </control>
          </mc:Choice>
        </mc:AlternateContent>
        <mc:AlternateContent xmlns:mc="http://schemas.openxmlformats.org/markup-compatibility/2006">
          <mc:Choice Requires="x14">
            <control shapeId="1090" r:id="rId52" name="Check Box 66">
              <controlPr defaultSize="0" autoFill="0" autoLine="0" autoPict="0">
                <anchor moveWithCells="1">
                  <from>
                    <xdr:col>6</xdr:col>
                    <xdr:colOff>25400</xdr:colOff>
                    <xdr:row>42</xdr:row>
                    <xdr:rowOff>25400</xdr:rowOff>
                  </from>
                  <to>
                    <xdr:col>6</xdr:col>
                    <xdr:colOff>482600</xdr:colOff>
                    <xdr:row>42</xdr:row>
                    <xdr:rowOff>177800</xdr:rowOff>
                  </to>
                </anchor>
              </controlPr>
            </control>
          </mc:Choice>
        </mc:AlternateContent>
        <mc:AlternateContent xmlns:mc="http://schemas.openxmlformats.org/markup-compatibility/2006">
          <mc:Choice Requires="x14">
            <control shapeId="1091" r:id="rId53" name="Check Box 67">
              <controlPr defaultSize="0" autoFill="0" autoLine="0" autoPict="0">
                <anchor moveWithCells="1">
                  <from>
                    <xdr:col>6</xdr:col>
                    <xdr:colOff>25400</xdr:colOff>
                    <xdr:row>43</xdr:row>
                    <xdr:rowOff>25400</xdr:rowOff>
                  </from>
                  <to>
                    <xdr:col>6</xdr:col>
                    <xdr:colOff>508000</xdr:colOff>
                    <xdr:row>43</xdr:row>
                    <xdr:rowOff>177800</xdr:rowOff>
                  </to>
                </anchor>
              </controlPr>
            </control>
          </mc:Choice>
        </mc:AlternateContent>
        <mc:AlternateContent xmlns:mc="http://schemas.openxmlformats.org/markup-compatibility/2006">
          <mc:Choice Requires="x14">
            <control shapeId="1092" r:id="rId54" name="Check Box 68">
              <controlPr defaultSize="0" autoFill="0" autoLine="0" autoPict="0">
                <anchor moveWithCells="1">
                  <from>
                    <xdr:col>6</xdr:col>
                    <xdr:colOff>25400</xdr:colOff>
                    <xdr:row>44</xdr:row>
                    <xdr:rowOff>12700</xdr:rowOff>
                  </from>
                  <to>
                    <xdr:col>6</xdr:col>
                    <xdr:colOff>482600</xdr:colOff>
                    <xdr:row>44</xdr:row>
                    <xdr:rowOff>177800</xdr:rowOff>
                  </to>
                </anchor>
              </controlPr>
            </control>
          </mc:Choice>
        </mc:AlternateContent>
        <mc:AlternateContent xmlns:mc="http://schemas.openxmlformats.org/markup-compatibility/2006">
          <mc:Choice Requires="x14">
            <control shapeId="1093" r:id="rId55" name="Check Box 69">
              <controlPr defaultSize="0" autoFill="0" autoLine="0" autoPict="0">
                <anchor moveWithCells="1">
                  <from>
                    <xdr:col>7</xdr:col>
                    <xdr:colOff>25400</xdr:colOff>
                    <xdr:row>30</xdr:row>
                    <xdr:rowOff>38100</xdr:rowOff>
                  </from>
                  <to>
                    <xdr:col>7</xdr:col>
                    <xdr:colOff>482600</xdr:colOff>
                    <xdr:row>30</xdr:row>
                    <xdr:rowOff>177800</xdr:rowOff>
                  </to>
                </anchor>
              </controlPr>
            </control>
          </mc:Choice>
        </mc:AlternateContent>
        <mc:AlternateContent xmlns:mc="http://schemas.openxmlformats.org/markup-compatibility/2006">
          <mc:Choice Requires="x14">
            <control shapeId="1094" r:id="rId56" name="Check Box 70">
              <controlPr defaultSize="0" autoFill="0" autoLine="0" autoPict="0">
                <anchor moveWithCells="1">
                  <from>
                    <xdr:col>7</xdr:col>
                    <xdr:colOff>25400</xdr:colOff>
                    <xdr:row>31</xdr:row>
                    <xdr:rowOff>0</xdr:rowOff>
                  </from>
                  <to>
                    <xdr:col>7</xdr:col>
                    <xdr:colOff>482600</xdr:colOff>
                    <xdr:row>32</xdr:row>
                    <xdr:rowOff>12700</xdr:rowOff>
                  </to>
                </anchor>
              </controlPr>
            </control>
          </mc:Choice>
        </mc:AlternateContent>
        <mc:AlternateContent xmlns:mc="http://schemas.openxmlformats.org/markup-compatibility/2006">
          <mc:Choice Requires="x14">
            <control shapeId="1095" r:id="rId57" name="Check Box 71">
              <controlPr defaultSize="0" autoFill="0" autoLine="0" autoPict="0">
                <anchor moveWithCells="1">
                  <from>
                    <xdr:col>7</xdr:col>
                    <xdr:colOff>25400</xdr:colOff>
                    <xdr:row>32</xdr:row>
                    <xdr:rowOff>25400</xdr:rowOff>
                  </from>
                  <to>
                    <xdr:col>8</xdr:col>
                    <xdr:colOff>12700</xdr:colOff>
                    <xdr:row>33</xdr:row>
                    <xdr:rowOff>12700</xdr:rowOff>
                  </to>
                </anchor>
              </controlPr>
            </control>
          </mc:Choice>
        </mc:AlternateContent>
        <mc:AlternateContent xmlns:mc="http://schemas.openxmlformats.org/markup-compatibility/2006">
          <mc:Choice Requires="x14">
            <control shapeId="1096" r:id="rId58" name="Check Box 72">
              <controlPr defaultSize="0" autoFill="0" autoLine="0" autoPict="0">
                <anchor moveWithCells="1">
                  <from>
                    <xdr:col>7</xdr:col>
                    <xdr:colOff>25400</xdr:colOff>
                    <xdr:row>33</xdr:row>
                    <xdr:rowOff>0</xdr:rowOff>
                  </from>
                  <to>
                    <xdr:col>7</xdr:col>
                    <xdr:colOff>495300</xdr:colOff>
                    <xdr:row>34</xdr:row>
                    <xdr:rowOff>0</xdr:rowOff>
                  </to>
                </anchor>
              </controlPr>
            </control>
          </mc:Choice>
        </mc:AlternateContent>
        <mc:AlternateContent xmlns:mc="http://schemas.openxmlformats.org/markup-compatibility/2006">
          <mc:Choice Requires="x14">
            <control shapeId="1097" r:id="rId59" name="Check Box 73">
              <controlPr defaultSize="0" autoFill="0" autoLine="0" autoPict="0">
                <anchor moveWithCells="1">
                  <from>
                    <xdr:col>7</xdr:col>
                    <xdr:colOff>38100</xdr:colOff>
                    <xdr:row>33</xdr:row>
                    <xdr:rowOff>177800</xdr:rowOff>
                  </from>
                  <to>
                    <xdr:col>8</xdr:col>
                    <xdr:colOff>0</xdr:colOff>
                    <xdr:row>35</xdr:row>
                    <xdr:rowOff>12700</xdr:rowOff>
                  </to>
                </anchor>
              </controlPr>
            </control>
          </mc:Choice>
        </mc:AlternateContent>
        <mc:AlternateContent xmlns:mc="http://schemas.openxmlformats.org/markup-compatibility/2006">
          <mc:Choice Requires="x14">
            <control shapeId="1098" r:id="rId60" name="Check Box 74">
              <controlPr defaultSize="0" autoFill="0" autoLine="0" autoPict="0">
                <anchor moveWithCells="1">
                  <from>
                    <xdr:col>7</xdr:col>
                    <xdr:colOff>50800</xdr:colOff>
                    <xdr:row>34</xdr:row>
                    <xdr:rowOff>177800</xdr:rowOff>
                  </from>
                  <to>
                    <xdr:col>7</xdr:col>
                    <xdr:colOff>482600</xdr:colOff>
                    <xdr:row>36</xdr:row>
                    <xdr:rowOff>12700</xdr:rowOff>
                  </to>
                </anchor>
              </controlPr>
            </control>
          </mc:Choice>
        </mc:AlternateContent>
        <mc:AlternateContent xmlns:mc="http://schemas.openxmlformats.org/markup-compatibility/2006">
          <mc:Choice Requires="x14">
            <control shapeId="1099" r:id="rId61" name="Check Box 75">
              <controlPr defaultSize="0" autoFill="0" autoLine="0" autoPict="0">
                <anchor moveWithCells="1">
                  <from>
                    <xdr:col>7</xdr:col>
                    <xdr:colOff>25400</xdr:colOff>
                    <xdr:row>35</xdr:row>
                    <xdr:rowOff>177800</xdr:rowOff>
                  </from>
                  <to>
                    <xdr:col>8</xdr:col>
                    <xdr:colOff>12700</xdr:colOff>
                    <xdr:row>37</xdr:row>
                    <xdr:rowOff>0</xdr:rowOff>
                  </to>
                </anchor>
              </controlPr>
            </control>
          </mc:Choice>
        </mc:AlternateContent>
        <mc:AlternateContent xmlns:mc="http://schemas.openxmlformats.org/markup-compatibility/2006">
          <mc:Choice Requires="x14">
            <control shapeId="1100" r:id="rId62" name="Check Box 76">
              <controlPr defaultSize="0" autoFill="0" autoLine="0" autoPict="0">
                <anchor moveWithCells="1">
                  <from>
                    <xdr:col>7</xdr:col>
                    <xdr:colOff>25400</xdr:colOff>
                    <xdr:row>37</xdr:row>
                    <xdr:rowOff>12700</xdr:rowOff>
                  </from>
                  <to>
                    <xdr:col>7</xdr:col>
                    <xdr:colOff>495300</xdr:colOff>
                    <xdr:row>38</xdr:row>
                    <xdr:rowOff>0</xdr:rowOff>
                  </to>
                </anchor>
              </controlPr>
            </control>
          </mc:Choice>
        </mc:AlternateContent>
        <mc:AlternateContent xmlns:mc="http://schemas.openxmlformats.org/markup-compatibility/2006">
          <mc:Choice Requires="x14">
            <control shapeId="1101" r:id="rId63" name="Check Box 77">
              <controlPr defaultSize="0" autoFill="0" autoLine="0" autoPict="0">
                <anchor moveWithCells="1">
                  <from>
                    <xdr:col>7</xdr:col>
                    <xdr:colOff>25400</xdr:colOff>
                    <xdr:row>38</xdr:row>
                    <xdr:rowOff>0</xdr:rowOff>
                  </from>
                  <to>
                    <xdr:col>7</xdr:col>
                    <xdr:colOff>482600</xdr:colOff>
                    <xdr:row>38</xdr:row>
                    <xdr:rowOff>177800</xdr:rowOff>
                  </to>
                </anchor>
              </controlPr>
            </control>
          </mc:Choice>
        </mc:AlternateContent>
        <mc:AlternateContent xmlns:mc="http://schemas.openxmlformats.org/markup-compatibility/2006">
          <mc:Choice Requires="x14">
            <control shapeId="1102" r:id="rId64" name="Check Box 78">
              <controlPr defaultSize="0" autoFill="0" autoLine="0" autoPict="0">
                <anchor moveWithCells="1">
                  <from>
                    <xdr:col>7</xdr:col>
                    <xdr:colOff>25400</xdr:colOff>
                    <xdr:row>39</xdr:row>
                    <xdr:rowOff>12700</xdr:rowOff>
                  </from>
                  <to>
                    <xdr:col>7</xdr:col>
                    <xdr:colOff>482600</xdr:colOff>
                    <xdr:row>40</xdr:row>
                    <xdr:rowOff>0</xdr:rowOff>
                  </to>
                </anchor>
              </controlPr>
            </control>
          </mc:Choice>
        </mc:AlternateContent>
        <mc:AlternateContent xmlns:mc="http://schemas.openxmlformats.org/markup-compatibility/2006">
          <mc:Choice Requires="x14">
            <control shapeId="1103" r:id="rId65" name="Check Box 79">
              <controlPr defaultSize="0" autoFill="0" autoLine="0" autoPict="0">
                <anchor moveWithCells="1">
                  <from>
                    <xdr:col>7</xdr:col>
                    <xdr:colOff>0</xdr:colOff>
                    <xdr:row>39</xdr:row>
                    <xdr:rowOff>177800</xdr:rowOff>
                  </from>
                  <to>
                    <xdr:col>7</xdr:col>
                    <xdr:colOff>457200</xdr:colOff>
                    <xdr:row>41</xdr:row>
                    <xdr:rowOff>0</xdr:rowOff>
                  </to>
                </anchor>
              </controlPr>
            </control>
          </mc:Choice>
        </mc:AlternateContent>
        <mc:AlternateContent xmlns:mc="http://schemas.openxmlformats.org/markup-compatibility/2006">
          <mc:Choice Requires="x14">
            <control shapeId="1104" r:id="rId66" name="Check Box 80">
              <controlPr defaultSize="0" autoFill="0" autoLine="0" autoPict="0">
                <anchor moveWithCells="1">
                  <from>
                    <xdr:col>7</xdr:col>
                    <xdr:colOff>0</xdr:colOff>
                    <xdr:row>41</xdr:row>
                    <xdr:rowOff>0</xdr:rowOff>
                  </from>
                  <to>
                    <xdr:col>8</xdr:col>
                    <xdr:colOff>0</xdr:colOff>
                    <xdr:row>41</xdr:row>
                    <xdr:rowOff>177800</xdr:rowOff>
                  </to>
                </anchor>
              </controlPr>
            </control>
          </mc:Choice>
        </mc:AlternateContent>
        <mc:AlternateContent xmlns:mc="http://schemas.openxmlformats.org/markup-compatibility/2006">
          <mc:Choice Requires="x14">
            <control shapeId="1105" r:id="rId67" name="Check Box 81">
              <controlPr defaultSize="0" autoFill="0" autoLine="0" autoPict="0">
                <anchor moveWithCells="1">
                  <from>
                    <xdr:col>7</xdr:col>
                    <xdr:colOff>0</xdr:colOff>
                    <xdr:row>41</xdr:row>
                    <xdr:rowOff>177800</xdr:rowOff>
                  </from>
                  <to>
                    <xdr:col>7</xdr:col>
                    <xdr:colOff>482600</xdr:colOff>
                    <xdr:row>42</xdr:row>
                    <xdr:rowOff>177800</xdr:rowOff>
                  </to>
                </anchor>
              </controlPr>
            </control>
          </mc:Choice>
        </mc:AlternateContent>
        <mc:AlternateContent xmlns:mc="http://schemas.openxmlformats.org/markup-compatibility/2006">
          <mc:Choice Requires="x14">
            <control shapeId="1106" r:id="rId68" name="Check Box 82">
              <controlPr defaultSize="0" autoFill="0" autoLine="0" autoPict="0">
                <anchor moveWithCells="1">
                  <from>
                    <xdr:col>7</xdr:col>
                    <xdr:colOff>0</xdr:colOff>
                    <xdr:row>43</xdr:row>
                    <xdr:rowOff>0</xdr:rowOff>
                  </from>
                  <to>
                    <xdr:col>8</xdr:col>
                    <xdr:colOff>0</xdr:colOff>
                    <xdr:row>43</xdr:row>
                    <xdr:rowOff>177800</xdr:rowOff>
                  </to>
                </anchor>
              </controlPr>
            </control>
          </mc:Choice>
        </mc:AlternateContent>
        <mc:AlternateContent xmlns:mc="http://schemas.openxmlformats.org/markup-compatibility/2006">
          <mc:Choice Requires="x14">
            <control shapeId="1107" r:id="rId69" name="Check Box 83">
              <controlPr defaultSize="0" autoFill="0" autoLine="0" autoPict="0">
                <anchor moveWithCells="1">
                  <from>
                    <xdr:col>7</xdr:col>
                    <xdr:colOff>0</xdr:colOff>
                    <xdr:row>44</xdr:row>
                    <xdr:rowOff>25400</xdr:rowOff>
                  </from>
                  <to>
                    <xdr:col>7</xdr:col>
                    <xdr:colOff>482600</xdr:colOff>
                    <xdr:row>45</xdr:row>
                    <xdr:rowOff>12700</xdr:rowOff>
                  </to>
                </anchor>
              </controlPr>
            </control>
          </mc:Choice>
        </mc:AlternateContent>
        <mc:AlternateContent xmlns:mc="http://schemas.openxmlformats.org/markup-compatibility/2006">
          <mc:Choice Requires="x14">
            <control shapeId="1111" r:id="rId70" name="Check Box 87">
              <controlPr defaultSize="0" autoFill="0" autoLine="0" autoPict="0">
                <anchor moveWithCells="1">
                  <from>
                    <xdr:col>5</xdr:col>
                    <xdr:colOff>647700</xdr:colOff>
                    <xdr:row>62</xdr:row>
                    <xdr:rowOff>177800</xdr:rowOff>
                  </from>
                  <to>
                    <xdr:col>6</xdr:col>
                    <xdr:colOff>101600</xdr:colOff>
                    <xdr:row>63</xdr:row>
                    <xdr:rowOff>165100</xdr:rowOff>
                  </to>
                </anchor>
              </controlPr>
            </control>
          </mc:Choice>
        </mc:AlternateContent>
        <mc:AlternateContent xmlns:mc="http://schemas.openxmlformats.org/markup-compatibility/2006">
          <mc:Choice Requires="x14">
            <control shapeId="1112" r:id="rId71" name="Check Box 88">
              <controlPr defaultSize="0" autoFill="0" autoLine="0" autoPict="0">
                <anchor moveWithCells="1">
                  <from>
                    <xdr:col>5</xdr:col>
                    <xdr:colOff>635000</xdr:colOff>
                    <xdr:row>63</xdr:row>
                    <xdr:rowOff>177800</xdr:rowOff>
                  </from>
                  <to>
                    <xdr:col>6</xdr:col>
                    <xdr:colOff>114300</xdr:colOff>
                    <xdr:row>65</xdr:row>
                    <xdr:rowOff>0</xdr:rowOff>
                  </to>
                </anchor>
              </controlPr>
            </control>
          </mc:Choice>
        </mc:AlternateContent>
        <mc:AlternateContent xmlns:mc="http://schemas.openxmlformats.org/markup-compatibility/2006">
          <mc:Choice Requires="x14">
            <control shapeId="1113" r:id="rId72" name="Check Box 89">
              <controlPr defaultSize="0" autoFill="0" autoLine="0" autoPict="0">
                <anchor moveWithCells="1">
                  <from>
                    <xdr:col>5</xdr:col>
                    <xdr:colOff>635000</xdr:colOff>
                    <xdr:row>66</xdr:row>
                    <xdr:rowOff>12700</xdr:rowOff>
                  </from>
                  <to>
                    <xdr:col>6</xdr:col>
                    <xdr:colOff>101600</xdr:colOff>
                    <xdr:row>66</xdr:row>
                    <xdr:rowOff>177800</xdr:rowOff>
                  </to>
                </anchor>
              </controlPr>
            </control>
          </mc:Choice>
        </mc:AlternateContent>
        <mc:AlternateContent xmlns:mc="http://schemas.openxmlformats.org/markup-compatibility/2006">
          <mc:Choice Requires="x14">
            <control shapeId="1115" r:id="rId73" name="Check Box 91">
              <controlPr defaultSize="0" autoFill="0" autoLine="0" autoPict="0">
                <anchor moveWithCells="1">
                  <from>
                    <xdr:col>6</xdr:col>
                    <xdr:colOff>25400</xdr:colOff>
                    <xdr:row>61</xdr:row>
                    <xdr:rowOff>25400</xdr:rowOff>
                  </from>
                  <to>
                    <xdr:col>6</xdr:col>
                    <xdr:colOff>533400</xdr:colOff>
                    <xdr:row>62</xdr:row>
                    <xdr:rowOff>25400</xdr:rowOff>
                  </to>
                </anchor>
              </controlPr>
            </control>
          </mc:Choice>
        </mc:AlternateContent>
        <mc:AlternateContent xmlns:mc="http://schemas.openxmlformats.org/markup-compatibility/2006">
          <mc:Choice Requires="x14">
            <control shapeId="1116" r:id="rId74" name="Check Box 92">
              <controlPr defaultSize="0" autoFill="0" autoLine="0" autoPict="0">
                <anchor moveWithCells="1">
                  <from>
                    <xdr:col>6</xdr:col>
                    <xdr:colOff>25400</xdr:colOff>
                    <xdr:row>62</xdr:row>
                    <xdr:rowOff>0</xdr:rowOff>
                  </from>
                  <to>
                    <xdr:col>6</xdr:col>
                    <xdr:colOff>533400</xdr:colOff>
                    <xdr:row>63</xdr:row>
                    <xdr:rowOff>12700</xdr:rowOff>
                  </to>
                </anchor>
              </controlPr>
            </control>
          </mc:Choice>
        </mc:AlternateContent>
        <mc:AlternateContent xmlns:mc="http://schemas.openxmlformats.org/markup-compatibility/2006">
          <mc:Choice Requires="x14">
            <control shapeId="1117" r:id="rId75" name="Check Box 93">
              <controlPr defaultSize="0" autoFill="0" autoLine="0" autoPict="0">
                <anchor moveWithCells="1">
                  <from>
                    <xdr:col>6</xdr:col>
                    <xdr:colOff>25400</xdr:colOff>
                    <xdr:row>63</xdr:row>
                    <xdr:rowOff>12700</xdr:rowOff>
                  </from>
                  <to>
                    <xdr:col>6</xdr:col>
                    <xdr:colOff>457200</xdr:colOff>
                    <xdr:row>64</xdr:row>
                    <xdr:rowOff>12700</xdr:rowOff>
                  </to>
                </anchor>
              </controlPr>
            </control>
          </mc:Choice>
        </mc:AlternateContent>
        <mc:AlternateContent xmlns:mc="http://schemas.openxmlformats.org/markup-compatibility/2006">
          <mc:Choice Requires="x14">
            <control shapeId="1118" r:id="rId76" name="Check Box 94">
              <controlPr defaultSize="0" autoFill="0" autoLine="0" autoPict="0">
                <anchor moveWithCells="1">
                  <from>
                    <xdr:col>6</xdr:col>
                    <xdr:colOff>25400</xdr:colOff>
                    <xdr:row>63</xdr:row>
                    <xdr:rowOff>177800</xdr:rowOff>
                  </from>
                  <to>
                    <xdr:col>6</xdr:col>
                    <xdr:colOff>546100</xdr:colOff>
                    <xdr:row>64</xdr:row>
                    <xdr:rowOff>177800</xdr:rowOff>
                  </to>
                </anchor>
              </controlPr>
            </control>
          </mc:Choice>
        </mc:AlternateContent>
        <mc:AlternateContent xmlns:mc="http://schemas.openxmlformats.org/markup-compatibility/2006">
          <mc:Choice Requires="x14">
            <control shapeId="1119" r:id="rId77" name="Check Box 95">
              <controlPr defaultSize="0" autoFill="0" autoLine="0" autoPict="0">
                <anchor moveWithCells="1">
                  <from>
                    <xdr:col>6</xdr:col>
                    <xdr:colOff>25400</xdr:colOff>
                    <xdr:row>66</xdr:row>
                    <xdr:rowOff>12700</xdr:rowOff>
                  </from>
                  <to>
                    <xdr:col>6</xdr:col>
                    <xdr:colOff>533400</xdr:colOff>
                    <xdr:row>67</xdr:row>
                    <xdr:rowOff>25400</xdr:rowOff>
                  </to>
                </anchor>
              </controlPr>
            </control>
          </mc:Choice>
        </mc:AlternateContent>
        <mc:AlternateContent xmlns:mc="http://schemas.openxmlformats.org/markup-compatibility/2006">
          <mc:Choice Requires="x14">
            <control shapeId="1121" r:id="rId78" name="Check Box 97">
              <controlPr defaultSize="0" autoFill="0" autoLine="0" autoPict="0">
                <anchor moveWithCells="1">
                  <from>
                    <xdr:col>7</xdr:col>
                    <xdr:colOff>12700</xdr:colOff>
                    <xdr:row>61</xdr:row>
                    <xdr:rowOff>25400</xdr:rowOff>
                  </from>
                  <to>
                    <xdr:col>8</xdr:col>
                    <xdr:colOff>12700</xdr:colOff>
                    <xdr:row>62</xdr:row>
                    <xdr:rowOff>38100</xdr:rowOff>
                  </to>
                </anchor>
              </controlPr>
            </control>
          </mc:Choice>
        </mc:AlternateContent>
        <mc:AlternateContent xmlns:mc="http://schemas.openxmlformats.org/markup-compatibility/2006">
          <mc:Choice Requires="x14">
            <control shapeId="1122" r:id="rId79" name="Check Box 98">
              <controlPr defaultSize="0" autoFill="0" autoLine="0" autoPict="0">
                <anchor moveWithCells="1">
                  <from>
                    <xdr:col>7</xdr:col>
                    <xdr:colOff>0</xdr:colOff>
                    <xdr:row>62</xdr:row>
                    <xdr:rowOff>25400</xdr:rowOff>
                  </from>
                  <to>
                    <xdr:col>8</xdr:col>
                    <xdr:colOff>12700</xdr:colOff>
                    <xdr:row>63</xdr:row>
                    <xdr:rowOff>38100</xdr:rowOff>
                  </to>
                </anchor>
              </controlPr>
            </control>
          </mc:Choice>
        </mc:AlternateContent>
        <mc:AlternateContent xmlns:mc="http://schemas.openxmlformats.org/markup-compatibility/2006">
          <mc:Choice Requires="x14">
            <control shapeId="1123" r:id="rId80" name="Check Box 99">
              <controlPr defaultSize="0" autoFill="0" autoLine="0" autoPict="0">
                <anchor moveWithCells="1">
                  <from>
                    <xdr:col>7</xdr:col>
                    <xdr:colOff>0</xdr:colOff>
                    <xdr:row>63</xdr:row>
                    <xdr:rowOff>25400</xdr:rowOff>
                  </from>
                  <to>
                    <xdr:col>8</xdr:col>
                    <xdr:colOff>0</xdr:colOff>
                    <xdr:row>64</xdr:row>
                    <xdr:rowOff>50800</xdr:rowOff>
                  </to>
                </anchor>
              </controlPr>
            </control>
          </mc:Choice>
        </mc:AlternateContent>
        <mc:AlternateContent xmlns:mc="http://schemas.openxmlformats.org/markup-compatibility/2006">
          <mc:Choice Requires="x14">
            <control shapeId="1124" r:id="rId81" name="Check Box 100">
              <controlPr defaultSize="0" autoFill="0" autoLine="0" autoPict="0">
                <anchor moveWithCells="1">
                  <from>
                    <xdr:col>7</xdr:col>
                    <xdr:colOff>12700</xdr:colOff>
                    <xdr:row>64</xdr:row>
                    <xdr:rowOff>25400</xdr:rowOff>
                  </from>
                  <to>
                    <xdr:col>8</xdr:col>
                    <xdr:colOff>38100</xdr:colOff>
                    <xdr:row>65</xdr:row>
                    <xdr:rowOff>25400</xdr:rowOff>
                  </to>
                </anchor>
              </controlPr>
            </control>
          </mc:Choice>
        </mc:AlternateContent>
        <mc:AlternateContent xmlns:mc="http://schemas.openxmlformats.org/markup-compatibility/2006">
          <mc:Choice Requires="x14">
            <control shapeId="1125" r:id="rId82" name="Check Box 101">
              <controlPr defaultSize="0" autoFill="0" autoLine="0" autoPict="0">
                <anchor moveWithCells="1">
                  <from>
                    <xdr:col>7</xdr:col>
                    <xdr:colOff>0</xdr:colOff>
                    <xdr:row>66</xdr:row>
                    <xdr:rowOff>12700</xdr:rowOff>
                  </from>
                  <to>
                    <xdr:col>8</xdr:col>
                    <xdr:colOff>38100</xdr:colOff>
                    <xdr:row>67</xdr:row>
                    <xdr:rowOff>0</xdr:rowOff>
                  </to>
                </anchor>
              </controlPr>
            </control>
          </mc:Choice>
        </mc:AlternateContent>
        <mc:AlternateContent xmlns:mc="http://schemas.openxmlformats.org/markup-compatibility/2006">
          <mc:Choice Requires="x14">
            <control shapeId="1127" r:id="rId83" name="Check Box 103">
              <controlPr defaultSize="0" autoFill="0" autoLine="0" autoPict="0">
                <anchor moveWithCells="1">
                  <from>
                    <xdr:col>6</xdr:col>
                    <xdr:colOff>12700</xdr:colOff>
                    <xdr:row>79</xdr:row>
                    <xdr:rowOff>0</xdr:rowOff>
                  </from>
                  <to>
                    <xdr:col>6</xdr:col>
                    <xdr:colOff>469900</xdr:colOff>
                    <xdr:row>80</xdr:row>
                    <xdr:rowOff>25400</xdr:rowOff>
                  </to>
                </anchor>
              </controlPr>
            </control>
          </mc:Choice>
        </mc:AlternateContent>
        <mc:AlternateContent xmlns:mc="http://schemas.openxmlformats.org/markup-compatibility/2006">
          <mc:Choice Requires="x14">
            <control shapeId="1128" r:id="rId84" name="Check Box 104">
              <controlPr defaultSize="0" autoFill="0" autoLine="0" autoPict="0">
                <anchor moveWithCells="1">
                  <from>
                    <xdr:col>6</xdr:col>
                    <xdr:colOff>0</xdr:colOff>
                    <xdr:row>80</xdr:row>
                    <xdr:rowOff>12700</xdr:rowOff>
                  </from>
                  <to>
                    <xdr:col>6</xdr:col>
                    <xdr:colOff>495300</xdr:colOff>
                    <xdr:row>81</xdr:row>
                    <xdr:rowOff>38100</xdr:rowOff>
                  </to>
                </anchor>
              </controlPr>
            </control>
          </mc:Choice>
        </mc:AlternateContent>
        <mc:AlternateContent xmlns:mc="http://schemas.openxmlformats.org/markup-compatibility/2006">
          <mc:Choice Requires="x14">
            <control shapeId="1129" r:id="rId85" name="Check Box 105">
              <controlPr defaultSize="0" autoFill="0" autoLine="0" autoPict="0">
                <anchor moveWithCells="1">
                  <from>
                    <xdr:col>6</xdr:col>
                    <xdr:colOff>0</xdr:colOff>
                    <xdr:row>81</xdr:row>
                    <xdr:rowOff>12700</xdr:rowOff>
                  </from>
                  <to>
                    <xdr:col>6</xdr:col>
                    <xdr:colOff>482600</xdr:colOff>
                    <xdr:row>82</xdr:row>
                    <xdr:rowOff>38100</xdr:rowOff>
                  </to>
                </anchor>
              </controlPr>
            </control>
          </mc:Choice>
        </mc:AlternateContent>
        <mc:AlternateContent xmlns:mc="http://schemas.openxmlformats.org/markup-compatibility/2006">
          <mc:Choice Requires="x14">
            <control shapeId="1130" r:id="rId86" name="Check Box 106">
              <controlPr defaultSize="0" autoFill="0" autoLine="0" autoPict="0">
                <anchor moveWithCells="1">
                  <from>
                    <xdr:col>6</xdr:col>
                    <xdr:colOff>0</xdr:colOff>
                    <xdr:row>81</xdr:row>
                    <xdr:rowOff>177800</xdr:rowOff>
                  </from>
                  <to>
                    <xdr:col>6</xdr:col>
                    <xdr:colOff>508000</xdr:colOff>
                    <xdr:row>83</xdr:row>
                    <xdr:rowOff>25400</xdr:rowOff>
                  </to>
                </anchor>
              </controlPr>
            </control>
          </mc:Choice>
        </mc:AlternateContent>
        <mc:AlternateContent xmlns:mc="http://schemas.openxmlformats.org/markup-compatibility/2006">
          <mc:Choice Requires="x14">
            <control shapeId="1131" r:id="rId87" name="Check Box 107">
              <controlPr defaultSize="0" autoFill="0" autoLine="0" autoPict="0">
                <anchor moveWithCells="1">
                  <from>
                    <xdr:col>7</xdr:col>
                    <xdr:colOff>12700</xdr:colOff>
                    <xdr:row>79</xdr:row>
                    <xdr:rowOff>0</xdr:rowOff>
                  </from>
                  <to>
                    <xdr:col>8</xdr:col>
                    <xdr:colOff>0</xdr:colOff>
                    <xdr:row>80</xdr:row>
                    <xdr:rowOff>25400</xdr:rowOff>
                  </to>
                </anchor>
              </controlPr>
            </control>
          </mc:Choice>
        </mc:AlternateContent>
        <mc:AlternateContent xmlns:mc="http://schemas.openxmlformats.org/markup-compatibility/2006">
          <mc:Choice Requires="x14">
            <control shapeId="1132" r:id="rId88" name="Check Box 108">
              <controlPr defaultSize="0" autoFill="0" autoLine="0" autoPict="0">
                <anchor moveWithCells="1">
                  <from>
                    <xdr:col>7</xdr:col>
                    <xdr:colOff>12700</xdr:colOff>
                    <xdr:row>80</xdr:row>
                    <xdr:rowOff>0</xdr:rowOff>
                  </from>
                  <to>
                    <xdr:col>8</xdr:col>
                    <xdr:colOff>0</xdr:colOff>
                    <xdr:row>81</xdr:row>
                    <xdr:rowOff>25400</xdr:rowOff>
                  </to>
                </anchor>
              </controlPr>
            </control>
          </mc:Choice>
        </mc:AlternateContent>
        <mc:AlternateContent xmlns:mc="http://schemas.openxmlformats.org/markup-compatibility/2006">
          <mc:Choice Requires="x14">
            <control shapeId="1133" r:id="rId89" name="Check Box 109">
              <controlPr defaultSize="0" autoFill="0" autoLine="0" autoPict="0">
                <anchor moveWithCells="1">
                  <from>
                    <xdr:col>7</xdr:col>
                    <xdr:colOff>0</xdr:colOff>
                    <xdr:row>81</xdr:row>
                    <xdr:rowOff>0</xdr:rowOff>
                  </from>
                  <to>
                    <xdr:col>7</xdr:col>
                    <xdr:colOff>444500</xdr:colOff>
                    <xdr:row>82</xdr:row>
                    <xdr:rowOff>25400</xdr:rowOff>
                  </to>
                </anchor>
              </controlPr>
            </control>
          </mc:Choice>
        </mc:AlternateContent>
        <mc:AlternateContent xmlns:mc="http://schemas.openxmlformats.org/markup-compatibility/2006">
          <mc:Choice Requires="x14">
            <control shapeId="1134" r:id="rId90" name="Check Box 110">
              <controlPr defaultSize="0" autoFill="0" autoLine="0" autoPict="0">
                <anchor moveWithCells="1">
                  <from>
                    <xdr:col>7</xdr:col>
                    <xdr:colOff>12700</xdr:colOff>
                    <xdr:row>81</xdr:row>
                    <xdr:rowOff>177800</xdr:rowOff>
                  </from>
                  <to>
                    <xdr:col>7</xdr:col>
                    <xdr:colOff>482600</xdr:colOff>
                    <xdr:row>83</xdr:row>
                    <xdr:rowOff>25400</xdr:rowOff>
                  </to>
                </anchor>
              </controlPr>
            </control>
          </mc:Choice>
        </mc:AlternateContent>
        <mc:AlternateContent xmlns:mc="http://schemas.openxmlformats.org/markup-compatibility/2006">
          <mc:Choice Requires="x14">
            <control shapeId="1135" r:id="rId91" name="Check Box 111">
              <controlPr defaultSize="0" autoFill="0" autoLine="0" autoPict="0">
                <anchor moveWithCells="1">
                  <from>
                    <xdr:col>5</xdr:col>
                    <xdr:colOff>596900</xdr:colOff>
                    <xdr:row>11</xdr:row>
                    <xdr:rowOff>12700</xdr:rowOff>
                  </from>
                  <to>
                    <xdr:col>6</xdr:col>
                    <xdr:colOff>76200</xdr:colOff>
                    <xdr:row>12</xdr:row>
                    <xdr:rowOff>12700</xdr:rowOff>
                  </to>
                </anchor>
              </controlPr>
            </control>
          </mc:Choice>
        </mc:AlternateContent>
        <mc:AlternateContent xmlns:mc="http://schemas.openxmlformats.org/markup-compatibility/2006">
          <mc:Choice Requires="x14">
            <control shapeId="1136" r:id="rId92" name="Check Box 112">
              <controlPr defaultSize="0" autoFill="0" autoLine="0" autoPict="0">
                <anchor moveWithCells="1">
                  <from>
                    <xdr:col>6</xdr:col>
                    <xdr:colOff>0</xdr:colOff>
                    <xdr:row>11</xdr:row>
                    <xdr:rowOff>0</xdr:rowOff>
                  </from>
                  <to>
                    <xdr:col>6</xdr:col>
                    <xdr:colOff>457200</xdr:colOff>
                    <xdr:row>12</xdr:row>
                    <xdr:rowOff>0</xdr:rowOff>
                  </to>
                </anchor>
              </controlPr>
            </control>
          </mc:Choice>
        </mc:AlternateContent>
        <mc:AlternateContent xmlns:mc="http://schemas.openxmlformats.org/markup-compatibility/2006">
          <mc:Choice Requires="x14">
            <control shapeId="1137" r:id="rId93" name="Check Box 113">
              <controlPr defaultSize="0" autoFill="0" autoLine="0" autoPict="0">
                <anchor moveWithCells="1">
                  <from>
                    <xdr:col>7</xdr:col>
                    <xdr:colOff>12700</xdr:colOff>
                    <xdr:row>11</xdr:row>
                    <xdr:rowOff>25400</xdr:rowOff>
                  </from>
                  <to>
                    <xdr:col>7</xdr:col>
                    <xdr:colOff>444500</xdr:colOff>
                    <xdr:row>12</xdr:row>
                    <xdr:rowOff>0</xdr:rowOff>
                  </to>
                </anchor>
              </controlPr>
            </control>
          </mc:Choice>
        </mc:AlternateContent>
        <mc:AlternateContent xmlns:mc="http://schemas.openxmlformats.org/markup-compatibility/2006">
          <mc:Choice Requires="x14">
            <control shapeId="1138" r:id="rId94" name="Check Box 114">
              <controlPr defaultSize="0" autoFill="0" autoLine="0" autoPict="0">
                <anchor moveWithCells="1">
                  <from>
                    <xdr:col>5</xdr:col>
                    <xdr:colOff>622300</xdr:colOff>
                    <xdr:row>14</xdr:row>
                    <xdr:rowOff>38100</xdr:rowOff>
                  </from>
                  <to>
                    <xdr:col>6</xdr:col>
                    <xdr:colOff>76200</xdr:colOff>
                    <xdr:row>14</xdr:row>
                    <xdr:rowOff>177800</xdr:rowOff>
                  </to>
                </anchor>
              </controlPr>
            </control>
          </mc:Choice>
        </mc:AlternateContent>
        <mc:AlternateContent xmlns:mc="http://schemas.openxmlformats.org/markup-compatibility/2006">
          <mc:Choice Requires="x14">
            <control shapeId="1139" r:id="rId95" name="Check Box 115">
              <controlPr defaultSize="0" autoFill="0" autoLine="0" autoPict="0">
                <anchor moveWithCells="1">
                  <from>
                    <xdr:col>6</xdr:col>
                    <xdr:colOff>0</xdr:colOff>
                    <xdr:row>14</xdr:row>
                    <xdr:rowOff>38100</xdr:rowOff>
                  </from>
                  <to>
                    <xdr:col>6</xdr:col>
                    <xdr:colOff>482600</xdr:colOff>
                    <xdr:row>15</xdr:row>
                    <xdr:rowOff>0</xdr:rowOff>
                  </to>
                </anchor>
              </controlPr>
            </control>
          </mc:Choice>
        </mc:AlternateContent>
        <mc:AlternateContent xmlns:mc="http://schemas.openxmlformats.org/markup-compatibility/2006">
          <mc:Choice Requires="x14">
            <control shapeId="1140" r:id="rId96" name="Check Box 116">
              <controlPr defaultSize="0" autoFill="0" autoLine="0" autoPict="0">
                <anchor moveWithCells="1">
                  <from>
                    <xdr:col>7</xdr:col>
                    <xdr:colOff>25400</xdr:colOff>
                    <xdr:row>14</xdr:row>
                    <xdr:rowOff>25400</xdr:rowOff>
                  </from>
                  <to>
                    <xdr:col>7</xdr:col>
                    <xdr:colOff>444500</xdr:colOff>
                    <xdr:row>15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0"/>
  </sheetPr>
  <dimension ref="B1:J91"/>
  <sheetViews>
    <sheetView view="pageLayout" topLeftCell="A25" zoomScale="110" zoomScaleNormal="100" zoomScalePageLayoutView="110" workbookViewId="0">
      <selection activeCell="B58" sqref="B58:C64"/>
    </sheetView>
  </sheetViews>
  <sheetFormatPr baseColWidth="10" defaultColWidth="8.83203125" defaultRowHeight="15" x14ac:dyDescent="0.2"/>
  <cols>
    <col min="1" max="1" width="4.5" customWidth="1"/>
    <col min="2" max="2" width="11.33203125" customWidth="1"/>
    <col min="3" max="3" width="18.5" customWidth="1"/>
    <col min="4" max="4" width="12.5" bestFit="1" customWidth="1"/>
    <col min="5" max="5" width="13.1640625" bestFit="1" customWidth="1"/>
    <col min="6" max="6" width="16" customWidth="1"/>
    <col min="7" max="7" width="9.6640625" customWidth="1"/>
    <col min="8" max="8" width="9.1640625" customWidth="1"/>
    <col min="9" max="9" width="5" customWidth="1"/>
    <col min="10" max="10" width="18.5" customWidth="1"/>
    <col min="11" max="11" width="4.5" customWidth="1"/>
    <col min="12" max="12" width="9.1640625" customWidth="1"/>
  </cols>
  <sheetData>
    <row r="1" spans="2:10" ht="20" thickBot="1" x14ac:dyDescent="0.3">
      <c r="D1" s="2" t="s">
        <v>0</v>
      </c>
      <c r="E1" s="27">
        <f>SUM(G19,G45,G66,G84)</f>
        <v>0</v>
      </c>
      <c r="F1" s="1" t="s">
        <v>1</v>
      </c>
      <c r="G1" s="4">
        <v>38</v>
      </c>
      <c r="H1" s="20">
        <f>SUM(E1/G1)</f>
        <v>0</v>
      </c>
      <c r="I1" s="42"/>
      <c r="J1" s="43" t="s">
        <v>92</v>
      </c>
    </row>
    <row r="2" spans="2:10" x14ac:dyDescent="0.2">
      <c r="J2" s="44">
        <v>911</v>
      </c>
    </row>
    <row r="3" spans="2:10" x14ac:dyDescent="0.2">
      <c r="B3" s="9" t="s">
        <v>2</v>
      </c>
      <c r="C3" s="6"/>
      <c r="D3" s="2" t="s">
        <v>3</v>
      </c>
      <c r="E3" s="7"/>
      <c r="F3" s="2" t="s">
        <v>4</v>
      </c>
      <c r="G3" s="994" t="s">
        <v>92</v>
      </c>
      <c r="H3" s="995"/>
      <c r="J3" s="45" t="s">
        <v>63</v>
      </c>
    </row>
    <row r="5" spans="2:10" x14ac:dyDescent="0.2">
      <c r="B5" s="9" t="s">
        <v>5</v>
      </c>
      <c r="C5" s="5" t="s">
        <v>91</v>
      </c>
      <c r="D5" s="2" t="s">
        <v>6</v>
      </c>
      <c r="E5" s="8"/>
      <c r="F5" s="9" t="s">
        <v>7</v>
      </c>
      <c r="G5" s="994" t="s">
        <v>92</v>
      </c>
      <c r="H5" s="995"/>
    </row>
    <row r="6" spans="2:10" x14ac:dyDescent="0.2">
      <c r="J6" s="43" t="s">
        <v>92</v>
      </c>
    </row>
    <row r="7" spans="2:10" x14ac:dyDescent="0.2">
      <c r="B7" s="978" t="s">
        <v>8</v>
      </c>
      <c r="C7" s="979"/>
      <c r="D7" s="979"/>
      <c r="E7" s="979"/>
      <c r="F7" s="979"/>
      <c r="G7" s="979"/>
      <c r="H7" s="980"/>
      <c r="I7" s="4"/>
      <c r="J7" s="44" t="s">
        <v>85</v>
      </c>
    </row>
    <row r="8" spans="2:10" x14ac:dyDescent="0.2">
      <c r="B8" s="981"/>
      <c r="C8" s="982"/>
      <c r="D8" s="982"/>
      <c r="E8" s="982"/>
      <c r="F8" s="982"/>
      <c r="G8" s="982"/>
      <c r="H8" s="983"/>
      <c r="I8" s="4"/>
      <c r="J8" s="44" t="s">
        <v>86</v>
      </c>
    </row>
    <row r="9" spans="2:10" x14ac:dyDescent="0.2">
      <c r="F9" s="11"/>
      <c r="G9" s="11"/>
      <c r="H9" s="11"/>
      <c r="I9" s="11"/>
      <c r="J9" s="44" t="s">
        <v>87</v>
      </c>
    </row>
    <row r="10" spans="2:10" x14ac:dyDescent="0.2">
      <c r="B10" s="30">
        <v>1</v>
      </c>
      <c r="C10" s="31" t="s">
        <v>12</v>
      </c>
      <c r="D10" s="31"/>
      <c r="E10" s="31"/>
      <c r="F10" s="36"/>
      <c r="G10" s="36" t="b">
        <v>0</v>
      </c>
      <c r="H10" s="36" t="b">
        <v>0</v>
      </c>
      <c r="I10" s="36"/>
      <c r="J10" s="44" t="s">
        <v>196</v>
      </c>
    </row>
    <row r="11" spans="2:10" x14ac:dyDescent="0.2">
      <c r="B11" s="2" t="s">
        <v>10</v>
      </c>
      <c r="C11" t="s">
        <v>13</v>
      </c>
      <c r="F11" s="11"/>
      <c r="G11" s="11" t="b">
        <v>0</v>
      </c>
      <c r="H11" s="11" t="b">
        <v>0</v>
      </c>
      <c r="I11" s="11"/>
      <c r="J11" s="45" t="s">
        <v>88</v>
      </c>
    </row>
    <row r="12" spans="2:10" x14ac:dyDescent="0.2">
      <c r="B12" s="30" t="s">
        <v>179</v>
      </c>
      <c r="C12" s="31" t="s">
        <v>181</v>
      </c>
      <c r="D12" s="31"/>
      <c r="E12" s="31"/>
      <c r="F12" s="36" t="b">
        <v>0</v>
      </c>
      <c r="G12" s="36" t="b">
        <v>0</v>
      </c>
      <c r="H12" s="36" t="b">
        <v>0</v>
      </c>
      <c r="I12" s="36"/>
    </row>
    <row r="13" spans="2:10" x14ac:dyDescent="0.2">
      <c r="B13" s="2">
        <v>2</v>
      </c>
      <c r="C13" t="s">
        <v>14</v>
      </c>
      <c r="F13" s="11"/>
      <c r="G13" s="11" t="b">
        <v>0</v>
      </c>
      <c r="H13" s="11" t="b">
        <v>0</v>
      </c>
      <c r="I13" s="11"/>
      <c r="J13" s="43" t="s">
        <v>91</v>
      </c>
    </row>
    <row r="14" spans="2:10" x14ac:dyDescent="0.2">
      <c r="B14" s="30" t="s">
        <v>11</v>
      </c>
      <c r="C14" s="31" t="s">
        <v>168</v>
      </c>
      <c r="D14" s="31"/>
      <c r="E14" s="31"/>
      <c r="F14" s="36" t="b">
        <v>0</v>
      </c>
      <c r="G14" s="36" t="b">
        <v>0</v>
      </c>
      <c r="H14" s="36" t="b">
        <v>0</v>
      </c>
      <c r="I14" s="36"/>
      <c r="J14" s="44"/>
    </row>
    <row r="15" spans="2:10" x14ac:dyDescent="0.2">
      <c r="B15" s="9">
        <v>3</v>
      </c>
      <c r="C15" t="s">
        <v>184</v>
      </c>
      <c r="F15" s="11" t="b">
        <v>0</v>
      </c>
      <c r="G15" s="11" t="b">
        <v>0</v>
      </c>
      <c r="H15" s="11"/>
      <c r="I15" s="11"/>
      <c r="J15" s="44" t="s">
        <v>64</v>
      </c>
    </row>
    <row r="16" spans="2:10" x14ac:dyDescent="0.2">
      <c r="B16" s="38" t="s">
        <v>17</v>
      </c>
      <c r="C16" s="31" t="s">
        <v>185</v>
      </c>
      <c r="D16" s="31"/>
      <c r="E16" s="31"/>
      <c r="F16" s="36" t="b">
        <v>0</v>
      </c>
      <c r="G16" s="36" t="b">
        <v>0</v>
      </c>
      <c r="H16" s="36"/>
      <c r="I16" s="36"/>
      <c r="J16" s="44" t="s">
        <v>65</v>
      </c>
    </row>
    <row r="17" spans="2:10" x14ac:dyDescent="0.2">
      <c r="B17" s="9">
        <v>4</v>
      </c>
      <c r="C17" t="s">
        <v>198</v>
      </c>
      <c r="F17" s="11" t="b">
        <v>0</v>
      </c>
      <c r="G17" s="11" t="b">
        <v>0</v>
      </c>
      <c r="H17" s="11"/>
      <c r="I17" s="11"/>
      <c r="J17" s="44" t="s">
        <v>66</v>
      </c>
    </row>
    <row r="18" spans="2:10" x14ac:dyDescent="0.2">
      <c r="F18" s="11">
        <f>COUNTIF(F10:F17,TRUE)</f>
        <v>0</v>
      </c>
      <c r="G18" s="11">
        <f>COUNTIF(G10:G17,TRUE)</f>
        <v>0</v>
      </c>
      <c r="H18" s="11"/>
      <c r="I18" s="11"/>
      <c r="J18" s="44" t="s">
        <v>67</v>
      </c>
    </row>
    <row r="19" spans="2:10" x14ac:dyDescent="0.2">
      <c r="E19" s="986" t="s">
        <v>199</v>
      </c>
      <c r="F19" s="987"/>
      <c r="G19" s="529">
        <f>SUM(F18,G18)</f>
        <v>0</v>
      </c>
      <c r="H19" s="530"/>
      <c r="I19" s="3"/>
      <c r="J19" s="44" t="s">
        <v>68</v>
      </c>
    </row>
    <row r="20" spans="2:10" x14ac:dyDescent="0.2">
      <c r="E20" s="37"/>
      <c r="F20" s="37"/>
      <c r="G20" s="3"/>
      <c r="H20" s="3"/>
      <c r="I20" s="3"/>
      <c r="J20" s="44" t="s">
        <v>69</v>
      </c>
    </row>
    <row r="21" spans="2:10" x14ac:dyDescent="0.2">
      <c r="B21" t="s">
        <v>15</v>
      </c>
      <c r="J21" s="44" t="s">
        <v>70</v>
      </c>
    </row>
    <row r="22" spans="2:10" x14ac:dyDescent="0.2">
      <c r="B22" s="967"/>
      <c r="C22" s="968"/>
      <c r="D22" s="968"/>
      <c r="E22" s="968"/>
      <c r="F22" s="968"/>
      <c r="G22" s="968"/>
      <c r="H22" s="988"/>
      <c r="I22" s="13"/>
      <c r="J22" s="44" t="s">
        <v>71</v>
      </c>
    </row>
    <row r="23" spans="2:10" x14ac:dyDescent="0.2">
      <c r="B23" s="969"/>
      <c r="C23" s="970"/>
      <c r="D23" s="970"/>
      <c r="E23" s="970"/>
      <c r="F23" s="970"/>
      <c r="G23" s="970"/>
      <c r="H23" s="989"/>
      <c r="I23" s="13"/>
      <c r="J23" s="44" t="s">
        <v>72</v>
      </c>
    </row>
    <row r="24" spans="2:10" x14ac:dyDescent="0.2">
      <c r="B24" s="969"/>
      <c r="C24" s="970"/>
      <c r="D24" s="970"/>
      <c r="E24" s="970"/>
      <c r="F24" s="970"/>
      <c r="G24" s="970"/>
      <c r="H24" s="989"/>
      <c r="I24" s="13"/>
      <c r="J24" s="44" t="s">
        <v>73</v>
      </c>
    </row>
    <row r="25" spans="2:10" x14ac:dyDescent="0.2">
      <c r="B25" s="971"/>
      <c r="C25" s="972"/>
      <c r="D25" s="972"/>
      <c r="E25" s="972"/>
      <c r="F25" s="972"/>
      <c r="G25" s="972"/>
      <c r="H25" s="990"/>
      <c r="I25" s="13"/>
      <c r="J25" s="44" t="s">
        <v>74</v>
      </c>
    </row>
    <row r="26" spans="2:10" x14ac:dyDescent="0.2">
      <c r="B26" s="35"/>
      <c r="C26" s="35"/>
      <c r="D26" s="35"/>
      <c r="E26" s="35"/>
      <c r="F26" s="35"/>
      <c r="G26" s="35"/>
      <c r="H26" s="35"/>
      <c r="I26" s="35"/>
      <c r="J26" s="44" t="s">
        <v>75</v>
      </c>
    </row>
    <row r="27" spans="2:10" x14ac:dyDescent="0.2">
      <c r="B27" s="978" t="s">
        <v>16</v>
      </c>
      <c r="C27" s="979"/>
      <c r="D27" s="979"/>
      <c r="E27" s="979"/>
      <c r="F27" s="979"/>
      <c r="G27" s="979"/>
      <c r="H27" s="980"/>
      <c r="I27" s="4"/>
      <c r="J27" s="44" t="s">
        <v>76</v>
      </c>
    </row>
    <row r="28" spans="2:10" x14ac:dyDescent="0.2">
      <c r="B28" s="981"/>
      <c r="C28" s="982"/>
      <c r="D28" s="982"/>
      <c r="E28" s="982"/>
      <c r="F28" s="982"/>
      <c r="G28" s="982"/>
      <c r="H28" s="983"/>
      <c r="I28" s="4"/>
      <c r="J28" s="44" t="s">
        <v>77</v>
      </c>
    </row>
    <row r="29" spans="2:10" x14ac:dyDescent="0.2">
      <c r="G29" s="11"/>
      <c r="H29" s="11"/>
      <c r="I29" s="11"/>
      <c r="J29" s="44" t="s">
        <v>78</v>
      </c>
    </row>
    <row r="30" spans="2:10" x14ac:dyDescent="0.2">
      <c r="B30" s="30">
        <v>5</v>
      </c>
      <c r="C30" s="31" t="s">
        <v>186</v>
      </c>
      <c r="D30" s="31"/>
      <c r="E30" s="31"/>
      <c r="F30" s="36" t="b">
        <v>0</v>
      </c>
      <c r="G30" s="36" t="b">
        <v>0</v>
      </c>
      <c r="H30" s="36" t="b">
        <v>0</v>
      </c>
      <c r="I30" s="36"/>
      <c r="J30" s="44" t="s">
        <v>90</v>
      </c>
    </row>
    <row r="31" spans="2:10" x14ac:dyDescent="0.2">
      <c r="B31" s="2">
        <v>6</v>
      </c>
      <c r="C31" t="s">
        <v>187</v>
      </c>
      <c r="F31" s="11" t="b">
        <v>0</v>
      </c>
      <c r="G31" s="11" t="b">
        <v>0</v>
      </c>
      <c r="H31" s="11" t="b">
        <v>0</v>
      </c>
      <c r="I31" s="11"/>
      <c r="J31" s="44" t="s">
        <v>79</v>
      </c>
    </row>
    <row r="32" spans="2:10" x14ac:dyDescent="0.2">
      <c r="B32" s="30" t="s">
        <v>19</v>
      </c>
      <c r="C32" s="31" t="s">
        <v>189</v>
      </c>
      <c r="D32" s="31"/>
      <c r="E32" s="31"/>
      <c r="F32" s="36" t="b">
        <v>0</v>
      </c>
      <c r="G32" s="36" t="b">
        <v>0</v>
      </c>
      <c r="H32" s="36" t="b">
        <v>0</v>
      </c>
      <c r="I32" s="36"/>
      <c r="J32" s="44" t="s">
        <v>80</v>
      </c>
    </row>
    <row r="33" spans="2:10" x14ac:dyDescent="0.2">
      <c r="B33" s="2" t="s">
        <v>20</v>
      </c>
      <c r="C33" t="s">
        <v>188</v>
      </c>
      <c r="F33" s="11" t="b">
        <v>0</v>
      </c>
      <c r="G33" s="11" t="b">
        <v>0</v>
      </c>
      <c r="H33" s="11" t="b">
        <v>0</v>
      </c>
      <c r="I33" s="11"/>
      <c r="J33" s="44" t="s">
        <v>81</v>
      </c>
    </row>
    <row r="34" spans="2:10" x14ac:dyDescent="0.2">
      <c r="B34" s="30">
        <v>7</v>
      </c>
      <c r="C34" s="31" t="s">
        <v>190</v>
      </c>
      <c r="D34" s="31"/>
      <c r="E34" s="31"/>
      <c r="F34" s="36" t="b">
        <v>0</v>
      </c>
      <c r="G34" s="36" t="b">
        <v>0</v>
      </c>
      <c r="H34" s="36" t="b">
        <v>0</v>
      </c>
      <c r="I34" s="36"/>
      <c r="J34" s="44" t="s">
        <v>82</v>
      </c>
    </row>
    <row r="35" spans="2:10" x14ac:dyDescent="0.2">
      <c r="B35" s="2">
        <v>8</v>
      </c>
      <c r="C35" t="s">
        <v>191</v>
      </c>
      <c r="F35" s="11" t="b">
        <v>0</v>
      </c>
      <c r="G35" s="11" t="b">
        <v>0</v>
      </c>
      <c r="H35" s="11" t="b">
        <v>0</v>
      </c>
      <c r="I35" s="11"/>
      <c r="J35" s="44" t="s">
        <v>83</v>
      </c>
    </row>
    <row r="36" spans="2:10" x14ac:dyDescent="0.2">
      <c r="B36" s="30">
        <v>9</v>
      </c>
      <c r="C36" s="31" t="s">
        <v>192</v>
      </c>
      <c r="D36" s="31"/>
      <c r="E36" s="31"/>
      <c r="F36" s="36" t="b">
        <v>0</v>
      </c>
      <c r="G36" s="36" t="b">
        <v>0</v>
      </c>
      <c r="H36" s="36" t="b">
        <v>0</v>
      </c>
      <c r="I36" s="36"/>
      <c r="J36" s="44" t="s">
        <v>84</v>
      </c>
    </row>
    <row r="37" spans="2:10" x14ac:dyDescent="0.2">
      <c r="B37" s="2">
        <v>10</v>
      </c>
      <c r="C37" t="s">
        <v>197</v>
      </c>
      <c r="F37" s="11" t="b">
        <v>0</v>
      </c>
      <c r="G37" s="11" t="b">
        <v>0</v>
      </c>
      <c r="H37" s="11" t="b">
        <v>0</v>
      </c>
      <c r="I37" s="11"/>
      <c r="J37" s="44"/>
    </row>
    <row r="38" spans="2:10" x14ac:dyDescent="0.2">
      <c r="B38" s="30">
        <v>11</v>
      </c>
      <c r="C38" s="31" t="s">
        <v>193</v>
      </c>
      <c r="D38" s="31"/>
      <c r="E38" s="31"/>
      <c r="F38" s="36" t="b">
        <v>0</v>
      </c>
      <c r="G38" s="36" t="b">
        <v>0</v>
      </c>
      <c r="H38" s="36" t="b">
        <v>0</v>
      </c>
      <c r="I38" s="36"/>
      <c r="J38" s="44"/>
    </row>
    <row r="39" spans="2:10" x14ac:dyDescent="0.2">
      <c r="B39" s="2"/>
      <c r="F39" s="11" t="b">
        <v>0</v>
      </c>
      <c r="G39" s="11" t="b">
        <v>0</v>
      </c>
      <c r="H39" s="11" t="b">
        <v>0</v>
      </c>
      <c r="I39" s="11"/>
      <c r="J39" s="44"/>
    </row>
    <row r="40" spans="2:10" ht="16" thickBot="1" x14ac:dyDescent="0.25">
      <c r="B40" s="2"/>
      <c r="F40" s="11">
        <f>COUNTIF(F30:F39,TRUE)</f>
        <v>0</v>
      </c>
      <c r="G40" s="11">
        <f>COUNTIF(G30:G39,TRUE)</f>
        <v>0</v>
      </c>
      <c r="H40" s="11">
        <f>COUNTIF(H30:H39, TRUE)</f>
        <v>0</v>
      </c>
      <c r="I40" s="11"/>
      <c r="J40" s="45"/>
    </row>
    <row r="41" spans="2:10" ht="16" thickBot="1" x14ac:dyDescent="0.25">
      <c r="C41" t="s">
        <v>21</v>
      </c>
      <c r="G41" s="29">
        <v>0</v>
      </c>
      <c r="H41" s="11">
        <f>IF(G41="",0,0)</f>
        <v>0</v>
      </c>
      <c r="I41" s="11"/>
    </row>
    <row r="42" spans="2:10" x14ac:dyDescent="0.2">
      <c r="B42" t="s">
        <v>41</v>
      </c>
    </row>
    <row r="43" spans="2:10" x14ac:dyDescent="0.2">
      <c r="B43" t="s">
        <v>42</v>
      </c>
      <c r="C43" s="985" t="s">
        <v>43</v>
      </c>
      <c r="D43" s="985"/>
      <c r="E43" s="3" t="s">
        <v>44</v>
      </c>
      <c r="F43" s="3" t="s">
        <v>45</v>
      </c>
    </row>
    <row r="44" spans="2:10" x14ac:dyDescent="0.2">
      <c r="B44" s="10" t="s">
        <v>46</v>
      </c>
      <c r="C44" s="993" t="s">
        <v>47</v>
      </c>
      <c r="D44" s="993"/>
      <c r="E44" s="10" t="s">
        <v>48</v>
      </c>
      <c r="F44" s="10" t="s">
        <v>49</v>
      </c>
    </row>
    <row r="45" spans="2:10" x14ac:dyDescent="0.2">
      <c r="F45" s="16" t="s">
        <v>50</v>
      </c>
      <c r="G45" s="28">
        <f>SUM((F40+G40)-G41+H41)</f>
        <v>0</v>
      </c>
    </row>
    <row r="46" spans="2:10" x14ac:dyDescent="0.2">
      <c r="F46" s="16"/>
      <c r="G46" s="39"/>
    </row>
    <row r="47" spans="2:10" x14ac:dyDescent="0.2">
      <c r="F47" s="16"/>
      <c r="G47" s="39"/>
    </row>
    <row r="48" spans="2:10" x14ac:dyDescent="0.2">
      <c r="B48" t="s">
        <v>15</v>
      </c>
    </row>
    <row r="49" spans="2:9" x14ac:dyDescent="0.2">
      <c r="B49" s="967"/>
      <c r="C49" s="968"/>
      <c r="D49" s="968"/>
      <c r="E49" s="968"/>
      <c r="F49" s="968"/>
      <c r="G49" s="968"/>
      <c r="H49" s="988"/>
      <c r="I49" s="13"/>
    </row>
    <row r="50" spans="2:9" x14ac:dyDescent="0.2">
      <c r="B50" s="969"/>
      <c r="C50" s="970"/>
      <c r="D50" s="970"/>
      <c r="E50" s="970"/>
      <c r="F50" s="970"/>
      <c r="G50" s="970"/>
      <c r="H50" s="989"/>
      <c r="I50" s="13"/>
    </row>
    <row r="51" spans="2:9" x14ac:dyDescent="0.2">
      <c r="B51" s="969"/>
      <c r="C51" s="970"/>
      <c r="D51" s="970"/>
      <c r="E51" s="970"/>
      <c r="F51" s="970"/>
      <c r="G51" s="970"/>
      <c r="H51" s="989"/>
      <c r="I51" s="13"/>
    </row>
    <row r="52" spans="2:9" x14ac:dyDescent="0.2">
      <c r="B52" s="969"/>
      <c r="C52" s="970"/>
      <c r="D52" s="970"/>
      <c r="E52" s="970"/>
      <c r="F52" s="970"/>
      <c r="G52" s="970"/>
      <c r="H52" s="989"/>
      <c r="I52" s="13"/>
    </row>
    <row r="53" spans="2:9" ht="15" customHeight="1" x14ac:dyDescent="0.2">
      <c r="B53" s="971"/>
      <c r="C53" s="972"/>
      <c r="D53" s="972"/>
      <c r="E53" s="972"/>
      <c r="F53" s="972"/>
      <c r="G53" s="972"/>
      <c r="H53" s="990"/>
      <c r="I53" s="13"/>
    </row>
    <row r="54" spans="2:9" x14ac:dyDescent="0.2">
      <c r="B54" s="35"/>
      <c r="C54" s="35"/>
      <c r="D54" s="35"/>
      <c r="E54" s="35"/>
      <c r="F54" s="35"/>
      <c r="G54" s="35"/>
      <c r="H54" s="35"/>
      <c r="I54" s="35"/>
    </row>
    <row r="55" spans="2:9" x14ac:dyDescent="0.2">
      <c r="B55" s="978" t="s">
        <v>51</v>
      </c>
      <c r="C55" s="979"/>
      <c r="D55" s="979"/>
      <c r="E55" s="979"/>
      <c r="F55" s="979"/>
      <c r="G55" s="979"/>
      <c r="H55" s="980"/>
      <c r="I55" s="4"/>
    </row>
    <row r="56" spans="2:9" x14ac:dyDescent="0.2">
      <c r="B56" s="981"/>
      <c r="C56" s="982"/>
      <c r="D56" s="982"/>
      <c r="E56" s="982"/>
      <c r="F56" s="982"/>
      <c r="G56" s="982"/>
      <c r="H56" s="983"/>
      <c r="I56" s="4"/>
    </row>
    <row r="58" spans="2:9" x14ac:dyDescent="0.2">
      <c r="B58" s="31">
        <v>12</v>
      </c>
      <c r="C58" s="31" t="s">
        <v>52</v>
      </c>
      <c r="D58" s="31"/>
      <c r="E58" s="31"/>
      <c r="F58" s="36"/>
      <c r="G58" s="36" t="b">
        <v>0</v>
      </c>
      <c r="H58" s="36" t="b">
        <v>0</v>
      </c>
      <c r="I58" s="36"/>
    </row>
    <row r="59" spans="2:9" x14ac:dyDescent="0.2">
      <c r="B59">
        <v>13</v>
      </c>
      <c r="C59" t="s">
        <v>170</v>
      </c>
      <c r="F59" s="11"/>
      <c r="G59" s="11" t="b">
        <v>0</v>
      </c>
      <c r="H59" s="11" t="b">
        <v>0</v>
      </c>
      <c r="I59" s="11"/>
    </row>
    <row r="60" spans="2:9" x14ac:dyDescent="0.2">
      <c r="B60" s="31">
        <v>14</v>
      </c>
      <c r="C60" s="31" t="s">
        <v>53</v>
      </c>
      <c r="D60" s="31"/>
      <c r="E60" s="31"/>
      <c r="F60" s="36" t="b">
        <v>0</v>
      </c>
      <c r="G60" s="36" t="b">
        <v>0</v>
      </c>
      <c r="H60" s="36" t="b">
        <v>0</v>
      </c>
      <c r="I60" s="36"/>
    </row>
    <row r="61" spans="2:9" x14ac:dyDescent="0.2">
      <c r="B61">
        <v>15</v>
      </c>
      <c r="C61" t="s">
        <v>171</v>
      </c>
      <c r="F61" s="11" t="b">
        <v>0</v>
      </c>
      <c r="G61" s="11" t="b">
        <v>0</v>
      </c>
      <c r="H61" s="11" t="b">
        <v>0</v>
      </c>
      <c r="I61" s="11"/>
    </row>
    <row r="62" spans="2:9" x14ac:dyDescent="0.2">
      <c r="B62" s="31"/>
      <c r="C62" s="31" t="s">
        <v>172</v>
      </c>
      <c r="D62" s="31"/>
      <c r="E62" s="31"/>
      <c r="F62" s="36"/>
      <c r="G62" s="36"/>
      <c r="H62" s="36"/>
      <c r="I62" s="36"/>
    </row>
    <row r="63" spans="2:9" x14ac:dyDescent="0.2">
      <c r="B63">
        <v>16</v>
      </c>
      <c r="C63" t="s">
        <v>173</v>
      </c>
      <c r="F63" s="11" t="b">
        <v>0</v>
      </c>
      <c r="G63" s="11" t="b">
        <v>0</v>
      </c>
      <c r="H63" s="11" t="b">
        <v>0</v>
      </c>
      <c r="I63" s="11"/>
    </row>
    <row r="64" spans="2:9" x14ac:dyDescent="0.2">
      <c r="B64" s="31">
        <v>17</v>
      </c>
      <c r="C64" s="31" t="s">
        <v>194</v>
      </c>
      <c r="F64" s="11"/>
      <c r="G64" s="11" t="b">
        <v>0</v>
      </c>
      <c r="H64" s="11" t="b">
        <v>0</v>
      </c>
      <c r="I64" s="11"/>
    </row>
    <row r="65" spans="2:9" x14ac:dyDescent="0.2">
      <c r="F65" s="11">
        <f>COUNTIF(F58:F64,TRUE)</f>
        <v>0</v>
      </c>
      <c r="G65" s="11">
        <f>COUNTIF(G57:G64,TRUE)</f>
        <v>0</v>
      </c>
      <c r="H65" s="11"/>
      <c r="I65" s="11"/>
    </row>
    <row r="66" spans="2:9" x14ac:dyDescent="0.2">
      <c r="E66" s="991" t="s">
        <v>195</v>
      </c>
      <c r="F66" s="992"/>
      <c r="G66" s="5">
        <f>SUM(F65,G65)</f>
        <v>0</v>
      </c>
    </row>
    <row r="67" spans="2:9" x14ac:dyDescent="0.2">
      <c r="B67" t="s">
        <v>15</v>
      </c>
    </row>
    <row r="68" spans="2:9" x14ac:dyDescent="0.2">
      <c r="B68" s="967"/>
      <c r="C68" s="968"/>
      <c r="D68" s="968"/>
      <c r="E68" s="968"/>
      <c r="F68" s="968"/>
      <c r="G68" s="968"/>
      <c r="H68" s="988"/>
      <c r="I68" s="13"/>
    </row>
    <row r="69" spans="2:9" x14ac:dyDescent="0.2">
      <c r="B69" s="969"/>
      <c r="C69" s="970"/>
      <c r="D69" s="970"/>
      <c r="E69" s="970"/>
      <c r="F69" s="970"/>
      <c r="G69" s="970"/>
      <c r="H69" s="989"/>
      <c r="I69" s="13"/>
    </row>
    <row r="70" spans="2:9" ht="9.75" customHeight="1" x14ac:dyDescent="0.2">
      <c r="B70" s="969"/>
      <c r="C70" s="970"/>
      <c r="D70" s="970"/>
      <c r="E70" s="970"/>
      <c r="F70" s="970"/>
      <c r="G70" s="970"/>
      <c r="H70" s="989"/>
      <c r="I70" s="13"/>
    </row>
    <row r="71" spans="2:9" x14ac:dyDescent="0.2">
      <c r="B71" s="969"/>
      <c r="C71" s="970"/>
      <c r="D71" s="970"/>
      <c r="E71" s="970"/>
      <c r="F71" s="970"/>
      <c r="G71" s="970"/>
      <c r="H71" s="989"/>
      <c r="I71" s="13"/>
    </row>
    <row r="72" spans="2:9" ht="15" customHeight="1" x14ac:dyDescent="0.2">
      <c r="B72" s="971"/>
      <c r="C72" s="972"/>
      <c r="D72" s="972"/>
      <c r="E72" s="972"/>
      <c r="F72" s="972"/>
      <c r="G72" s="972"/>
      <c r="H72" s="990"/>
      <c r="I72" s="13"/>
    </row>
    <row r="73" spans="2:9" x14ac:dyDescent="0.2">
      <c r="B73" s="35"/>
      <c r="C73" s="35"/>
      <c r="D73" s="35"/>
      <c r="E73" s="35"/>
      <c r="F73" s="35"/>
      <c r="G73" s="35"/>
      <c r="H73" s="35"/>
      <c r="I73" s="35"/>
    </row>
    <row r="74" spans="2:9" x14ac:dyDescent="0.2">
      <c r="B74" s="978" t="s">
        <v>55</v>
      </c>
      <c r="C74" s="979"/>
      <c r="D74" s="979"/>
      <c r="E74" s="979"/>
      <c r="F74" s="979"/>
      <c r="G74" s="979"/>
      <c r="H74" s="980"/>
      <c r="I74" s="4"/>
    </row>
    <row r="75" spans="2:9" x14ac:dyDescent="0.2">
      <c r="B75" s="981"/>
      <c r="C75" s="982"/>
      <c r="D75" s="982"/>
      <c r="E75" s="982"/>
      <c r="F75" s="982"/>
      <c r="G75" s="982"/>
      <c r="H75" s="983"/>
      <c r="I75" s="4"/>
    </row>
    <row r="76" spans="2:9" x14ac:dyDescent="0.2">
      <c r="G76" s="11"/>
      <c r="H76" s="11"/>
      <c r="I76" s="11"/>
    </row>
    <row r="77" spans="2:9" x14ac:dyDescent="0.2">
      <c r="B77">
        <v>18</v>
      </c>
      <c r="C77" t="s">
        <v>56</v>
      </c>
      <c r="G77" s="11" t="b">
        <v>0</v>
      </c>
      <c r="H77" s="11" t="b">
        <v>0</v>
      </c>
      <c r="I77" s="11"/>
    </row>
    <row r="78" spans="2:9" ht="15.75" customHeight="1" x14ac:dyDescent="0.2">
      <c r="B78">
        <v>19</v>
      </c>
      <c r="C78" t="s">
        <v>57</v>
      </c>
      <c r="G78" s="11" t="b">
        <v>0</v>
      </c>
      <c r="H78" s="11" t="b">
        <v>0</v>
      </c>
      <c r="I78" s="11"/>
    </row>
    <row r="79" spans="2:9" x14ac:dyDescent="0.2">
      <c r="B79">
        <v>20</v>
      </c>
      <c r="C79" t="s">
        <v>58</v>
      </c>
      <c r="G79" s="11" t="b">
        <v>0</v>
      </c>
      <c r="H79" s="11" t="b">
        <v>0</v>
      </c>
      <c r="I79" s="11"/>
    </row>
    <row r="80" spans="2:9" x14ac:dyDescent="0.2">
      <c r="B80">
        <v>21</v>
      </c>
      <c r="C80" t="s">
        <v>59</v>
      </c>
      <c r="G80" s="11" t="b">
        <v>0</v>
      </c>
      <c r="H80" s="11" t="b">
        <v>0</v>
      </c>
      <c r="I80" s="11"/>
    </row>
    <row r="81" spans="2:9" ht="15" customHeight="1" x14ac:dyDescent="0.2">
      <c r="B81">
        <v>22</v>
      </c>
      <c r="C81" t="s">
        <v>60</v>
      </c>
      <c r="G81" s="5"/>
      <c r="H81" s="11" t="b">
        <f>IF(G81="C",10,IF(G81="O",7,IF(G81="A",4,IF(G81="R",0))))</f>
        <v>0</v>
      </c>
      <c r="I81" s="11"/>
    </row>
    <row r="82" spans="2:9" ht="16" x14ac:dyDescent="0.2">
      <c r="C82" t="s">
        <v>61</v>
      </c>
    </row>
    <row r="83" spans="2:9" x14ac:dyDescent="0.2">
      <c r="G83" s="11">
        <f>COUNTIF(G77:G80,TRUE)</f>
        <v>0</v>
      </c>
    </row>
    <row r="84" spans="2:9" ht="15" customHeight="1" x14ac:dyDescent="0.2">
      <c r="B84" t="s">
        <v>15</v>
      </c>
      <c r="E84" s="991" t="s">
        <v>62</v>
      </c>
      <c r="F84" s="992"/>
      <c r="G84" s="5">
        <f>SUM(G83+H81)</f>
        <v>0</v>
      </c>
    </row>
    <row r="85" spans="2:9" ht="16.5" customHeight="1" x14ac:dyDescent="0.2">
      <c r="B85" s="967"/>
      <c r="C85" s="968"/>
      <c r="D85" s="968"/>
      <c r="E85" s="968"/>
      <c r="F85" s="968"/>
      <c r="G85" s="968"/>
      <c r="H85" s="988"/>
      <c r="I85" s="13"/>
    </row>
    <row r="86" spans="2:9" x14ac:dyDescent="0.2">
      <c r="B86" s="969"/>
      <c r="C86" s="970"/>
      <c r="D86" s="970"/>
      <c r="E86" s="970"/>
      <c r="F86" s="970"/>
      <c r="G86" s="970"/>
      <c r="H86" s="989"/>
      <c r="I86" s="13"/>
    </row>
    <row r="87" spans="2:9" x14ac:dyDescent="0.2">
      <c r="B87" s="969"/>
      <c r="C87" s="970"/>
      <c r="D87" s="970"/>
      <c r="E87" s="970"/>
      <c r="F87" s="970"/>
      <c r="G87" s="970"/>
      <c r="H87" s="989"/>
      <c r="I87" s="13"/>
    </row>
    <row r="88" spans="2:9" ht="9" customHeight="1" x14ac:dyDescent="0.2">
      <c r="B88" s="969"/>
      <c r="C88" s="970"/>
      <c r="D88" s="970"/>
      <c r="E88" s="970"/>
      <c r="F88" s="970"/>
      <c r="G88" s="970"/>
      <c r="H88" s="989"/>
      <c r="I88" s="13"/>
    </row>
    <row r="89" spans="2:9" x14ac:dyDescent="0.2">
      <c r="B89" s="971"/>
      <c r="C89" s="972"/>
      <c r="D89" s="972"/>
      <c r="E89" s="972"/>
      <c r="F89" s="972"/>
      <c r="G89" s="972"/>
      <c r="H89" s="990"/>
      <c r="I89" s="13"/>
    </row>
    <row r="90" spans="2:9" x14ac:dyDescent="0.2">
      <c r="B90" s="35"/>
      <c r="C90" s="35"/>
      <c r="D90" s="35"/>
      <c r="E90" s="35"/>
      <c r="F90" s="35"/>
      <c r="G90" s="35"/>
      <c r="H90" s="35"/>
      <c r="I90" s="35"/>
    </row>
    <row r="91" spans="2:9" x14ac:dyDescent="0.2">
      <c r="B91" s="35"/>
      <c r="C91" s="35"/>
      <c r="D91" s="35"/>
      <c r="E91" s="35"/>
      <c r="F91" s="35"/>
      <c r="G91" s="35"/>
      <c r="H91" s="35"/>
      <c r="I91" s="35"/>
    </row>
  </sheetData>
  <mergeCells count="16">
    <mergeCell ref="G3:H3"/>
    <mergeCell ref="G5:H5"/>
    <mergeCell ref="E84:F84"/>
    <mergeCell ref="B85:H89"/>
    <mergeCell ref="C44:D44"/>
    <mergeCell ref="B49:H53"/>
    <mergeCell ref="B55:H56"/>
    <mergeCell ref="E66:F66"/>
    <mergeCell ref="B68:H72"/>
    <mergeCell ref="B74:H75"/>
    <mergeCell ref="C43:D43"/>
    <mergeCell ref="B7:H8"/>
    <mergeCell ref="E19:F19"/>
    <mergeCell ref="G19:H19"/>
    <mergeCell ref="B22:H25"/>
    <mergeCell ref="B27:H28"/>
  </mergeCells>
  <conditionalFormatting sqref="F10">
    <cfRule type="iconSet" priority="1">
      <iconSet iconSet="3Symbols">
        <cfvo type="percent" val="0"/>
        <cfvo type="percent" val="33"/>
        <cfvo type="percent" val="67"/>
      </iconSet>
    </cfRule>
  </conditionalFormatting>
  <dataValidations count="3">
    <dataValidation type="list" showInputMessage="1" showErrorMessage="1" sqref="G3:H3" xr:uid="{00000000-0002-0000-0500-000000000000}">
      <formula1>$J$1:$J$3</formula1>
    </dataValidation>
    <dataValidation type="list" showInputMessage="1" showErrorMessage="1" sqref="G5:H5" xr:uid="{00000000-0002-0000-0500-000001000000}">
      <formula1>$J$6:$J$11</formula1>
    </dataValidation>
    <dataValidation type="list" showInputMessage="1" showErrorMessage="1" sqref="C5" xr:uid="{00000000-0002-0000-0500-000002000000}">
      <formula1>$J$13:$J$40</formula1>
    </dataValidation>
  </dataValidations>
  <pageMargins left="0.25" right="0.25" top="0.75" bottom="0.75" header="0.3" footer="0.3"/>
  <pageSetup orientation="portrait" r:id="rId1"/>
  <headerFooter>
    <oddHeader>&amp;C&amp;"-,Bold"&amp;18Fire Call-Taking Quality Assurance Form</oddHeader>
    <oddFooter>&amp;L
&amp;C&amp;P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6" r:id="rId4" name="Check Box 4">
              <controlPr defaultSize="0" autoFill="0" autoLine="0" autoPict="0">
                <anchor moveWithCells="1">
                  <from>
                    <xdr:col>6</xdr:col>
                    <xdr:colOff>0</xdr:colOff>
                    <xdr:row>9</xdr:row>
                    <xdr:rowOff>12700</xdr:rowOff>
                  </from>
                  <to>
                    <xdr:col>6</xdr:col>
                    <xdr:colOff>533400</xdr:colOff>
                    <xdr:row>9</xdr:row>
                    <xdr:rowOff>177800</xdr:rowOff>
                  </to>
                </anchor>
              </controlPr>
            </control>
          </mc:Choice>
        </mc:AlternateContent>
        <mc:AlternateContent xmlns:mc="http://schemas.openxmlformats.org/markup-compatibility/2006">
          <mc:Choice Requires="x14">
            <control shapeId="3077" r:id="rId5" name="Check Box 5">
              <controlPr defaultSize="0" autoFill="0" autoLine="0" autoPict="0">
                <anchor moveWithCells="1">
                  <from>
                    <xdr:col>7</xdr:col>
                    <xdr:colOff>0</xdr:colOff>
                    <xdr:row>9</xdr:row>
                    <xdr:rowOff>12700</xdr:rowOff>
                  </from>
                  <to>
                    <xdr:col>7</xdr:col>
                    <xdr:colOff>444500</xdr:colOff>
                    <xdr:row>9</xdr:row>
                    <xdr:rowOff>177800</xdr:rowOff>
                  </to>
                </anchor>
              </controlPr>
            </control>
          </mc:Choice>
        </mc:AlternateContent>
        <mc:AlternateContent xmlns:mc="http://schemas.openxmlformats.org/markup-compatibility/2006">
          <mc:Choice Requires="x14">
            <control shapeId="3078" r:id="rId6" name="Check Box 6">
              <controlPr defaultSize="0" autoFill="0" autoLine="0" autoPict="0">
                <anchor moveWithCells="1">
                  <from>
                    <xdr:col>6</xdr:col>
                    <xdr:colOff>0</xdr:colOff>
                    <xdr:row>10</xdr:row>
                    <xdr:rowOff>12700</xdr:rowOff>
                  </from>
                  <to>
                    <xdr:col>6</xdr:col>
                    <xdr:colOff>508000</xdr:colOff>
                    <xdr:row>11</xdr:row>
                    <xdr:rowOff>12700</xdr:rowOff>
                  </to>
                </anchor>
              </controlPr>
            </control>
          </mc:Choice>
        </mc:AlternateContent>
        <mc:AlternateContent xmlns:mc="http://schemas.openxmlformats.org/markup-compatibility/2006">
          <mc:Choice Requires="x14">
            <control shapeId="3079" r:id="rId7" name="Check Box 7">
              <controlPr defaultSize="0" autoFill="0" autoLine="0" autoPict="0">
                <anchor moveWithCells="1">
                  <from>
                    <xdr:col>7</xdr:col>
                    <xdr:colOff>0</xdr:colOff>
                    <xdr:row>10</xdr:row>
                    <xdr:rowOff>0</xdr:rowOff>
                  </from>
                  <to>
                    <xdr:col>7</xdr:col>
                    <xdr:colOff>520700</xdr:colOff>
                    <xdr:row>11</xdr:row>
                    <xdr:rowOff>12700</xdr:rowOff>
                  </to>
                </anchor>
              </controlPr>
            </control>
          </mc:Choice>
        </mc:AlternateContent>
        <mc:AlternateContent xmlns:mc="http://schemas.openxmlformats.org/markup-compatibility/2006">
          <mc:Choice Requires="x14">
            <control shapeId="3080" r:id="rId8" name="Check Box 8">
              <controlPr defaultSize="0" autoFill="0" autoLine="0" autoPict="0">
                <anchor moveWithCells="1">
                  <from>
                    <xdr:col>6</xdr:col>
                    <xdr:colOff>0</xdr:colOff>
                    <xdr:row>11</xdr:row>
                    <xdr:rowOff>177800</xdr:rowOff>
                  </from>
                  <to>
                    <xdr:col>6</xdr:col>
                    <xdr:colOff>495300</xdr:colOff>
                    <xdr:row>13</xdr:row>
                    <xdr:rowOff>0</xdr:rowOff>
                  </to>
                </anchor>
              </controlPr>
            </control>
          </mc:Choice>
        </mc:AlternateContent>
        <mc:AlternateContent xmlns:mc="http://schemas.openxmlformats.org/markup-compatibility/2006">
          <mc:Choice Requires="x14">
            <control shapeId="3081" r:id="rId9" name="Check Box 9">
              <controlPr defaultSize="0" autoFill="0" autoLine="0" autoPict="0">
                <anchor moveWithCells="1">
                  <from>
                    <xdr:col>7</xdr:col>
                    <xdr:colOff>12700</xdr:colOff>
                    <xdr:row>12</xdr:row>
                    <xdr:rowOff>0</xdr:rowOff>
                  </from>
                  <to>
                    <xdr:col>7</xdr:col>
                    <xdr:colOff>469900</xdr:colOff>
                    <xdr:row>13</xdr:row>
                    <xdr:rowOff>12700</xdr:rowOff>
                  </to>
                </anchor>
              </controlPr>
            </control>
          </mc:Choice>
        </mc:AlternateContent>
        <mc:AlternateContent xmlns:mc="http://schemas.openxmlformats.org/markup-compatibility/2006">
          <mc:Choice Requires="x14">
            <control shapeId="3082" r:id="rId10" name="Check Box 10">
              <controlPr defaultSize="0" autoFill="0" autoLine="0" autoPict="0">
                <anchor moveWithCells="1">
                  <from>
                    <xdr:col>5</xdr:col>
                    <xdr:colOff>622300</xdr:colOff>
                    <xdr:row>12</xdr:row>
                    <xdr:rowOff>177800</xdr:rowOff>
                  </from>
                  <to>
                    <xdr:col>6</xdr:col>
                    <xdr:colOff>0</xdr:colOff>
                    <xdr:row>14</xdr:row>
                    <xdr:rowOff>12700</xdr:rowOff>
                  </to>
                </anchor>
              </controlPr>
            </control>
          </mc:Choice>
        </mc:AlternateContent>
        <mc:AlternateContent xmlns:mc="http://schemas.openxmlformats.org/markup-compatibility/2006">
          <mc:Choice Requires="x14">
            <control shapeId="3083" r:id="rId11" name="Check Box 11">
              <controlPr defaultSize="0" autoFill="0" autoLine="0" autoPict="0">
                <anchor moveWithCells="1">
                  <from>
                    <xdr:col>6</xdr:col>
                    <xdr:colOff>0</xdr:colOff>
                    <xdr:row>12</xdr:row>
                    <xdr:rowOff>177800</xdr:rowOff>
                  </from>
                  <to>
                    <xdr:col>6</xdr:col>
                    <xdr:colOff>508000</xdr:colOff>
                    <xdr:row>13</xdr:row>
                    <xdr:rowOff>177800</xdr:rowOff>
                  </to>
                </anchor>
              </controlPr>
            </control>
          </mc:Choice>
        </mc:AlternateContent>
        <mc:AlternateContent xmlns:mc="http://schemas.openxmlformats.org/markup-compatibility/2006">
          <mc:Choice Requires="x14">
            <control shapeId="3084" r:id="rId12" name="Check Box 12">
              <controlPr defaultSize="0" autoFill="0" autoLine="0" autoPict="0">
                <anchor moveWithCells="1">
                  <from>
                    <xdr:col>7</xdr:col>
                    <xdr:colOff>0</xdr:colOff>
                    <xdr:row>12</xdr:row>
                    <xdr:rowOff>177800</xdr:rowOff>
                  </from>
                  <to>
                    <xdr:col>7</xdr:col>
                    <xdr:colOff>431800</xdr:colOff>
                    <xdr:row>13</xdr:row>
                    <xdr:rowOff>177800</xdr:rowOff>
                  </to>
                </anchor>
              </controlPr>
            </control>
          </mc:Choice>
        </mc:AlternateContent>
        <mc:AlternateContent xmlns:mc="http://schemas.openxmlformats.org/markup-compatibility/2006">
          <mc:Choice Requires="x14">
            <control shapeId="3085" r:id="rId13" name="Check Box 13">
              <controlPr defaultSize="0" autoFill="0" autoLine="0" autoPict="0">
                <anchor moveWithCells="1">
                  <from>
                    <xdr:col>5</xdr:col>
                    <xdr:colOff>647700</xdr:colOff>
                    <xdr:row>28</xdr:row>
                    <xdr:rowOff>177800</xdr:rowOff>
                  </from>
                  <to>
                    <xdr:col>6</xdr:col>
                    <xdr:colOff>12700</xdr:colOff>
                    <xdr:row>30</xdr:row>
                    <xdr:rowOff>25400</xdr:rowOff>
                  </to>
                </anchor>
              </controlPr>
            </control>
          </mc:Choice>
        </mc:AlternateContent>
        <mc:AlternateContent xmlns:mc="http://schemas.openxmlformats.org/markup-compatibility/2006">
          <mc:Choice Requires="x14">
            <control shapeId="3086" r:id="rId14" name="Check Box 14">
              <controlPr defaultSize="0" autoFill="0" autoLine="0" autoPict="0">
                <anchor moveWithCells="1">
                  <from>
                    <xdr:col>6</xdr:col>
                    <xdr:colOff>12700</xdr:colOff>
                    <xdr:row>29</xdr:row>
                    <xdr:rowOff>12700</xdr:rowOff>
                  </from>
                  <to>
                    <xdr:col>6</xdr:col>
                    <xdr:colOff>520700</xdr:colOff>
                    <xdr:row>30</xdr:row>
                    <xdr:rowOff>12700</xdr:rowOff>
                  </to>
                </anchor>
              </controlPr>
            </control>
          </mc:Choice>
        </mc:AlternateContent>
        <mc:AlternateContent xmlns:mc="http://schemas.openxmlformats.org/markup-compatibility/2006">
          <mc:Choice Requires="x14">
            <control shapeId="3087" r:id="rId15" name="Check Box 15">
              <controlPr defaultSize="0" autoFill="0" autoLine="0" autoPict="0">
                <anchor moveWithCells="1">
                  <from>
                    <xdr:col>7</xdr:col>
                    <xdr:colOff>12700</xdr:colOff>
                    <xdr:row>29</xdr:row>
                    <xdr:rowOff>25400</xdr:rowOff>
                  </from>
                  <to>
                    <xdr:col>7</xdr:col>
                    <xdr:colOff>431800</xdr:colOff>
                    <xdr:row>30</xdr:row>
                    <xdr:rowOff>0</xdr:rowOff>
                  </to>
                </anchor>
              </controlPr>
            </control>
          </mc:Choice>
        </mc:AlternateContent>
        <mc:AlternateContent xmlns:mc="http://schemas.openxmlformats.org/markup-compatibility/2006">
          <mc:Choice Requires="x14">
            <control shapeId="3088" r:id="rId16" name="Check Box 16">
              <controlPr defaultSize="0" autoFill="0" autoLine="0" autoPict="0">
                <anchor moveWithCells="1">
                  <from>
                    <xdr:col>5</xdr:col>
                    <xdr:colOff>635000</xdr:colOff>
                    <xdr:row>29</xdr:row>
                    <xdr:rowOff>177800</xdr:rowOff>
                  </from>
                  <to>
                    <xdr:col>6</xdr:col>
                    <xdr:colOff>0</xdr:colOff>
                    <xdr:row>31</xdr:row>
                    <xdr:rowOff>25400</xdr:rowOff>
                  </to>
                </anchor>
              </controlPr>
            </control>
          </mc:Choice>
        </mc:AlternateContent>
        <mc:AlternateContent xmlns:mc="http://schemas.openxmlformats.org/markup-compatibility/2006">
          <mc:Choice Requires="x14">
            <control shapeId="3089" r:id="rId17" name="Check Box 17">
              <controlPr defaultSize="0" autoFill="0" autoLine="0" autoPict="0">
                <anchor moveWithCells="1">
                  <from>
                    <xdr:col>6</xdr:col>
                    <xdr:colOff>25400</xdr:colOff>
                    <xdr:row>30</xdr:row>
                    <xdr:rowOff>12700</xdr:rowOff>
                  </from>
                  <to>
                    <xdr:col>6</xdr:col>
                    <xdr:colOff>482600</xdr:colOff>
                    <xdr:row>31</xdr:row>
                    <xdr:rowOff>12700</xdr:rowOff>
                  </to>
                </anchor>
              </controlPr>
            </control>
          </mc:Choice>
        </mc:AlternateContent>
        <mc:AlternateContent xmlns:mc="http://schemas.openxmlformats.org/markup-compatibility/2006">
          <mc:Choice Requires="x14">
            <control shapeId="3090" r:id="rId18" name="Check Box 18">
              <controlPr defaultSize="0" autoFill="0" autoLine="0" autoPict="0">
                <anchor moveWithCells="1">
                  <from>
                    <xdr:col>7</xdr:col>
                    <xdr:colOff>12700</xdr:colOff>
                    <xdr:row>30</xdr:row>
                    <xdr:rowOff>0</xdr:rowOff>
                  </from>
                  <to>
                    <xdr:col>7</xdr:col>
                    <xdr:colOff>444500</xdr:colOff>
                    <xdr:row>31</xdr:row>
                    <xdr:rowOff>12700</xdr:rowOff>
                  </to>
                </anchor>
              </controlPr>
            </control>
          </mc:Choice>
        </mc:AlternateContent>
        <mc:AlternateContent xmlns:mc="http://schemas.openxmlformats.org/markup-compatibility/2006">
          <mc:Choice Requires="x14">
            <control shapeId="3091" r:id="rId19" name="Check Box 19">
              <controlPr defaultSize="0" autoFill="0" autoLine="0" autoPict="0">
                <anchor moveWithCells="1">
                  <from>
                    <xdr:col>5</xdr:col>
                    <xdr:colOff>635000</xdr:colOff>
                    <xdr:row>30</xdr:row>
                    <xdr:rowOff>177800</xdr:rowOff>
                  </from>
                  <to>
                    <xdr:col>6</xdr:col>
                    <xdr:colOff>0</xdr:colOff>
                    <xdr:row>32</xdr:row>
                    <xdr:rowOff>12700</xdr:rowOff>
                  </to>
                </anchor>
              </controlPr>
            </control>
          </mc:Choice>
        </mc:AlternateContent>
        <mc:AlternateContent xmlns:mc="http://schemas.openxmlformats.org/markup-compatibility/2006">
          <mc:Choice Requires="x14">
            <control shapeId="3092" r:id="rId20" name="Check Box 20">
              <controlPr defaultSize="0" autoFill="0" autoLine="0" autoPict="0">
                <anchor moveWithCells="1">
                  <from>
                    <xdr:col>6</xdr:col>
                    <xdr:colOff>25400</xdr:colOff>
                    <xdr:row>30</xdr:row>
                    <xdr:rowOff>177800</xdr:rowOff>
                  </from>
                  <to>
                    <xdr:col>6</xdr:col>
                    <xdr:colOff>533400</xdr:colOff>
                    <xdr:row>32</xdr:row>
                    <xdr:rowOff>0</xdr:rowOff>
                  </to>
                </anchor>
              </controlPr>
            </control>
          </mc:Choice>
        </mc:AlternateContent>
        <mc:AlternateContent xmlns:mc="http://schemas.openxmlformats.org/markup-compatibility/2006">
          <mc:Choice Requires="x14">
            <control shapeId="3093" r:id="rId21" name="Check Box 21">
              <controlPr defaultSize="0" autoFill="0" autoLine="0" autoPict="0">
                <anchor moveWithCells="1">
                  <from>
                    <xdr:col>7</xdr:col>
                    <xdr:colOff>25400</xdr:colOff>
                    <xdr:row>31</xdr:row>
                    <xdr:rowOff>25400</xdr:rowOff>
                  </from>
                  <to>
                    <xdr:col>7</xdr:col>
                    <xdr:colOff>558800</xdr:colOff>
                    <xdr:row>32</xdr:row>
                    <xdr:rowOff>12700</xdr:rowOff>
                  </to>
                </anchor>
              </controlPr>
            </control>
          </mc:Choice>
        </mc:AlternateContent>
        <mc:AlternateContent xmlns:mc="http://schemas.openxmlformats.org/markup-compatibility/2006">
          <mc:Choice Requires="x14">
            <control shapeId="3094" r:id="rId22" name="Check Box 22">
              <controlPr defaultSize="0" autoFill="0" autoLine="0" autoPict="0">
                <anchor moveWithCells="1">
                  <from>
                    <xdr:col>5</xdr:col>
                    <xdr:colOff>647700</xdr:colOff>
                    <xdr:row>31</xdr:row>
                    <xdr:rowOff>165100</xdr:rowOff>
                  </from>
                  <to>
                    <xdr:col>6</xdr:col>
                    <xdr:colOff>12700</xdr:colOff>
                    <xdr:row>33</xdr:row>
                    <xdr:rowOff>0</xdr:rowOff>
                  </to>
                </anchor>
              </controlPr>
            </control>
          </mc:Choice>
        </mc:AlternateContent>
        <mc:AlternateContent xmlns:mc="http://schemas.openxmlformats.org/markup-compatibility/2006">
          <mc:Choice Requires="x14">
            <control shapeId="3095" r:id="rId23" name="Check Box 23">
              <controlPr defaultSize="0" autoFill="0" autoLine="0" autoPict="0">
                <anchor moveWithCells="1">
                  <from>
                    <xdr:col>6</xdr:col>
                    <xdr:colOff>38100</xdr:colOff>
                    <xdr:row>32</xdr:row>
                    <xdr:rowOff>12700</xdr:rowOff>
                  </from>
                  <to>
                    <xdr:col>6</xdr:col>
                    <xdr:colOff>482600</xdr:colOff>
                    <xdr:row>33</xdr:row>
                    <xdr:rowOff>25400</xdr:rowOff>
                  </to>
                </anchor>
              </controlPr>
            </control>
          </mc:Choice>
        </mc:AlternateContent>
        <mc:AlternateContent xmlns:mc="http://schemas.openxmlformats.org/markup-compatibility/2006">
          <mc:Choice Requires="x14">
            <control shapeId="3096" r:id="rId24" name="Check Box 24">
              <controlPr defaultSize="0" autoFill="0" autoLine="0" autoPict="0">
                <anchor moveWithCells="1">
                  <from>
                    <xdr:col>7</xdr:col>
                    <xdr:colOff>25400</xdr:colOff>
                    <xdr:row>32</xdr:row>
                    <xdr:rowOff>25400</xdr:rowOff>
                  </from>
                  <to>
                    <xdr:col>7</xdr:col>
                    <xdr:colOff>482600</xdr:colOff>
                    <xdr:row>33</xdr:row>
                    <xdr:rowOff>0</xdr:rowOff>
                  </to>
                </anchor>
              </controlPr>
            </control>
          </mc:Choice>
        </mc:AlternateContent>
        <mc:AlternateContent xmlns:mc="http://schemas.openxmlformats.org/markup-compatibility/2006">
          <mc:Choice Requires="x14">
            <control shapeId="3097" r:id="rId25" name="Check Box 25">
              <controlPr defaultSize="0" autoFill="0" autoLine="0" autoPict="0">
                <anchor moveWithCells="1">
                  <from>
                    <xdr:col>5</xdr:col>
                    <xdr:colOff>647700</xdr:colOff>
                    <xdr:row>32</xdr:row>
                    <xdr:rowOff>177800</xdr:rowOff>
                  </from>
                  <to>
                    <xdr:col>6</xdr:col>
                    <xdr:colOff>12700</xdr:colOff>
                    <xdr:row>34</xdr:row>
                    <xdr:rowOff>12700</xdr:rowOff>
                  </to>
                </anchor>
              </controlPr>
            </control>
          </mc:Choice>
        </mc:AlternateContent>
        <mc:AlternateContent xmlns:mc="http://schemas.openxmlformats.org/markup-compatibility/2006">
          <mc:Choice Requires="x14">
            <control shapeId="3098" r:id="rId26" name="Check Box 26">
              <controlPr defaultSize="0" autoFill="0" autoLine="0" autoPict="0">
                <anchor moveWithCells="1">
                  <from>
                    <xdr:col>5</xdr:col>
                    <xdr:colOff>635000</xdr:colOff>
                    <xdr:row>33</xdr:row>
                    <xdr:rowOff>177800</xdr:rowOff>
                  </from>
                  <to>
                    <xdr:col>6</xdr:col>
                    <xdr:colOff>0</xdr:colOff>
                    <xdr:row>35</xdr:row>
                    <xdr:rowOff>12700</xdr:rowOff>
                  </to>
                </anchor>
              </controlPr>
            </control>
          </mc:Choice>
        </mc:AlternateContent>
        <mc:AlternateContent xmlns:mc="http://schemas.openxmlformats.org/markup-compatibility/2006">
          <mc:Choice Requires="x14">
            <control shapeId="3099" r:id="rId27" name="Check Box 27">
              <controlPr defaultSize="0" autoFill="0" autoLine="0" autoPict="0">
                <anchor moveWithCells="1">
                  <from>
                    <xdr:col>5</xdr:col>
                    <xdr:colOff>647700</xdr:colOff>
                    <xdr:row>35</xdr:row>
                    <xdr:rowOff>0</xdr:rowOff>
                  </from>
                  <to>
                    <xdr:col>6</xdr:col>
                    <xdr:colOff>12700</xdr:colOff>
                    <xdr:row>36</xdr:row>
                    <xdr:rowOff>25400</xdr:rowOff>
                  </to>
                </anchor>
              </controlPr>
            </control>
          </mc:Choice>
        </mc:AlternateContent>
        <mc:AlternateContent xmlns:mc="http://schemas.openxmlformats.org/markup-compatibility/2006">
          <mc:Choice Requires="x14">
            <control shapeId="3100" r:id="rId28" name="Check Box 28">
              <controlPr defaultSize="0" autoFill="0" autoLine="0" autoPict="0">
                <anchor moveWithCells="1">
                  <from>
                    <xdr:col>5</xdr:col>
                    <xdr:colOff>647700</xdr:colOff>
                    <xdr:row>36</xdr:row>
                    <xdr:rowOff>0</xdr:rowOff>
                  </from>
                  <to>
                    <xdr:col>6</xdr:col>
                    <xdr:colOff>12700</xdr:colOff>
                    <xdr:row>37</xdr:row>
                    <xdr:rowOff>25400</xdr:rowOff>
                  </to>
                </anchor>
              </controlPr>
            </control>
          </mc:Choice>
        </mc:AlternateContent>
        <mc:AlternateContent xmlns:mc="http://schemas.openxmlformats.org/markup-compatibility/2006">
          <mc:Choice Requires="x14">
            <control shapeId="3101" r:id="rId29" name="Check Box 29">
              <controlPr defaultSize="0" autoFill="0" autoLine="0" autoPict="0">
                <anchor moveWithCells="1">
                  <from>
                    <xdr:col>5</xdr:col>
                    <xdr:colOff>635000</xdr:colOff>
                    <xdr:row>37</xdr:row>
                    <xdr:rowOff>0</xdr:rowOff>
                  </from>
                  <to>
                    <xdr:col>6</xdr:col>
                    <xdr:colOff>0</xdr:colOff>
                    <xdr:row>38</xdr:row>
                    <xdr:rowOff>25400</xdr:rowOff>
                  </to>
                </anchor>
              </controlPr>
            </control>
          </mc:Choice>
        </mc:AlternateContent>
        <mc:AlternateContent xmlns:mc="http://schemas.openxmlformats.org/markup-compatibility/2006">
          <mc:Choice Requires="x14">
            <control shapeId="3102" r:id="rId30" name="Check Box 30">
              <controlPr defaultSize="0" autoFill="0" autoLine="0" autoPict="0">
                <anchor moveWithCells="1">
                  <from>
                    <xdr:col>5</xdr:col>
                    <xdr:colOff>635000</xdr:colOff>
                    <xdr:row>37</xdr:row>
                    <xdr:rowOff>177800</xdr:rowOff>
                  </from>
                  <to>
                    <xdr:col>6</xdr:col>
                    <xdr:colOff>0</xdr:colOff>
                    <xdr:row>39</xdr:row>
                    <xdr:rowOff>25400</xdr:rowOff>
                  </to>
                </anchor>
              </controlPr>
            </control>
          </mc:Choice>
        </mc:AlternateContent>
        <mc:AlternateContent xmlns:mc="http://schemas.openxmlformats.org/markup-compatibility/2006">
          <mc:Choice Requires="x14">
            <control shapeId="3112" r:id="rId31" name="Check Box 40">
              <controlPr defaultSize="0" autoFill="0" autoLine="0" autoPict="0">
                <anchor moveWithCells="1">
                  <from>
                    <xdr:col>6</xdr:col>
                    <xdr:colOff>38100</xdr:colOff>
                    <xdr:row>33</xdr:row>
                    <xdr:rowOff>0</xdr:rowOff>
                  </from>
                  <to>
                    <xdr:col>6</xdr:col>
                    <xdr:colOff>520700</xdr:colOff>
                    <xdr:row>33</xdr:row>
                    <xdr:rowOff>177800</xdr:rowOff>
                  </to>
                </anchor>
              </controlPr>
            </control>
          </mc:Choice>
        </mc:AlternateContent>
        <mc:AlternateContent xmlns:mc="http://schemas.openxmlformats.org/markup-compatibility/2006">
          <mc:Choice Requires="x14">
            <control shapeId="3113" r:id="rId32" name="Check Box 41">
              <controlPr defaultSize="0" autoFill="0" autoLine="0" autoPict="0">
                <anchor moveWithCells="1">
                  <from>
                    <xdr:col>6</xdr:col>
                    <xdr:colOff>50800</xdr:colOff>
                    <xdr:row>34</xdr:row>
                    <xdr:rowOff>0</xdr:rowOff>
                  </from>
                  <to>
                    <xdr:col>6</xdr:col>
                    <xdr:colOff>520700</xdr:colOff>
                    <xdr:row>34</xdr:row>
                    <xdr:rowOff>177800</xdr:rowOff>
                  </to>
                </anchor>
              </controlPr>
            </control>
          </mc:Choice>
        </mc:AlternateContent>
        <mc:AlternateContent xmlns:mc="http://schemas.openxmlformats.org/markup-compatibility/2006">
          <mc:Choice Requires="x14">
            <control shapeId="3114" r:id="rId33" name="Check Box 42">
              <controlPr defaultSize="0" autoFill="0" autoLine="0" autoPict="0">
                <anchor moveWithCells="1">
                  <from>
                    <xdr:col>6</xdr:col>
                    <xdr:colOff>38100</xdr:colOff>
                    <xdr:row>35</xdr:row>
                    <xdr:rowOff>0</xdr:rowOff>
                  </from>
                  <to>
                    <xdr:col>6</xdr:col>
                    <xdr:colOff>520700</xdr:colOff>
                    <xdr:row>35</xdr:row>
                    <xdr:rowOff>177800</xdr:rowOff>
                  </to>
                </anchor>
              </controlPr>
            </control>
          </mc:Choice>
        </mc:AlternateContent>
        <mc:AlternateContent xmlns:mc="http://schemas.openxmlformats.org/markup-compatibility/2006">
          <mc:Choice Requires="x14">
            <control shapeId="3115" r:id="rId34" name="Check Box 43">
              <controlPr defaultSize="0" autoFill="0" autoLine="0" autoPict="0">
                <anchor moveWithCells="1">
                  <from>
                    <xdr:col>6</xdr:col>
                    <xdr:colOff>50800</xdr:colOff>
                    <xdr:row>36</xdr:row>
                    <xdr:rowOff>12700</xdr:rowOff>
                  </from>
                  <to>
                    <xdr:col>6</xdr:col>
                    <xdr:colOff>546100</xdr:colOff>
                    <xdr:row>37</xdr:row>
                    <xdr:rowOff>12700</xdr:rowOff>
                  </to>
                </anchor>
              </controlPr>
            </control>
          </mc:Choice>
        </mc:AlternateContent>
        <mc:AlternateContent xmlns:mc="http://schemas.openxmlformats.org/markup-compatibility/2006">
          <mc:Choice Requires="x14">
            <control shapeId="3116" r:id="rId35" name="Check Box 44">
              <controlPr defaultSize="0" autoFill="0" autoLine="0" autoPict="0">
                <anchor moveWithCells="1">
                  <from>
                    <xdr:col>6</xdr:col>
                    <xdr:colOff>38100</xdr:colOff>
                    <xdr:row>37</xdr:row>
                    <xdr:rowOff>12700</xdr:rowOff>
                  </from>
                  <to>
                    <xdr:col>6</xdr:col>
                    <xdr:colOff>508000</xdr:colOff>
                    <xdr:row>37</xdr:row>
                    <xdr:rowOff>177800</xdr:rowOff>
                  </to>
                </anchor>
              </controlPr>
            </control>
          </mc:Choice>
        </mc:AlternateContent>
        <mc:AlternateContent xmlns:mc="http://schemas.openxmlformats.org/markup-compatibility/2006">
          <mc:Choice Requires="x14">
            <control shapeId="3117" r:id="rId36" name="Check Box 45">
              <controlPr defaultSize="0" autoFill="0" autoLine="0" autoPict="0">
                <anchor moveWithCells="1">
                  <from>
                    <xdr:col>6</xdr:col>
                    <xdr:colOff>50800</xdr:colOff>
                    <xdr:row>38</xdr:row>
                    <xdr:rowOff>12700</xdr:rowOff>
                  </from>
                  <to>
                    <xdr:col>6</xdr:col>
                    <xdr:colOff>558800</xdr:colOff>
                    <xdr:row>38</xdr:row>
                    <xdr:rowOff>165100</xdr:rowOff>
                  </to>
                </anchor>
              </controlPr>
            </control>
          </mc:Choice>
        </mc:AlternateContent>
        <mc:AlternateContent xmlns:mc="http://schemas.openxmlformats.org/markup-compatibility/2006">
          <mc:Choice Requires="x14">
            <control shapeId="3127" r:id="rId37" name="Check Box 55">
              <controlPr defaultSize="0" autoFill="0" autoLine="0" autoPict="0">
                <anchor moveWithCells="1">
                  <from>
                    <xdr:col>7</xdr:col>
                    <xdr:colOff>25400</xdr:colOff>
                    <xdr:row>33</xdr:row>
                    <xdr:rowOff>38100</xdr:rowOff>
                  </from>
                  <to>
                    <xdr:col>7</xdr:col>
                    <xdr:colOff>482600</xdr:colOff>
                    <xdr:row>33</xdr:row>
                    <xdr:rowOff>177800</xdr:rowOff>
                  </to>
                </anchor>
              </controlPr>
            </control>
          </mc:Choice>
        </mc:AlternateContent>
        <mc:AlternateContent xmlns:mc="http://schemas.openxmlformats.org/markup-compatibility/2006">
          <mc:Choice Requires="x14">
            <control shapeId="3128" r:id="rId38" name="Check Box 56">
              <controlPr defaultSize="0" autoFill="0" autoLine="0" autoPict="0">
                <anchor moveWithCells="1">
                  <from>
                    <xdr:col>7</xdr:col>
                    <xdr:colOff>25400</xdr:colOff>
                    <xdr:row>34</xdr:row>
                    <xdr:rowOff>0</xdr:rowOff>
                  </from>
                  <to>
                    <xdr:col>7</xdr:col>
                    <xdr:colOff>482600</xdr:colOff>
                    <xdr:row>35</xdr:row>
                    <xdr:rowOff>12700</xdr:rowOff>
                  </to>
                </anchor>
              </controlPr>
            </control>
          </mc:Choice>
        </mc:AlternateContent>
        <mc:AlternateContent xmlns:mc="http://schemas.openxmlformats.org/markup-compatibility/2006">
          <mc:Choice Requires="x14">
            <control shapeId="3129" r:id="rId39" name="Check Box 57">
              <controlPr defaultSize="0" autoFill="0" autoLine="0" autoPict="0">
                <anchor moveWithCells="1">
                  <from>
                    <xdr:col>7</xdr:col>
                    <xdr:colOff>25400</xdr:colOff>
                    <xdr:row>35</xdr:row>
                    <xdr:rowOff>25400</xdr:rowOff>
                  </from>
                  <to>
                    <xdr:col>7</xdr:col>
                    <xdr:colOff>520700</xdr:colOff>
                    <xdr:row>36</xdr:row>
                    <xdr:rowOff>12700</xdr:rowOff>
                  </to>
                </anchor>
              </controlPr>
            </control>
          </mc:Choice>
        </mc:AlternateContent>
        <mc:AlternateContent xmlns:mc="http://schemas.openxmlformats.org/markup-compatibility/2006">
          <mc:Choice Requires="x14">
            <control shapeId="3130" r:id="rId40" name="Check Box 58">
              <controlPr defaultSize="0" autoFill="0" autoLine="0" autoPict="0">
                <anchor moveWithCells="1">
                  <from>
                    <xdr:col>7</xdr:col>
                    <xdr:colOff>25400</xdr:colOff>
                    <xdr:row>36</xdr:row>
                    <xdr:rowOff>12700</xdr:rowOff>
                  </from>
                  <to>
                    <xdr:col>7</xdr:col>
                    <xdr:colOff>482600</xdr:colOff>
                    <xdr:row>37</xdr:row>
                    <xdr:rowOff>12700</xdr:rowOff>
                  </to>
                </anchor>
              </controlPr>
            </control>
          </mc:Choice>
        </mc:AlternateContent>
        <mc:AlternateContent xmlns:mc="http://schemas.openxmlformats.org/markup-compatibility/2006">
          <mc:Choice Requires="x14">
            <control shapeId="3131" r:id="rId41" name="Check Box 59">
              <controlPr defaultSize="0" autoFill="0" autoLine="0" autoPict="0">
                <anchor moveWithCells="1">
                  <from>
                    <xdr:col>7</xdr:col>
                    <xdr:colOff>25400</xdr:colOff>
                    <xdr:row>37</xdr:row>
                    <xdr:rowOff>0</xdr:rowOff>
                  </from>
                  <to>
                    <xdr:col>7</xdr:col>
                    <xdr:colOff>482600</xdr:colOff>
                    <xdr:row>38</xdr:row>
                    <xdr:rowOff>25400</xdr:rowOff>
                  </to>
                </anchor>
              </controlPr>
            </control>
          </mc:Choice>
        </mc:AlternateContent>
        <mc:AlternateContent xmlns:mc="http://schemas.openxmlformats.org/markup-compatibility/2006">
          <mc:Choice Requires="x14">
            <control shapeId="3132" r:id="rId42" name="Check Box 60">
              <controlPr defaultSize="0" autoFill="0" autoLine="0" autoPict="0">
                <anchor moveWithCells="1">
                  <from>
                    <xdr:col>7</xdr:col>
                    <xdr:colOff>25400</xdr:colOff>
                    <xdr:row>37</xdr:row>
                    <xdr:rowOff>177800</xdr:rowOff>
                  </from>
                  <to>
                    <xdr:col>7</xdr:col>
                    <xdr:colOff>457200</xdr:colOff>
                    <xdr:row>39</xdr:row>
                    <xdr:rowOff>12700</xdr:rowOff>
                  </to>
                </anchor>
              </controlPr>
            </control>
          </mc:Choice>
        </mc:AlternateContent>
        <mc:AlternateContent xmlns:mc="http://schemas.openxmlformats.org/markup-compatibility/2006">
          <mc:Choice Requires="x14">
            <control shapeId="3142" r:id="rId43" name="Check Box 70">
              <controlPr defaultSize="0" autoFill="0" autoLine="0" autoPict="0">
                <anchor moveWithCells="1">
                  <from>
                    <xdr:col>5</xdr:col>
                    <xdr:colOff>647700</xdr:colOff>
                    <xdr:row>58</xdr:row>
                    <xdr:rowOff>177800</xdr:rowOff>
                  </from>
                  <to>
                    <xdr:col>6</xdr:col>
                    <xdr:colOff>25400</xdr:colOff>
                    <xdr:row>59</xdr:row>
                    <xdr:rowOff>165100</xdr:rowOff>
                  </to>
                </anchor>
              </controlPr>
            </control>
          </mc:Choice>
        </mc:AlternateContent>
        <mc:AlternateContent xmlns:mc="http://schemas.openxmlformats.org/markup-compatibility/2006">
          <mc:Choice Requires="x14">
            <control shapeId="3143" r:id="rId44" name="Check Box 71">
              <controlPr defaultSize="0" autoFill="0" autoLine="0" autoPict="0">
                <anchor moveWithCells="1">
                  <from>
                    <xdr:col>5</xdr:col>
                    <xdr:colOff>635000</xdr:colOff>
                    <xdr:row>59</xdr:row>
                    <xdr:rowOff>177800</xdr:rowOff>
                  </from>
                  <to>
                    <xdr:col>6</xdr:col>
                    <xdr:colOff>38100</xdr:colOff>
                    <xdr:row>61</xdr:row>
                    <xdr:rowOff>0</xdr:rowOff>
                  </to>
                </anchor>
              </controlPr>
            </control>
          </mc:Choice>
        </mc:AlternateContent>
        <mc:AlternateContent xmlns:mc="http://schemas.openxmlformats.org/markup-compatibility/2006">
          <mc:Choice Requires="x14">
            <control shapeId="3144" r:id="rId45" name="Check Box 72">
              <controlPr defaultSize="0" autoFill="0" autoLine="0" autoPict="0">
                <anchor moveWithCells="1">
                  <from>
                    <xdr:col>5</xdr:col>
                    <xdr:colOff>622300</xdr:colOff>
                    <xdr:row>62</xdr:row>
                    <xdr:rowOff>0</xdr:rowOff>
                  </from>
                  <to>
                    <xdr:col>6</xdr:col>
                    <xdr:colOff>25400</xdr:colOff>
                    <xdr:row>62</xdr:row>
                    <xdr:rowOff>177800</xdr:rowOff>
                  </to>
                </anchor>
              </controlPr>
            </control>
          </mc:Choice>
        </mc:AlternateContent>
        <mc:AlternateContent xmlns:mc="http://schemas.openxmlformats.org/markup-compatibility/2006">
          <mc:Choice Requires="x14">
            <control shapeId="3145" r:id="rId46" name="Check Box 73">
              <controlPr defaultSize="0" autoFill="0" autoLine="0" autoPict="0">
                <anchor moveWithCells="1">
                  <from>
                    <xdr:col>6</xdr:col>
                    <xdr:colOff>25400</xdr:colOff>
                    <xdr:row>57</xdr:row>
                    <xdr:rowOff>25400</xdr:rowOff>
                  </from>
                  <to>
                    <xdr:col>6</xdr:col>
                    <xdr:colOff>533400</xdr:colOff>
                    <xdr:row>58</xdr:row>
                    <xdr:rowOff>25400</xdr:rowOff>
                  </to>
                </anchor>
              </controlPr>
            </control>
          </mc:Choice>
        </mc:AlternateContent>
        <mc:AlternateContent xmlns:mc="http://schemas.openxmlformats.org/markup-compatibility/2006">
          <mc:Choice Requires="x14">
            <control shapeId="3146" r:id="rId47" name="Check Box 74">
              <controlPr defaultSize="0" autoFill="0" autoLine="0" autoPict="0">
                <anchor moveWithCells="1">
                  <from>
                    <xdr:col>6</xdr:col>
                    <xdr:colOff>25400</xdr:colOff>
                    <xdr:row>58</xdr:row>
                    <xdr:rowOff>0</xdr:rowOff>
                  </from>
                  <to>
                    <xdr:col>6</xdr:col>
                    <xdr:colOff>533400</xdr:colOff>
                    <xdr:row>59</xdr:row>
                    <xdr:rowOff>12700</xdr:rowOff>
                  </to>
                </anchor>
              </controlPr>
            </control>
          </mc:Choice>
        </mc:AlternateContent>
        <mc:AlternateContent xmlns:mc="http://schemas.openxmlformats.org/markup-compatibility/2006">
          <mc:Choice Requires="x14">
            <control shapeId="3147" r:id="rId48" name="Check Box 75">
              <controlPr defaultSize="0" autoFill="0" autoLine="0" autoPict="0">
                <anchor moveWithCells="1">
                  <from>
                    <xdr:col>6</xdr:col>
                    <xdr:colOff>25400</xdr:colOff>
                    <xdr:row>59</xdr:row>
                    <xdr:rowOff>12700</xdr:rowOff>
                  </from>
                  <to>
                    <xdr:col>6</xdr:col>
                    <xdr:colOff>457200</xdr:colOff>
                    <xdr:row>60</xdr:row>
                    <xdr:rowOff>12700</xdr:rowOff>
                  </to>
                </anchor>
              </controlPr>
            </control>
          </mc:Choice>
        </mc:AlternateContent>
        <mc:AlternateContent xmlns:mc="http://schemas.openxmlformats.org/markup-compatibility/2006">
          <mc:Choice Requires="x14">
            <control shapeId="3148" r:id="rId49" name="Check Box 76">
              <controlPr defaultSize="0" autoFill="0" autoLine="0" autoPict="0">
                <anchor moveWithCells="1">
                  <from>
                    <xdr:col>6</xdr:col>
                    <xdr:colOff>25400</xdr:colOff>
                    <xdr:row>59</xdr:row>
                    <xdr:rowOff>177800</xdr:rowOff>
                  </from>
                  <to>
                    <xdr:col>6</xdr:col>
                    <xdr:colOff>546100</xdr:colOff>
                    <xdr:row>60</xdr:row>
                    <xdr:rowOff>177800</xdr:rowOff>
                  </to>
                </anchor>
              </controlPr>
            </control>
          </mc:Choice>
        </mc:AlternateContent>
        <mc:AlternateContent xmlns:mc="http://schemas.openxmlformats.org/markup-compatibility/2006">
          <mc:Choice Requires="x14">
            <control shapeId="3149" r:id="rId50" name="Check Box 77">
              <controlPr defaultSize="0" autoFill="0" autoLine="0" autoPict="0">
                <anchor moveWithCells="1">
                  <from>
                    <xdr:col>6</xdr:col>
                    <xdr:colOff>25400</xdr:colOff>
                    <xdr:row>61</xdr:row>
                    <xdr:rowOff>177800</xdr:rowOff>
                  </from>
                  <to>
                    <xdr:col>6</xdr:col>
                    <xdr:colOff>546100</xdr:colOff>
                    <xdr:row>63</xdr:row>
                    <xdr:rowOff>0</xdr:rowOff>
                  </to>
                </anchor>
              </controlPr>
            </control>
          </mc:Choice>
        </mc:AlternateContent>
        <mc:AlternateContent xmlns:mc="http://schemas.openxmlformats.org/markup-compatibility/2006">
          <mc:Choice Requires="x14">
            <control shapeId="3150" r:id="rId51" name="Check Box 78">
              <controlPr defaultSize="0" autoFill="0" autoLine="0" autoPict="0">
                <anchor moveWithCells="1">
                  <from>
                    <xdr:col>7</xdr:col>
                    <xdr:colOff>12700</xdr:colOff>
                    <xdr:row>57</xdr:row>
                    <xdr:rowOff>25400</xdr:rowOff>
                  </from>
                  <to>
                    <xdr:col>7</xdr:col>
                    <xdr:colOff>520700</xdr:colOff>
                    <xdr:row>58</xdr:row>
                    <xdr:rowOff>38100</xdr:rowOff>
                  </to>
                </anchor>
              </controlPr>
            </control>
          </mc:Choice>
        </mc:AlternateContent>
        <mc:AlternateContent xmlns:mc="http://schemas.openxmlformats.org/markup-compatibility/2006">
          <mc:Choice Requires="x14">
            <control shapeId="3151" r:id="rId52" name="Check Box 79">
              <controlPr defaultSize="0" autoFill="0" autoLine="0" autoPict="0">
                <anchor moveWithCells="1">
                  <from>
                    <xdr:col>7</xdr:col>
                    <xdr:colOff>0</xdr:colOff>
                    <xdr:row>58</xdr:row>
                    <xdr:rowOff>25400</xdr:rowOff>
                  </from>
                  <to>
                    <xdr:col>7</xdr:col>
                    <xdr:colOff>520700</xdr:colOff>
                    <xdr:row>59</xdr:row>
                    <xdr:rowOff>38100</xdr:rowOff>
                  </to>
                </anchor>
              </controlPr>
            </control>
          </mc:Choice>
        </mc:AlternateContent>
        <mc:AlternateContent xmlns:mc="http://schemas.openxmlformats.org/markup-compatibility/2006">
          <mc:Choice Requires="x14">
            <control shapeId="3152" r:id="rId53" name="Check Box 80">
              <controlPr defaultSize="0" autoFill="0" autoLine="0" autoPict="0">
                <anchor moveWithCells="1">
                  <from>
                    <xdr:col>7</xdr:col>
                    <xdr:colOff>0</xdr:colOff>
                    <xdr:row>59</xdr:row>
                    <xdr:rowOff>25400</xdr:rowOff>
                  </from>
                  <to>
                    <xdr:col>7</xdr:col>
                    <xdr:colOff>508000</xdr:colOff>
                    <xdr:row>60</xdr:row>
                    <xdr:rowOff>50800</xdr:rowOff>
                  </to>
                </anchor>
              </controlPr>
            </control>
          </mc:Choice>
        </mc:AlternateContent>
        <mc:AlternateContent xmlns:mc="http://schemas.openxmlformats.org/markup-compatibility/2006">
          <mc:Choice Requires="x14">
            <control shapeId="3153" r:id="rId54" name="Check Box 81">
              <controlPr defaultSize="0" autoFill="0" autoLine="0" autoPict="0">
                <anchor moveWithCells="1">
                  <from>
                    <xdr:col>7</xdr:col>
                    <xdr:colOff>12700</xdr:colOff>
                    <xdr:row>60</xdr:row>
                    <xdr:rowOff>25400</xdr:rowOff>
                  </from>
                  <to>
                    <xdr:col>7</xdr:col>
                    <xdr:colOff>546100</xdr:colOff>
                    <xdr:row>61</xdr:row>
                    <xdr:rowOff>25400</xdr:rowOff>
                  </to>
                </anchor>
              </controlPr>
            </control>
          </mc:Choice>
        </mc:AlternateContent>
        <mc:AlternateContent xmlns:mc="http://schemas.openxmlformats.org/markup-compatibility/2006">
          <mc:Choice Requires="x14">
            <control shapeId="3154" r:id="rId55" name="Check Box 82">
              <controlPr defaultSize="0" autoFill="0" autoLine="0" autoPict="0">
                <anchor moveWithCells="1">
                  <from>
                    <xdr:col>7</xdr:col>
                    <xdr:colOff>0</xdr:colOff>
                    <xdr:row>62</xdr:row>
                    <xdr:rowOff>0</xdr:rowOff>
                  </from>
                  <to>
                    <xdr:col>7</xdr:col>
                    <xdr:colOff>546100</xdr:colOff>
                    <xdr:row>62</xdr:row>
                    <xdr:rowOff>177800</xdr:rowOff>
                  </to>
                </anchor>
              </controlPr>
            </control>
          </mc:Choice>
        </mc:AlternateContent>
        <mc:AlternateContent xmlns:mc="http://schemas.openxmlformats.org/markup-compatibility/2006">
          <mc:Choice Requires="x14">
            <control shapeId="3155" r:id="rId56" name="Check Box 83">
              <controlPr defaultSize="0" autoFill="0" autoLine="0" autoPict="0">
                <anchor moveWithCells="1">
                  <from>
                    <xdr:col>6</xdr:col>
                    <xdr:colOff>0</xdr:colOff>
                    <xdr:row>75</xdr:row>
                    <xdr:rowOff>177800</xdr:rowOff>
                  </from>
                  <to>
                    <xdr:col>6</xdr:col>
                    <xdr:colOff>444500</xdr:colOff>
                    <xdr:row>77</xdr:row>
                    <xdr:rowOff>25400</xdr:rowOff>
                  </to>
                </anchor>
              </controlPr>
            </control>
          </mc:Choice>
        </mc:AlternateContent>
        <mc:AlternateContent xmlns:mc="http://schemas.openxmlformats.org/markup-compatibility/2006">
          <mc:Choice Requires="x14">
            <control shapeId="3156" r:id="rId57" name="Check Box 84">
              <controlPr defaultSize="0" autoFill="0" autoLine="0" autoPict="0">
                <anchor moveWithCells="1">
                  <from>
                    <xdr:col>6</xdr:col>
                    <xdr:colOff>0</xdr:colOff>
                    <xdr:row>77</xdr:row>
                    <xdr:rowOff>12700</xdr:rowOff>
                  </from>
                  <to>
                    <xdr:col>6</xdr:col>
                    <xdr:colOff>495300</xdr:colOff>
                    <xdr:row>78</xdr:row>
                    <xdr:rowOff>25400</xdr:rowOff>
                  </to>
                </anchor>
              </controlPr>
            </control>
          </mc:Choice>
        </mc:AlternateContent>
        <mc:AlternateContent xmlns:mc="http://schemas.openxmlformats.org/markup-compatibility/2006">
          <mc:Choice Requires="x14">
            <control shapeId="3157" r:id="rId58" name="Check Box 85">
              <controlPr defaultSize="0" autoFill="0" autoLine="0" autoPict="0">
                <anchor moveWithCells="1">
                  <from>
                    <xdr:col>6</xdr:col>
                    <xdr:colOff>0</xdr:colOff>
                    <xdr:row>78</xdr:row>
                    <xdr:rowOff>12700</xdr:rowOff>
                  </from>
                  <to>
                    <xdr:col>6</xdr:col>
                    <xdr:colOff>482600</xdr:colOff>
                    <xdr:row>79</xdr:row>
                    <xdr:rowOff>38100</xdr:rowOff>
                  </to>
                </anchor>
              </controlPr>
            </control>
          </mc:Choice>
        </mc:AlternateContent>
        <mc:AlternateContent xmlns:mc="http://schemas.openxmlformats.org/markup-compatibility/2006">
          <mc:Choice Requires="x14">
            <control shapeId="3158" r:id="rId59" name="Check Box 86">
              <controlPr defaultSize="0" autoFill="0" autoLine="0" autoPict="0">
                <anchor moveWithCells="1">
                  <from>
                    <xdr:col>6</xdr:col>
                    <xdr:colOff>0</xdr:colOff>
                    <xdr:row>78</xdr:row>
                    <xdr:rowOff>177800</xdr:rowOff>
                  </from>
                  <to>
                    <xdr:col>6</xdr:col>
                    <xdr:colOff>495300</xdr:colOff>
                    <xdr:row>80</xdr:row>
                    <xdr:rowOff>25400</xdr:rowOff>
                  </to>
                </anchor>
              </controlPr>
            </control>
          </mc:Choice>
        </mc:AlternateContent>
        <mc:AlternateContent xmlns:mc="http://schemas.openxmlformats.org/markup-compatibility/2006">
          <mc:Choice Requires="x14">
            <control shapeId="3159" r:id="rId60" name="Check Box 87">
              <controlPr defaultSize="0" autoFill="0" autoLine="0" autoPict="0">
                <anchor moveWithCells="1">
                  <from>
                    <xdr:col>7</xdr:col>
                    <xdr:colOff>12700</xdr:colOff>
                    <xdr:row>75</xdr:row>
                    <xdr:rowOff>165100</xdr:rowOff>
                  </from>
                  <to>
                    <xdr:col>7</xdr:col>
                    <xdr:colOff>508000</xdr:colOff>
                    <xdr:row>77</xdr:row>
                    <xdr:rowOff>12700</xdr:rowOff>
                  </to>
                </anchor>
              </controlPr>
            </control>
          </mc:Choice>
        </mc:AlternateContent>
        <mc:AlternateContent xmlns:mc="http://schemas.openxmlformats.org/markup-compatibility/2006">
          <mc:Choice Requires="x14">
            <control shapeId="3160" r:id="rId61" name="Check Box 88">
              <controlPr defaultSize="0" autoFill="0" autoLine="0" autoPict="0">
                <anchor moveWithCells="1">
                  <from>
                    <xdr:col>7</xdr:col>
                    <xdr:colOff>12700</xdr:colOff>
                    <xdr:row>77</xdr:row>
                    <xdr:rowOff>0</xdr:rowOff>
                  </from>
                  <to>
                    <xdr:col>7</xdr:col>
                    <xdr:colOff>508000</xdr:colOff>
                    <xdr:row>78</xdr:row>
                    <xdr:rowOff>25400</xdr:rowOff>
                  </to>
                </anchor>
              </controlPr>
            </control>
          </mc:Choice>
        </mc:AlternateContent>
        <mc:AlternateContent xmlns:mc="http://schemas.openxmlformats.org/markup-compatibility/2006">
          <mc:Choice Requires="x14">
            <control shapeId="3161" r:id="rId62" name="Check Box 89">
              <controlPr defaultSize="0" autoFill="0" autoLine="0" autoPict="0">
                <anchor moveWithCells="1">
                  <from>
                    <xdr:col>7</xdr:col>
                    <xdr:colOff>0</xdr:colOff>
                    <xdr:row>78</xdr:row>
                    <xdr:rowOff>0</xdr:rowOff>
                  </from>
                  <to>
                    <xdr:col>7</xdr:col>
                    <xdr:colOff>444500</xdr:colOff>
                    <xdr:row>79</xdr:row>
                    <xdr:rowOff>25400</xdr:rowOff>
                  </to>
                </anchor>
              </controlPr>
            </control>
          </mc:Choice>
        </mc:AlternateContent>
        <mc:AlternateContent xmlns:mc="http://schemas.openxmlformats.org/markup-compatibility/2006">
          <mc:Choice Requires="x14">
            <control shapeId="3162" r:id="rId63" name="Check Box 90">
              <controlPr defaultSize="0" autoFill="0" autoLine="0" autoPict="0">
                <anchor moveWithCells="1">
                  <from>
                    <xdr:col>7</xdr:col>
                    <xdr:colOff>12700</xdr:colOff>
                    <xdr:row>78</xdr:row>
                    <xdr:rowOff>177800</xdr:rowOff>
                  </from>
                  <to>
                    <xdr:col>7</xdr:col>
                    <xdr:colOff>482600</xdr:colOff>
                    <xdr:row>80</xdr:row>
                    <xdr:rowOff>25400</xdr:rowOff>
                  </to>
                </anchor>
              </controlPr>
            </control>
          </mc:Choice>
        </mc:AlternateContent>
        <mc:AlternateContent xmlns:mc="http://schemas.openxmlformats.org/markup-compatibility/2006">
          <mc:Choice Requires="x14">
            <control shapeId="3163" r:id="rId64" name="Check Box 91">
              <controlPr defaultSize="0" autoFill="0" autoLine="0" autoPict="0">
                <anchor moveWithCells="1">
                  <from>
                    <xdr:col>5</xdr:col>
                    <xdr:colOff>596900</xdr:colOff>
                    <xdr:row>11</xdr:row>
                    <xdr:rowOff>12700</xdr:rowOff>
                  </from>
                  <to>
                    <xdr:col>6</xdr:col>
                    <xdr:colOff>0</xdr:colOff>
                    <xdr:row>12</xdr:row>
                    <xdr:rowOff>12700</xdr:rowOff>
                  </to>
                </anchor>
              </controlPr>
            </control>
          </mc:Choice>
        </mc:AlternateContent>
        <mc:AlternateContent xmlns:mc="http://schemas.openxmlformats.org/markup-compatibility/2006">
          <mc:Choice Requires="x14">
            <control shapeId="3164" r:id="rId65" name="Check Box 92">
              <controlPr defaultSize="0" autoFill="0" autoLine="0" autoPict="0">
                <anchor moveWithCells="1">
                  <from>
                    <xdr:col>6</xdr:col>
                    <xdr:colOff>0</xdr:colOff>
                    <xdr:row>11</xdr:row>
                    <xdr:rowOff>0</xdr:rowOff>
                  </from>
                  <to>
                    <xdr:col>6</xdr:col>
                    <xdr:colOff>444500</xdr:colOff>
                    <xdr:row>12</xdr:row>
                    <xdr:rowOff>0</xdr:rowOff>
                  </to>
                </anchor>
              </controlPr>
            </control>
          </mc:Choice>
        </mc:AlternateContent>
        <mc:AlternateContent xmlns:mc="http://schemas.openxmlformats.org/markup-compatibility/2006">
          <mc:Choice Requires="x14">
            <control shapeId="3165" r:id="rId66" name="Check Box 93">
              <controlPr defaultSize="0" autoFill="0" autoLine="0" autoPict="0">
                <anchor moveWithCells="1">
                  <from>
                    <xdr:col>7</xdr:col>
                    <xdr:colOff>12700</xdr:colOff>
                    <xdr:row>11</xdr:row>
                    <xdr:rowOff>25400</xdr:rowOff>
                  </from>
                  <to>
                    <xdr:col>7</xdr:col>
                    <xdr:colOff>444500</xdr:colOff>
                    <xdr:row>12</xdr:row>
                    <xdr:rowOff>0</xdr:rowOff>
                  </to>
                </anchor>
              </controlPr>
            </control>
          </mc:Choice>
        </mc:AlternateContent>
        <mc:AlternateContent xmlns:mc="http://schemas.openxmlformats.org/markup-compatibility/2006">
          <mc:Choice Requires="x14">
            <control shapeId="3166" r:id="rId67" name="Check Box 94">
              <controlPr defaultSize="0" autoFill="0" autoLine="0" autoPict="0">
                <anchor moveWithCells="1">
                  <from>
                    <xdr:col>5</xdr:col>
                    <xdr:colOff>609600</xdr:colOff>
                    <xdr:row>14</xdr:row>
                    <xdr:rowOff>25400</xdr:rowOff>
                  </from>
                  <to>
                    <xdr:col>6</xdr:col>
                    <xdr:colOff>0</xdr:colOff>
                    <xdr:row>15</xdr:row>
                    <xdr:rowOff>0</xdr:rowOff>
                  </to>
                </anchor>
              </controlPr>
            </control>
          </mc:Choice>
        </mc:AlternateContent>
        <mc:AlternateContent xmlns:mc="http://schemas.openxmlformats.org/markup-compatibility/2006">
          <mc:Choice Requires="x14">
            <control shapeId="3167" r:id="rId68" name="Check Box 95">
              <controlPr defaultSize="0" autoFill="0" autoLine="0" autoPict="0">
                <anchor moveWithCells="1">
                  <from>
                    <xdr:col>5</xdr:col>
                    <xdr:colOff>609600</xdr:colOff>
                    <xdr:row>15</xdr:row>
                    <xdr:rowOff>50800</xdr:rowOff>
                  </from>
                  <to>
                    <xdr:col>6</xdr:col>
                    <xdr:colOff>0</xdr:colOff>
                    <xdr:row>16</xdr:row>
                    <xdr:rowOff>0</xdr:rowOff>
                  </to>
                </anchor>
              </controlPr>
            </control>
          </mc:Choice>
        </mc:AlternateContent>
        <mc:AlternateContent xmlns:mc="http://schemas.openxmlformats.org/markup-compatibility/2006">
          <mc:Choice Requires="x14">
            <control shapeId="3168" r:id="rId69" name="Check Box 96">
              <controlPr defaultSize="0" autoFill="0" autoLine="0" autoPict="0">
                <anchor moveWithCells="1">
                  <from>
                    <xdr:col>6</xdr:col>
                    <xdr:colOff>0</xdr:colOff>
                    <xdr:row>14</xdr:row>
                    <xdr:rowOff>25400</xdr:rowOff>
                  </from>
                  <to>
                    <xdr:col>6</xdr:col>
                    <xdr:colOff>520700</xdr:colOff>
                    <xdr:row>14</xdr:row>
                    <xdr:rowOff>177800</xdr:rowOff>
                  </to>
                </anchor>
              </controlPr>
            </control>
          </mc:Choice>
        </mc:AlternateContent>
        <mc:AlternateContent xmlns:mc="http://schemas.openxmlformats.org/markup-compatibility/2006">
          <mc:Choice Requires="x14">
            <control shapeId="3169" r:id="rId70" name="Check Box 97">
              <controlPr defaultSize="0" autoFill="0" autoLine="0" autoPict="0">
                <anchor moveWithCells="1">
                  <from>
                    <xdr:col>6</xdr:col>
                    <xdr:colOff>12700</xdr:colOff>
                    <xdr:row>15</xdr:row>
                    <xdr:rowOff>0</xdr:rowOff>
                  </from>
                  <to>
                    <xdr:col>6</xdr:col>
                    <xdr:colOff>482600</xdr:colOff>
                    <xdr:row>16</xdr:row>
                    <xdr:rowOff>25400</xdr:rowOff>
                  </to>
                </anchor>
              </controlPr>
            </control>
          </mc:Choice>
        </mc:AlternateContent>
        <mc:AlternateContent xmlns:mc="http://schemas.openxmlformats.org/markup-compatibility/2006">
          <mc:Choice Requires="x14">
            <control shapeId="3170" r:id="rId71" name="Check Box 98">
              <controlPr defaultSize="0" autoFill="0" autoLine="0" autoPict="0">
                <anchor moveWithCells="1">
                  <from>
                    <xdr:col>7</xdr:col>
                    <xdr:colOff>12700</xdr:colOff>
                    <xdr:row>13</xdr:row>
                    <xdr:rowOff>177800</xdr:rowOff>
                  </from>
                  <to>
                    <xdr:col>7</xdr:col>
                    <xdr:colOff>469900</xdr:colOff>
                    <xdr:row>15</xdr:row>
                    <xdr:rowOff>0</xdr:rowOff>
                  </to>
                </anchor>
              </controlPr>
            </control>
          </mc:Choice>
        </mc:AlternateContent>
        <mc:AlternateContent xmlns:mc="http://schemas.openxmlformats.org/markup-compatibility/2006">
          <mc:Choice Requires="x14">
            <control shapeId="3171" r:id="rId72" name="Check Box 99">
              <controlPr defaultSize="0" autoFill="0" autoLine="0" autoPict="0">
                <anchor moveWithCells="1">
                  <from>
                    <xdr:col>7</xdr:col>
                    <xdr:colOff>25400</xdr:colOff>
                    <xdr:row>14</xdr:row>
                    <xdr:rowOff>165100</xdr:rowOff>
                  </from>
                  <to>
                    <xdr:col>7</xdr:col>
                    <xdr:colOff>508000</xdr:colOff>
                    <xdr:row>16</xdr:row>
                    <xdr:rowOff>0</xdr:rowOff>
                  </to>
                </anchor>
              </controlPr>
            </control>
          </mc:Choice>
        </mc:AlternateContent>
        <mc:AlternateContent xmlns:mc="http://schemas.openxmlformats.org/markup-compatibility/2006">
          <mc:Choice Requires="x14">
            <control shapeId="3172" r:id="rId73" name="Check Box 100">
              <controlPr defaultSize="0" autoFill="0" autoLine="0" autoPict="0">
                <anchor moveWithCells="1">
                  <from>
                    <xdr:col>5</xdr:col>
                    <xdr:colOff>635000</xdr:colOff>
                    <xdr:row>63</xdr:row>
                    <xdr:rowOff>0</xdr:rowOff>
                  </from>
                  <to>
                    <xdr:col>6</xdr:col>
                    <xdr:colOff>0</xdr:colOff>
                    <xdr:row>64</xdr:row>
                    <xdr:rowOff>25400</xdr:rowOff>
                  </to>
                </anchor>
              </controlPr>
            </control>
          </mc:Choice>
        </mc:AlternateContent>
        <mc:AlternateContent xmlns:mc="http://schemas.openxmlformats.org/markup-compatibility/2006">
          <mc:Choice Requires="x14">
            <control shapeId="3173" r:id="rId74" name="Check Box 101">
              <controlPr defaultSize="0" autoFill="0" autoLine="0" autoPict="0">
                <anchor moveWithCells="1">
                  <from>
                    <xdr:col>6</xdr:col>
                    <xdr:colOff>25400</xdr:colOff>
                    <xdr:row>62</xdr:row>
                    <xdr:rowOff>177800</xdr:rowOff>
                  </from>
                  <to>
                    <xdr:col>6</xdr:col>
                    <xdr:colOff>482600</xdr:colOff>
                    <xdr:row>64</xdr:row>
                    <xdr:rowOff>12700</xdr:rowOff>
                  </to>
                </anchor>
              </controlPr>
            </control>
          </mc:Choice>
        </mc:AlternateContent>
        <mc:AlternateContent xmlns:mc="http://schemas.openxmlformats.org/markup-compatibility/2006">
          <mc:Choice Requires="x14">
            <control shapeId="3174" r:id="rId75" name="Check Box 102">
              <controlPr defaultSize="0" autoFill="0" autoLine="0" autoPict="0">
                <anchor moveWithCells="1">
                  <from>
                    <xdr:col>7</xdr:col>
                    <xdr:colOff>0</xdr:colOff>
                    <xdr:row>62</xdr:row>
                    <xdr:rowOff>177800</xdr:rowOff>
                  </from>
                  <to>
                    <xdr:col>7</xdr:col>
                    <xdr:colOff>444500</xdr:colOff>
                    <xdr:row>64</xdr:row>
                    <xdr:rowOff>0</xdr:rowOff>
                  </to>
                </anchor>
              </controlPr>
            </control>
          </mc:Choice>
        </mc:AlternateContent>
        <mc:AlternateContent xmlns:mc="http://schemas.openxmlformats.org/markup-compatibility/2006">
          <mc:Choice Requires="x14">
            <control shapeId="3175" r:id="rId76" name="Check Box 103">
              <controlPr defaultSize="0" autoFill="0" autoLine="0" autoPict="0">
                <anchor moveWithCells="1">
                  <from>
                    <xdr:col>5</xdr:col>
                    <xdr:colOff>596900</xdr:colOff>
                    <xdr:row>16</xdr:row>
                    <xdr:rowOff>25400</xdr:rowOff>
                  </from>
                  <to>
                    <xdr:col>5</xdr:col>
                    <xdr:colOff>1054100</xdr:colOff>
                    <xdr:row>17</xdr:row>
                    <xdr:rowOff>25400</xdr:rowOff>
                  </to>
                </anchor>
              </controlPr>
            </control>
          </mc:Choice>
        </mc:AlternateContent>
        <mc:AlternateContent xmlns:mc="http://schemas.openxmlformats.org/markup-compatibility/2006">
          <mc:Choice Requires="x14">
            <control shapeId="3176" r:id="rId77" name="Check Box 104">
              <controlPr defaultSize="0" autoFill="0" autoLine="0" autoPict="0">
                <anchor moveWithCells="1">
                  <from>
                    <xdr:col>6</xdr:col>
                    <xdr:colOff>12700</xdr:colOff>
                    <xdr:row>16</xdr:row>
                    <xdr:rowOff>38100</xdr:rowOff>
                  </from>
                  <to>
                    <xdr:col>6</xdr:col>
                    <xdr:colOff>482600</xdr:colOff>
                    <xdr:row>17</xdr:row>
                    <xdr:rowOff>25400</xdr:rowOff>
                  </to>
                </anchor>
              </controlPr>
            </control>
          </mc:Choice>
        </mc:AlternateContent>
        <mc:AlternateContent xmlns:mc="http://schemas.openxmlformats.org/markup-compatibility/2006">
          <mc:Choice Requires="x14">
            <control shapeId="3177" r:id="rId78" name="Check Box 105">
              <controlPr defaultSize="0" autoFill="0" autoLine="0" autoPict="0">
                <anchor moveWithCells="1">
                  <from>
                    <xdr:col>7</xdr:col>
                    <xdr:colOff>25400</xdr:colOff>
                    <xdr:row>16</xdr:row>
                    <xdr:rowOff>25400</xdr:rowOff>
                  </from>
                  <to>
                    <xdr:col>7</xdr:col>
                    <xdr:colOff>469900</xdr:colOff>
                    <xdr:row>16</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P411"/>
  <sheetViews>
    <sheetView topLeftCell="A10" workbookViewId="0">
      <selection activeCell="A34" sqref="A34"/>
    </sheetView>
  </sheetViews>
  <sheetFormatPr baseColWidth="10" defaultColWidth="8.83203125" defaultRowHeight="15" x14ac:dyDescent="0.2"/>
  <cols>
    <col min="1" max="1" width="20.1640625" bestFit="1" customWidth="1"/>
    <col min="2" max="3" width="18" bestFit="1" customWidth="1"/>
    <col min="4" max="4" width="82" bestFit="1" customWidth="1"/>
    <col min="5" max="5" width="10.33203125" customWidth="1"/>
    <col min="7" max="7" width="19" bestFit="1" customWidth="1"/>
    <col min="9" max="9" width="10.5" bestFit="1" customWidth="1"/>
    <col min="10" max="10" width="17" bestFit="1" customWidth="1"/>
  </cols>
  <sheetData>
    <row r="1" spans="1:9" x14ac:dyDescent="0.2">
      <c r="A1" s="50" t="s">
        <v>216</v>
      </c>
    </row>
    <row r="2" spans="1:9" x14ac:dyDescent="0.2">
      <c r="F2" s="43">
        <v>0</v>
      </c>
      <c r="G2" s="43"/>
      <c r="H2" s="43" t="s">
        <v>232</v>
      </c>
      <c r="I2" s="95" t="s">
        <v>1588</v>
      </c>
    </row>
    <row r="3" spans="1:9" x14ac:dyDescent="0.2">
      <c r="F3" s="44">
        <v>1</v>
      </c>
      <c r="G3" s="44" t="s">
        <v>232</v>
      </c>
      <c r="H3" s="44" t="s">
        <v>296</v>
      </c>
      <c r="I3" s="44" t="b">
        <v>1</v>
      </c>
    </row>
    <row r="4" spans="1:9" x14ac:dyDescent="0.2">
      <c r="F4" s="44">
        <v>2</v>
      </c>
      <c r="G4" s="44" t="s">
        <v>243</v>
      </c>
      <c r="H4" s="44" t="s">
        <v>297</v>
      </c>
      <c r="I4" s="45" t="b">
        <v>0</v>
      </c>
    </row>
    <row r="5" spans="1:9" x14ac:dyDescent="0.2">
      <c r="F5" s="44">
        <v>3</v>
      </c>
      <c r="G5" s="44" t="s">
        <v>244</v>
      </c>
      <c r="H5" s="44" t="s">
        <v>298</v>
      </c>
    </row>
    <row r="6" spans="1:9" x14ac:dyDescent="0.2">
      <c r="A6" t="s">
        <v>216</v>
      </c>
      <c r="F6" s="44">
        <v>4</v>
      </c>
      <c r="G6" s="45" t="s">
        <v>245</v>
      </c>
      <c r="H6" s="45" t="s">
        <v>244</v>
      </c>
    </row>
    <row r="7" spans="1:9" x14ac:dyDescent="0.2">
      <c r="F7" s="44">
        <v>5</v>
      </c>
    </row>
    <row r="8" spans="1:9" x14ac:dyDescent="0.2">
      <c r="F8" s="44">
        <v>6</v>
      </c>
    </row>
    <row r="9" spans="1:9" x14ac:dyDescent="0.2">
      <c r="A9" s="43" t="s">
        <v>92</v>
      </c>
      <c r="C9" s="43" t="s">
        <v>229</v>
      </c>
      <c r="F9" s="44">
        <v>7</v>
      </c>
    </row>
    <row r="10" spans="1:9" x14ac:dyDescent="0.2">
      <c r="A10" s="44">
        <v>911</v>
      </c>
      <c r="C10" s="44" t="s">
        <v>220</v>
      </c>
      <c r="F10" s="44">
        <v>8</v>
      </c>
    </row>
    <row r="11" spans="1:9" x14ac:dyDescent="0.2">
      <c r="A11" s="44" t="s">
        <v>63</v>
      </c>
      <c r="C11" s="45" t="s">
        <v>230</v>
      </c>
      <c r="F11" s="44">
        <v>9</v>
      </c>
    </row>
    <row r="12" spans="1:9" x14ac:dyDescent="0.2">
      <c r="A12" s="45" t="s">
        <v>175</v>
      </c>
      <c r="F12" s="45">
        <v>10</v>
      </c>
    </row>
    <row r="14" spans="1:9" x14ac:dyDescent="0.2">
      <c r="A14" s="43" t="s">
        <v>92</v>
      </c>
      <c r="B14" s="43" t="s">
        <v>92</v>
      </c>
      <c r="C14" s="43" t="s">
        <v>92</v>
      </c>
    </row>
    <row r="15" spans="1:9" x14ac:dyDescent="0.2">
      <c r="A15" s="44" t="s">
        <v>93</v>
      </c>
      <c r="B15" s="44" t="s">
        <v>85</v>
      </c>
      <c r="C15" s="44" t="s">
        <v>85</v>
      </c>
      <c r="G15" s="43" t="s">
        <v>292</v>
      </c>
    </row>
    <row r="16" spans="1:9" x14ac:dyDescent="0.2">
      <c r="A16" s="44" t="s">
        <v>94</v>
      </c>
      <c r="B16" s="44" t="s">
        <v>86</v>
      </c>
      <c r="C16" s="44" t="s">
        <v>86</v>
      </c>
      <c r="G16" s="44" t="s">
        <v>310</v>
      </c>
    </row>
    <row r="17" spans="1:16" x14ac:dyDescent="0.2">
      <c r="A17" s="44" t="s">
        <v>95</v>
      </c>
      <c r="B17" s="44" t="s">
        <v>87</v>
      </c>
      <c r="C17" s="44" t="s">
        <v>87</v>
      </c>
      <c r="G17" s="44" t="s">
        <v>309</v>
      </c>
    </row>
    <row r="18" spans="1:16" x14ac:dyDescent="0.2">
      <c r="A18" s="45" t="s">
        <v>88</v>
      </c>
      <c r="B18" s="44" t="s">
        <v>196</v>
      </c>
      <c r="C18" s="44" t="s">
        <v>196</v>
      </c>
      <c r="G18" s="83" t="s">
        <v>307</v>
      </c>
    </row>
    <row r="19" spans="1:16" x14ac:dyDescent="0.2">
      <c r="B19" s="45" t="s">
        <v>88</v>
      </c>
      <c r="C19" s="45" t="s">
        <v>88</v>
      </c>
      <c r="G19" s="82" t="s">
        <v>308</v>
      </c>
    </row>
    <row r="20" spans="1:16" x14ac:dyDescent="0.2">
      <c r="A20" s="43" t="s">
        <v>91</v>
      </c>
    </row>
    <row r="21" spans="1:16" x14ac:dyDescent="0.2">
      <c r="A21" s="44" t="s">
        <v>1976</v>
      </c>
    </row>
    <row r="22" spans="1:16" ht="16" thickBot="1" x14ac:dyDescent="0.25">
      <c r="A22" s="44" t="s">
        <v>1849</v>
      </c>
      <c r="D22" s="221" t="s">
        <v>1847</v>
      </c>
      <c r="G22" s="79" t="s">
        <v>306</v>
      </c>
    </row>
    <row r="23" spans="1:16" ht="16" thickTop="1" x14ac:dyDescent="0.2">
      <c r="A23" s="44" t="s">
        <v>1850</v>
      </c>
      <c r="D23" s="218" t="s">
        <v>1836</v>
      </c>
      <c r="G23" s="80" t="s">
        <v>302</v>
      </c>
    </row>
    <row r="24" spans="1:16" x14ac:dyDescent="0.2">
      <c r="A24" s="44" t="s">
        <v>68</v>
      </c>
      <c r="D24" s="219" t="s">
        <v>1837</v>
      </c>
      <c r="G24" s="81" t="s">
        <v>303</v>
      </c>
    </row>
    <row r="25" spans="1:16" x14ac:dyDescent="0.2">
      <c r="A25" s="44" t="s">
        <v>69</v>
      </c>
      <c r="D25" s="219" t="s">
        <v>1838</v>
      </c>
    </row>
    <row r="26" spans="1:16" x14ac:dyDescent="0.2">
      <c r="A26" s="44" t="s">
        <v>70</v>
      </c>
      <c r="D26" s="219" t="s">
        <v>1839</v>
      </c>
    </row>
    <row r="27" spans="1:16" x14ac:dyDescent="0.2">
      <c r="A27" s="44" t="s">
        <v>1975</v>
      </c>
      <c r="D27" s="219" t="s">
        <v>1840</v>
      </c>
    </row>
    <row r="28" spans="1:16" x14ac:dyDescent="0.2">
      <c r="A28" s="44" t="s">
        <v>71</v>
      </c>
      <c r="D28" s="219"/>
    </row>
    <row r="29" spans="1:16" x14ac:dyDescent="0.2">
      <c r="A29" s="44" t="s">
        <v>72</v>
      </c>
      <c r="D29" s="219" t="s">
        <v>1841</v>
      </c>
    </row>
    <row r="30" spans="1:16" x14ac:dyDescent="0.2">
      <c r="A30" s="44" t="s">
        <v>73</v>
      </c>
      <c r="D30" s="219" t="s">
        <v>1842</v>
      </c>
    </row>
    <row r="31" spans="1:16" x14ac:dyDescent="0.2">
      <c r="A31" s="44" t="s">
        <v>75</v>
      </c>
      <c r="D31" s="219" t="s">
        <v>1843</v>
      </c>
      <c r="F31">
        <v>5</v>
      </c>
      <c r="G31" t="s">
        <v>312</v>
      </c>
      <c r="H31" s="43" t="s">
        <v>215</v>
      </c>
      <c r="J31">
        <v>20</v>
      </c>
      <c r="K31" t="s">
        <v>312</v>
      </c>
      <c r="L31" s="43" t="s">
        <v>215</v>
      </c>
      <c r="N31">
        <v>25</v>
      </c>
      <c r="O31" t="s">
        <v>312</v>
      </c>
      <c r="P31" s="43" t="s">
        <v>215</v>
      </c>
    </row>
    <row r="32" spans="1:16" x14ac:dyDescent="0.2">
      <c r="A32" s="44" t="s">
        <v>76</v>
      </c>
      <c r="D32" s="219" t="s">
        <v>1844</v>
      </c>
      <c r="H32" s="44">
        <v>10</v>
      </c>
      <c r="L32" s="45">
        <v>10</v>
      </c>
      <c r="P32" s="86" t="s">
        <v>313</v>
      </c>
    </row>
    <row r="33" spans="1:16" x14ac:dyDescent="0.2">
      <c r="A33" s="44" t="s">
        <v>1835</v>
      </c>
      <c r="D33" s="219" t="s">
        <v>1845</v>
      </c>
      <c r="H33" s="44">
        <v>17</v>
      </c>
      <c r="P33" s="86" t="s">
        <v>316</v>
      </c>
    </row>
    <row r="34" spans="1:16" ht="16" thickBot="1" x14ac:dyDescent="0.25">
      <c r="A34" s="44" t="s">
        <v>77</v>
      </c>
      <c r="D34" s="220" t="s">
        <v>1846</v>
      </c>
      <c r="H34" s="45">
        <v>30</v>
      </c>
      <c r="J34">
        <v>21</v>
      </c>
      <c r="K34" t="s">
        <v>312</v>
      </c>
      <c r="L34" s="43" t="s">
        <v>215</v>
      </c>
      <c r="P34" s="85" t="s">
        <v>317</v>
      </c>
    </row>
    <row r="35" spans="1:16" ht="17" thickTop="1" thickBot="1" x14ac:dyDescent="0.25">
      <c r="A35" s="44" t="s">
        <v>1956</v>
      </c>
      <c r="L35" s="45">
        <v>24</v>
      </c>
    </row>
    <row r="36" spans="1:16" ht="16" thickTop="1" x14ac:dyDescent="0.2">
      <c r="A36" s="44" t="s">
        <v>1955</v>
      </c>
      <c r="D36" s="218" t="s">
        <v>1851</v>
      </c>
      <c r="F36">
        <v>7</v>
      </c>
      <c r="G36" t="s">
        <v>312</v>
      </c>
      <c r="H36" s="84" t="s">
        <v>215</v>
      </c>
      <c r="N36">
        <v>26</v>
      </c>
      <c r="O36" t="s">
        <v>312</v>
      </c>
      <c r="P36" s="43" t="s">
        <v>215</v>
      </c>
    </row>
    <row r="37" spans="1:16" x14ac:dyDescent="0.2">
      <c r="A37" s="44" t="s">
        <v>78</v>
      </c>
      <c r="D37" s="219" t="s">
        <v>1852</v>
      </c>
      <c r="H37" s="86" t="s">
        <v>313</v>
      </c>
      <c r="J37">
        <v>22</v>
      </c>
      <c r="K37" t="s">
        <v>312</v>
      </c>
      <c r="L37" s="43" t="s">
        <v>215</v>
      </c>
      <c r="P37" s="86" t="s">
        <v>318</v>
      </c>
    </row>
    <row r="38" spans="1:16" x14ac:dyDescent="0.2">
      <c r="A38" s="222" t="s">
        <v>1848</v>
      </c>
      <c r="D38" s="219" t="s">
        <v>1853</v>
      </c>
      <c r="H38" s="85" t="s">
        <v>314</v>
      </c>
      <c r="L38" s="86" t="s">
        <v>313</v>
      </c>
      <c r="P38" s="85" t="s">
        <v>319</v>
      </c>
    </row>
    <row r="39" spans="1:16" x14ac:dyDescent="0.2">
      <c r="A39" s="44" t="s">
        <v>79</v>
      </c>
      <c r="D39" s="219" t="s">
        <v>1854</v>
      </c>
      <c r="L39" s="85" t="s">
        <v>315</v>
      </c>
    </row>
    <row r="40" spans="1:16" x14ac:dyDescent="0.2">
      <c r="A40" s="44" t="s">
        <v>1954</v>
      </c>
      <c r="D40" s="219" t="s">
        <v>1855</v>
      </c>
      <c r="F40">
        <v>17</v>
      </c>
      <c r="G40" t="s">
        <v>312</v>
      </c>
      <c r="H40" s="43" t="s">
        <v>215</v>
      </c>
    </row>
    <row r="41" spans="1:16" ht="16" thickBot="1" x14ac:dyDescent="0.25">
      <c r="A41" s="44" t="s">
        <v>82</v>
      </c>
      <c r="D41" s="220" t="s">
        <v>1856</v>
      </c>
      <c r="H41" s="44">
        <v>15</v>
      </c>
    </row>
    <row r="42" spans="1:16" ht="16" thickTop="1" x14ac:dyDescent="0.2">
      <c r="A42" s="44" t="s">
        <v>1937</v>
      </c>
      <c r="H42" s="45">
        <v>31</v>
      </c>
    </row>
    <row r="43" spans="1:16" x14ac:dyDescent="0.2">
      <c r="A43" s="222" t="s">
        <v>1974</v>
      </c>
    </row>
    <row r="44" spans="1:16" x14ac:dyDescent="0.2">
      <c r="A44" s="44"/>
    </row>
    <row r="45" spans="1:16" x14ac:dyDescent="0.2">
      <c r="A45" s="44"/>
    </row>
    <row r="46" spans="1:16" x14ac:dyDescent="0.2">
      <c r="A46" s="44"/>
    </row>
    <row r="47" spans="1:16" x14ac:dyDescent="0.2">
      <c r="A47" s="44"/>
    </row>
    <row r="48" spans="1:16" x14ac:dyDescent="0.2">
      <c r="A48" s="44"/>
      <c r="D48" t="s">
        <v>325</v>
      </c>
      <c r="G48" t="s">
        <v>326</v>
      </c>
      <c r="J48" t="s">
        <v>327</v>
      </c>
    </row>
    <row r="49" spans="1:11" x14ac:dyDescent="0.2">
      <c r="A49" s="44"/>
      <c r="D49" s="43" t="s">
        <v>120</v>
      </c>
      <c r="E49" s="43">
        <v>0</v>
      </c>
      <c r="G49" s="87" t="s">
        <v>120</v>
      </c>
      <c r="H49" s="43">
        <v>0</v>
      </c>
      <c r="J49" s="43" t="s">
        <v>207</v>
      </c>
      <c r="K49" s="93">
        <v>0</v>
      </c>
    </row>
    <row r="50" spans="1:11" x14ac:dyDescent="0.2">
      <c r="A50" s="44"/>
      <c r="D50" s="44" t="s">
        <v>123</v>
      </c>
      <c r="E50" s="44">
        <v>1</v>
      </c>
      <c r="G50" s="88" t="s">
        <v>1820</v>
      </c>
      <c r="H50" s="44">
        <v>4</v>
      </c>
      <c r="J50" s="44" t="s">
        <v>248</v>
      </c>
      <c r="K50" s="94">
        <v>1</v>
      </c>
    </row>
    <row r="51" spans="1:11" x14ac:dyDescent="0.2">
      <c r="A51" s="44"/>
      <c r="D51" s="44" t="s">
        <v>124</v>
      </c>
      <c r="E51" s="44">
        <v>2</v>
      </c>
      <c r="G51" s="88" t="s">
        <v>1877</v>
      </c>
      <c r="H51" s="44">
        <v>4</v>
      </c>
      <c r="J51" s="44" t="s">
        <v>249</v>
      </c>
      <c r="K51" s="94">
        <v>3</v>
      </c>
    </row>
    <row r="52" spans="1:11" x14ac:dyDescent="0.2">
      <c r="A52" s="44"/>
      <c r="D52" s="44" t="s">
        <v>125</v>
      </c>
      <c r="E52" s="44">
        <v>3</v>
      </c>
      <c r="G52" s="88" t="s">
        <v>1823</v>
      </c>
      <c r="H52" s="44">
        <v>7</v>
      </c>
      <c r="J52" s="44"/>
      <c r="K52" s="94"/>
    </row>
    <row r="53" spans="1:11" x14ac:dyDescent="0.2">
      <c r="A53" s="44"/>
      <c r="D53" s="44" t="s">
        <v>126</v>
      </c>
      <c r="E53" s="44">
        <v>4</v>
      </c>
      <c r="G53" s="88" t="s">
        <v>1822</v>
      </c>
      <c r="H53" s="44">
        <v>6</v>
      </c>
      <c r="J53" s="44"/>
      <c r="K53" s="44"/>
    </row>
    <row r="54" spans="1:11" x14ac:dyDescent="0.2">
      <c r="A54" s="44"/>
      <c r="D54" s="44" t="s">
        <v>127</v>
      </c>
      <c r="E54" s="44">
        <v>5</v>
      </c>
      <c r="G54" s="88" t="s">
        <v>1821</v>
      </c>
      <c r="H54" s="44">
        <v>5</v>
      </c>
      <c r="J54" s="44"/>
      <c r="K54" s="44"/>
    </row>
    <row r="55" spans="1:11" x14ac:dyDescent="0.2">
      <c r="A55" s="44"/>
      <c r="D55" s="44" t="s">
        <v>128</v>
      </c>
      <c r="E55" s="44">
        <v>6</v>
      </c>
      <c r="G55" s="88" t="s">
        <v>1878</v>
      </c>
      <c r="H55" s="44">
        <v>4</v>
      </c>
      <c r="J55" s="44"/>
      <c r="K55" s="44"/>
    </row>
    <row r="56" spans="1:11" x14ac:dyDescent="0.2">
      <c r="A56" s="44"/>
      <c r="D56" s="44" t="s">
        <v>129</v>
      </c>
      <c r="E56" s="44">
        <v>7</v>
      </c>
      <c r="G56" s="88" t="s">
        <v>1879</v>
      </c>
      <c r="H56" s="44">
        <v>4</v>
      </c>
      <c r="J56" s="44"/>
      <c r="K56" s="44"/>
    </row>
    <row r="57" spans="1:11" x14ac:dyDescent="0.2">
      <c r="A57" s="44"/>
      <c r="D57" s="44" t="s">
        <v>131</v>
      </c>
      <c r="E57" s="44">
        <v>8</v>
      </c>
      <c r="G57" s="88" t="s">
        <v>1972</v>
      </c>
      <c r="H57" s="44">
        <v>11</v>
      </c>
      <c r="J57" s="44"/>
      <c r="K57" s="44"/>
    </row>
    <row r="58" spans="1:11" x14ac:dyDescent="0.2">
      <c r="A58" s="44"/>
      <c r="D58" s="44" t="s">
        <v>133</v>
      </c>
      <c r="E58" s="44">
        <v>9</v>
      </c>
      <c r="G58" s="88" t="s">
        <v>208</v>
      </c>
      <c r="H58" s="44">
        <v>1</v>
      </c>
      <c r="J58" s="44"/>
      <c r="K58" s="44"/>
    </row>
    <row r="59" spans="1:11" x14ac:dyDescent="0.2">
      <c r="A59" s="44"/>
      <c r="D59" s="44" t="s">
        <v>134</v>
      </c>
      <c r="E59" s="44">
        <v>10</v>
      </c>
      <c r="G59" s="88" t="s">
        <v>1973</v>
      </c>
      <c r="H59" s="44">
        <v>10</v>
      </c>
      <c r="J59" s="44"/>
      <c r="K59" s="44"/>
    </row>
    <row r="60" spans="1:11" x14ac:dyDescent="0.2">
      <c r="A60" s="44"/>
      <c r="D60" s="44" t="s">
        <v>135</v>
      </c>
      <c r="E60" s="44">
        <v>11</v>
      </c>
      <c r="G60" s="88" t="s">
        <v>209</v>
      </c>
      <c r="H60" s="44">
        <v>2</v>
      </c>
      <c r="J60" s="44"/>
      <c r="K60" s="44"/>
    </row>
    <row r="61" spans="1:11" x14ac:dyDescent="0.2">
      <c r="A61" s="44"/>
      <c r="D61" s="44" t="s">
        <v>136</v>
      </c>
      <c r="E61" s="44">
        <v>12</v>
      </c>
      <c r="G61" s="88" t="s">
        <v>1867</v>
      </c>
      <c r="H61" s="44">
        <v>9</v>
      </c>
      <c r="J61" s="44"/>
      <c r="K61" s="44"/>
    </row>
    <row r="62" spans="1:11" x14ac:dyDescent="0.2">
      <c r="A62" s="44"/>
      <c r="B62" s="90">
        <v>0</v>
      </c>
      <c r="D62" s="44" t="s">
        <v>1814</v>
      </c>
      <c r="E62" s="44">
        <v>13</v>
      </c>
      <c r="G62" s="88" t="s">
        <v>210</v>
      </c>
      <c r="H62" s="44">
        <v>3</v>
      </c>
      <c r="J62" s="44"/>
      <c r="K62" s="44"/>
    </row>
    <row r="63" spans="1:11" x14ac:dyDescent="0.2">
      <c r="A63" s="44"/>
      <c r="B63" s="91">
        <v>1</v>
      </c>
      <c r="D63" s="44" t="s">
        <v>141</v>
      </c>
      <c r="E63" s="44">
        <v>14</v>
      </c>
      <c r="G63" s="88" t="s">
        <v>1866</v>
      </c>
      <c r="H63" s="44">
        <v>8</v>
      </c>
      <c r="J63" s="44"/>
      <c r="K63" s="44"/>
    </row>
    <row r="64" spans="1:11" x14ac:dyDescent="0.2">
      <c r="A64" s="44"/>
      <c r="B64" s="91">
        <v>2</v>
      </c>
      <c r="D64" s="44" t="s">
        <v>143</v>
      </c>
      <c r="E64" s="44">
        <v>15</v>
      </c>
      <c r="G64" s="88"/>
      <c r="H64" s="44"/>
      <c r="J64" s="44"/>
      <c r="K64" s="44"/>
    </row>
    <row r="65" spans="1:11" x14ac:dyDescent="0.2">
      <c r="A65" s="44"/>
      <c r="B65" s="91">
        <v>3</v>
      </c>
      <c r="D65" s="44" t="s">
        <v>144</v>
      </c>
      <c r="E65" s="44">
        <v>16</v>
      </c>
      <c r="G65" s="88"/>
      <c r="H65" s="44"/>
      <c r="J65" s="44"/>
      <c r="K65" s="44"/>
    </row>
    <row r="66" spans="1:11" x14ac:dyDescent="0.2">
      <c r="A66" s="44"/>
      <c r="B66" s="91">
        <v>4</v>
      </c>
      <c r="D66" s="44" t="s">
        <v>145</v>
      </c>
      <c r="E66" s="44">
        <v>17</v>
      </c>
      <c r="G66" s="88"/>
      <c r="H66" s="44"/>
      <c r="J66" s="44"/>
      <c r="K66" s="44"/>
    </row>
    <row r="67" spans="1:11" x14ac:dyDescent="0.2">
      <c r="A67" s="44"/>
      <c r="B67" s="91">
        <v>5</v>
      </c>
      <c r="D67" s="44" t="s">
        <v>146</v>
      </c>
      <c r="E67" s="44">
        <v>18</v>
      </c>
      <c r="G67" s="88"/>
      <c r="H67" s="44"/>
      <c r="J67" s="44"/>
      <c r="K67" s="44"/>
    </row>
    <row r="68" spans="1:11" x14ac:dyDescent="0.2">
      <c r="A68" s="44"/>
      <c r="B68" s="91">
        <v>6</v>
      </c>
      <c r="D68" s="44" t="s">
        <v>147</v>
      </c>
      <c r="E68" s="44">
        <v>19</v>
      </c>
      <c r="G68" s="88"/>
      <c r="H68" s="44"/>
      <c r="J68" s="44"/>
      <c r="K68" s="44"/>
    </row>
    <row r="69" spans="1:11" x14ac:dyDescent="0.2">
      <c r="A69" s="44"/>
      <c r="B69" s="91">
        <v>7</v>
      </c>
      <c r="D69" s="44" t="s">
        <v>148</v>
      </c>
      <c r="E69" s="44">
        <v>20</v>
      </c>
      <c r="G69" s="88"/>
      <c r="H69" s="44"/>
      <c r="J69" s="44"/>
      <c r="K69" s="44"/>
    </row>
    <row r="70" spans="1:11" x14ac:dyDescent="0.2">
      <c r="A70" s="44"/>
      <c r="B70" s="91">
        <v>8</v>
      </c>
      <c r="D70" s="44" t="s">
        <v>149</v>
      </c>
      <c r="E70" s="44">
        <v>21</v>
      </c>
      <c r="G70" s="88"/>
      <c r="H70" s="44"/>
      <c r="J70" s="44"/>
      <c r="K70" s="44"/>
    </row>
    <row r="71" spans="1:11" x14ac:dyDescent="0.2">
      <c r="A71" s="44"/>
      <c r="B71" s="91">
        <v>9</v>
      </c>
      <c r="D71" s="44" t="s">
        <v>150</v>
      </c>
      <c r="E71" s="44">
        <v>22</v>
      </c>
      <c r="G71" s="88"/>
      <c r="H71" s="44"/>
      <c r="J71" s="44"/>
      <c r="K71" s="44"/>
    </row>
    <row r="72" spans="1:11" x14ac:dyDescent="0.2">
      <c r="A72" s="44"/>
      <c r="B72" s="92">
        <v>10</v>
      </c>
      <c r="D72" s="44" t="s">
        <v>152</v>
      </c>
      <c r="E72" s="44">
        <v>23</v>
      </c>
      <c r="G72" s="88"/>
      <c r="H72" s="44"/>
      <c r="J72" s="44"/>
      <c r="K72" s="44"/>
    </row>
    <row r="73" spans="1:11" x14ac:dyDescent="0.2">
      <c r="A73" s="44"/>
      <c r="D73" s="44" t="s">
        <v>154</v>
      </c>
      <c r="E73" s="44">
        <v>24</v>
      </c>
      <c r="G73" s="88"/>
      <c r="H73" s="44"/>
      <c r="J73" s="44"/>
      <c r="K73" s="44"/>
    </row>
    <row r="74" spans="1:11" x14ac:dyDescent="0.2">
      <c r="A74" s="44"/>
      <c r="B74" s="90" t="s">
        <v>232</v>
      </c>
      <c r="D74" s="44" t="s">
        <v>156</v>
      </c>
      <c r="E74" s="44">
        <v>25</v>
      </c>
      <c r="G74" s="88"/>
      <c r="H74" s="44"/>
      <c r="J74" s="44"/>
      <c r="K74" s="44"/>
    </row>
    <row r="75" spans="1:11" x14ac:dyDescent="0.2">
      <c r="A75" s="44"/>
      <c r="B75" s="91" t="s">
        <v>296</v>
      </c>
      <c r="D75" s="44" t="s">
        <v>158</v>
      </c>
      <c r="E75" s="44">
        <v>26</v>
      </c>
      <c r="G75" s="88"/>
      <c r="H75" s="44"/>
      <c r="J75" s="44"/>
      <c r="K75" s="44"/>
    </row>
    <row r="76" spans="1:11" x14ac:dyDescent="0.2">
      <c r="A76" s="44"/>
      <c r="B76" s="91" t="s">
        <v>297</v>
      </c>
      <c r="D76" s="44" t="s">
        <v>159</v>
      </c>
      <c r="E76" s="44">
        <v>27</v>
      </c>
      <c r="G76" s="88"/>
      <c r="H76" s="44"/>
      <c r="J76" s="44"/>
      <c r="K76" s="44"/>
    </row>
    <row r="77" spans="1:11" x14ac:dyDescent="0.2">
      <c r="A77" s="44"/>
      <c r="B77" s="91" t="s">
        <v>298</v>
      </c>
      <c r="D77" s="44" t="s">
        <v>161</v>
      </c>
      <c r="E77" s="44">
        <v>28</v>
      </c>
      <c r="G77" s="88"/>
      <c r="H77" s="44"/>
      <c r="J77" s="44"/>
      <c r="K77" s="44"/>
    </row>
    <row r="78" spans="1:11" x14ac:dyDescent="0.2">
      <c r="A78" s="44"/>
      <c r="B78" s="92" t="s">
        <v>244</v>
      </c>
      <c r="D78" s="44" t="s">
        <v>162</v>
      </c>
      <c r="E78" s="44">
        <v>29</v>
      </c>
      <c r="G78" s="88"/>
      <c r="H78" s="44"/>
      <c r="J78" s="44"/>
      <c r="K78" s="44"/>
    </row>
    <row r="79" spans="1:11" x14ac:dyDescent="0.2">
      <c r="A79" s="44"/>
      <c r="D79" s="44" t="s">
        <v>164</v>
      </c>
      <c r="E79" s="44">
        <v>30</v>
      </c>
      <c r="G79" s="88"/>
      <c r="H79" s="44"/>
      <c r="J79" s="44"/>
      <c r="K79" s="44"/>
    </row>
    <row r="80" spans="1:11" x14ac:dyDescent="0.2">
      <c r="A80" s="44"/>
      <c r="D80" s="44" t="s">
        <v>295</v>
      </c>
      <c r="E80" s="44">
        <v>31</v>
      </c>
      <c r="G80" s="88"/>
      <c r="H80" s="44"/>
      <c r="J80" s="44"/>
      <c r="K80" s="44"/>
    </row>
    <row r="81" spans="1:11" x14ac:dyDescent="0.2">
      <c r="A81" s="44"/>
      <c r="D81" s="44" t="s">
        <v>166</v>
      </c>
      <c r="E81" s="44">
        <v>32</v>
      </c>
      <c r="G81" s="88"/>
      <c r="H81" s="44"/>
      <c r="J81" s="44"/>
      <c r="K81" s="44"/>
    </row>
    <row r="82" spans="1:11" x14ac:dyDescent="0.2">
      <c r="A82" s="44"/>
      <c r="D82" s="44" t="s">
        <v>167</v>
      </c>
      <c r="E82" s="44">
        <v>33</v>
      </c>
      <c r="G82" s="88"/>
      <c r="H82" s="44"/>
      <c r="J82" s="44"/>
      <c r="K82" s="44"/>
    </row>
    <row r="83" spans="1:11" x14ac:dyDescent="0.2">
      <c r="A83" s="44"/>
      <c r="D83" s="44" t="s">
        <v>176</v>
      </c>
      <c r="E83" s="44"/>
      <c r="G83" s="88"/>
      <c r="H83" s="44"/>
      <c r="J83" s="44"/>
      <c r="K83" s="44"/>
    </row>
    <row r="84" spans="1:11" x14ac:dyDescent="0.2">
      <c r="A84" s="44"/>
      <c r="D84" s="44"/>
      <c r="E84" s="44">
        <v>34</v>
      </c>
      <c r="G84" s="88"/>
      <c r="H84" s="44"/>
      <c r="J84" s="44"/>
      <c r="K84" s="44"/>
    </row>
    <row r="85" spans="1:11" x14ac:dyDescent="0.2">
      <c r="A85" s="44"/>
      <c r="D85" s="44"/>
      <c r="E85" s="44">
        <v>35</v>
      </c>
      <c r="G85" s="88"/>
      <c r="H85" s="44"/>
      <c r="J85" s="44"/>
      <c r="K85" s="44"/>
    </row>
    <row r="86" spans="1:11" x14ac:dyDescent="0.2">
      <c r="A86" s="44"/>
      <c r="D86" s="44"/>
      <c r="E86" s="45">
        <v>36</v>
      </c>
      <c r="G86" s="88"/>
      <c r="H86" s="44"/>
      <c r="J86" s="44"/>
      <c r="K86" s="44"/>
    </row>
    <row r="87" spans="1:11" x14ac:dyDescent="0.2">
      <c r="A87" s="44"/>
      <c r="D87" s="44"/>
      <c r="G87" s="88"/>
      <c r="H87" s="44"/>
      <c r="J87" s="44"/>
      <c r="K87" s="44"/>
    </row>
    <row r="88" spans="1:11" x14ac:dyDescent="0.2">
      <c r="A88" s="44"/>
      <c r="D88" s="45"/>
      <c r="G88" s="88"/>
      <c r="H88" s="44"/>
      <c r="J88" s="45"/>
      <c r="K88" s="45"/>
    </row>
    <row r="89" spans="1:11" x14ac:dyDescent="0.2">
      <c r="A89" s="44"/>
      <c r="G89" s="88"/>
      <c r="H89" s="44"/>
    </row>
    <row r="90" spans="1:11" x14ac:dyDescent="0.2">
      <c r="A90" s="44"/>
      <c r="D90" s="43" t="s">
        <v>292</v>
      </c>
      <c r="G90" s="89"/>
      <c r="H90" s="45"/>
    </row>
    <row r="91" spans="1:11" x14ac:dyDescent="0.2">
      <c r="A91" s="44"/>
      <c r="D91" s="44" t="s">
        <v>323</v>
      </c>
    </row>
    <row r="92" spans="1:11" x14ac:dyDescent="0.2">
      <c r="A92" s="44"/>
      <c r="D92" s="44" t="s">
        <v>324</v>
      </c>
    </row>
    <row r="93" spans="1:11" x14ac:dyDescent="0.2">
      <c r="A93" s="44"/>
      <c r="D93" s="44" t="s">
        <v>307</v>
      </c>
    </row>
    <row r="94" spans="1:11" x14ac:dyDescent="0.2">
      <c r="A94" s="44"/>
      <c r="D94" s="45" t="s">
        <v>308</v>
      </c>
    </row>
    <row r="95" spans="1:11" x14ac:dyDescent="0.2">
      <c r="A95" s="44"/>
    </row>
    <row r="96" spans="1:11" x14ac:dyDescent="0.2">
      <c r="A96" s="44"/>
    </row>
    <row r="97" spans="1:3" x14ac:dyDescent="0.2">
      <c r="A97" s="44"/>
    </row>
    <row r="98" spans="1:3" x14ac:dyDescent="0.2">
      <c r="A98" s="44"/>
    </row>
    <row r="99" spans="1:3" x14ac:dyDescent="0.2">
      <c r="A99" s="44"/>
    </row>
    <row r="100" spans="1:3" x14ac:dyDescent="0.2">
      <c r="A100" s="44"/>
    </row>
    <row r="101" spans="1:3" x14ac:dyDescent="0.2">
      <c r="A101" s="44"/>
    </row>
    <row r="102" spans="1:3" x14ac:dyDescent="0.2">
      <c r="A102" s="44"/>
    </row>
    <row r="103" spans="1:3" x14ac:dyDescent="0.2">
      <c r="A103" s="44"/>
    </row>
    <row r="104" spans="1:3" x14ac:dyDescent="0.2">
      <c r="A104" s="44"/>
    </row>
    <row r="105" spans="1:3" x14ac:dyDescent="0.2">
      <c r="A105" s="44"/>
    </row>
    <row r="106" spans="1:3" x14ac:dyDescent="0.2">
      <c r="A106" s="44"/>
    </row>
    <row r="107" spans="1:3" x14ac:dyDescent="0.2">
      <c r="A107" s="44"/>
    </row>
    <row r="108" spans="1:3" x14ac:dyDescent="0.2">
      <c r="A108" s="44"/>
    </row>
    <row r="109" spans="1:3" x14ac:dyDescent="0.2">
      <c r="A109" s="44"/>
    </row>
    <row r="110" spans="1:3" x14ac:dyDescent="0.2">
      <c r="A110" s="44"/>
    </row>
    <row r="111" spans="1:3" x14ac:dyDescent="0.2">
      <c r="A111" s="44"/>
      <c r="C111" t="s">
        <v>312</v>
      </c>
    </row>
    <row r="112" spans="1:3" x14ac:dyDescent="0.2">
      <c r="A112" s="44"/>
    </row>
    <row r="113" spans="1:4" x14ac:dyDescent="0.2">
      <c r="A113" s="44"/>
    </row>
    <row r="114" spans="1:4" x14ac:dyDescent="0.2">
      <c r="A114" s="44"/>
    </row>
    <row r="115" spans="1:4" x14ac:dyDescent="0.2">
      <c r="A115" s="44"/>
    </row>
    <row r="116" spans="1:4" x14ac:dyDescent="0.2">
      <c r="A116" s="45"/>
      <c r="D116" s="43" t="s">
        <v>215</v>
      </c>
    </row>
    <row r="117" spans="1:4" x14ac:dyDescent="0.2">
      <c r="D117" s="44">
        <v>10</v>
      </c>
    </row>
    <row r="118" spans="1:4" x14ac:dyDescent="0.2">
      <c r="D118" s="44">
        <v>17</v>
      </c>
    </row>
    <row r="119" spans="1:4" x14ac:dyDescent="0.2">
      <c r="D119" s="45">
        <v>30</v>
      </c>
    </row>
    <row r="143" spans="3:3" x14ac:dyDescent="0.2">
      <c r="C143" t="s">
        <v>312</v>
      </c>
    </row>
    <row r="148" spans="4:4" x14ac:dyDescent="0.2">
      <c r="D148" s="43" t="s">
        <v>215</v>
      </c>
    </row>
    <row r="149" spans="4:4" x14ac:dyDescent="0.2">
      <c r="D149" s="44" t="s">
        <v>313</v>
      </c>
    </row>
    <row r="150" spans="4:4" x14ac:dyDescent="0.2">
      <c r="D150" s="45" t="s">
        <v>314</v>
      </c>
    </row>
    <row r="262" spans="3:4" x14ac:dyDescent="0.2">
      <c r="C262" t="s">
        <v>312</v>
      </c>
    </row>
    <row r="267" spans="3:4" x14ac:dyDescent="0.2">
      <c r="D267" s="43" t="s">
        <v>215</v>
      </c>
    </row>
    <row r="268" spans="3:4" x14ac:dyDescent="0.2">
      <c r="D268" s="44">
        <v>15</v>
      </c>
    </row>
    <row r="269" spans="3:4" x14ac:dyDescent="0.2">
      <c r="D269" s="45">
        <v>31</v>
      </c>
    </row>
    <row r="315" spans="3:4" x14ac:dyDescent="0.2">
      <c r="C315" t="s">
        <v>312</v>
      </c>
    </row>
    <row r="320" spans="3:4" x14ac:dyDescent="0.2">
      <c r="D320" s="43" t="s">
        <v>215</v>
      </c>
    </row>
    <row r="321" spans="3:4" x14ac:dyDescent="0.2">
      <c r="D321" s="45">
        <v>10</v>
      </c>
    </row>
    <row r="325" spans="3:4" x14ac:dyDescent="0.2">
      <c r="C325" t="s">
        <v>312</v>
      </c>
    </row>
    <row r="330" spans="3:4" x14ac:dyDescent="0.2">
      <c r="D330" s="43" t="s">
        <v>215</v>
      </c>
    </row>
    <row r="331" spans="3:4" x14ac:dyDescent="0.2">
      <c r="D331" s="45">
        <v>24</v>
      </c>
    </row>
    <row r="342" spans="3:4" x14ac:dyDescent="0.2">
      <c r="C342" t="s">
        <v>312</v>
      </c>
    </row>
    <row r="347" spans="3:4" x14ac:dyDescent="0.2">
      <c r="D347" s="43" t="s">
        <v>215</v>
      </c>
    </row>
    <row r="348" spans="3:4" x14ac:dyDescent="0.2">
      <c r="D348" s="44" t="s">
        <v>313</v>
      </c>
    </row>
    <row r="349" spans="3:4" x14ac:dyDescent="0.2">
      <c r="D349" s="45" t="s">
        <v>315</v>
      </c>
    </row>
    <row r="387" spans="3:4" x14ac:dyDescent="0.2">
      <c r="C387" t="s">
        <v>312</v>
      </c>
    </row>
    <row r="392" spans="3:4" x14ac:dyDescent="0.2">
      <c r="D392" s="43" t="s">
        <v>215</v>
      </c>
    </row>
    <row r="393" spans="3:4" x14ac:dyDescent="0.2">
      <c r="D393" s="44" t="s">
        <v>313</v>
      </c>
    </row>
    <row r="394" spans="3:4" x14ac:dyDescent="0.2">
      <c r="D394" s="44" t="s">
        <v>316</v>
      </c>
    </row>
    <row r="395" spans="3:4" x14ac:dyDescent="0.2">
      <c r="D395" s="45" t="s">
        <v>317</v>
      </c>
    </row>
    <row r="404" spans="3:4" x14ac:dyDescent="0.2">
      <c r="C404" t="s">
        <v>312</v>
      </c>
    </row>
    <row r="409" spans="3:4" x14ac:dyDescent="0.2">
      <c r="D409" s="43" t="s">
        <v>215</v>
      </c>
    </row>
    <row r="410" spans="3:4" x14ac:dyDescent="0.2">
      <c r="D410" s="44" t="s">
        <v>318</v>
      </c>
    </row>
    <row r="411" spans="3:4" x14ac:dyDescent="0.2">
      <c r="D411" s="45" t="s">
        <v>319</v>
      </c>
    </row>
  </sheetData>
  <sortState xmlns:xlrd2="http://schemas.microsoft.com/office/spreadsheetml/2017/richdata2" ref="A21:A43">
    <sortCondition ref="A2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551E2E-5BEC-4863-871C-70CA458D84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PATROL QA</vt:lpstr>
      <vt:lpstr>EMD QA</vt:lpstr>
      <vt:lpstr>FIRE QA</vt:lpstr>
      <vt:lpstr>OLD EMD</vt:lpstr>
      <vt:lpstr>OLD PATROL</vt:lpstr>
      <vt:lpstr>OLD FIRE</vt:lpstr>
      <vt:lpstr>Data</vt:lpstr>
      <vt:lpstr>DataEMDCaller</vt:lpstr>
      <vt:lpstr>DataFireCaller</vt:lpstr>
      <vt:lpstr>DataPDCaller</vt:lpstr>
      <vt:lpstr>DataPhoneType</vt:lpstr>
      <vt:lpstr>DataTimeType</vt:lpstr>
    </vt:vector>
  </TitlesOfParts>
  <Company>City of Norman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Grissam</dc:creator>
  <cp:lastModifiedBy>Microsoft Office User</cp:lastModifiedBy>
  <cp:lastPrinted>2021-07-07T19:19:46Z</cp:lastPrinted>
  <dcterms:created xsi:type="dcterms:W3CDTF">2018-10-06T23:56:24Z</dcterms:created>
  <dcterms:modified xsi:type="dcterms:W3CDTF">2025-09-29T07:50:23Z</dcterms:modified>
</cp:coreProperties>
</file>